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avanya N\Downloads\"/>
    </mc:Choice>
  </mc:AlternateContent>
  <xr:revisionPtr revIDLastSave="0" documentId="13_ncr:2001_{5920868D-0C38-4197-8985-19585C69F9F7}" xr6:coauthVersionLast="47" xr6:coauthVersionMax="47" xr10:uidLastSave="{00000000-0000-0000-0000-000000000000}"/>
  <bookViews>
    <workbookView xWindow="-108" yWindow="-108" windowWidth="23256" windowHeight="12456" activeTab="1" xr2:uid="{AC2BC81D-0B9B-4F98-B3B8-6A0A79E21647}"/>
  </bookViews>
  <sheets>
    <sheet name="Pivot Table" sheetId="3" r:id="rId1"/>
    <sheet name="Dataset" sheetId="1" r:id="rId2"/>
  </sheets>
  <definedNames>
    <definedName name="Slicer_Category">#N/A</definedName>
    <definedName name="Slicer_Location">#N/A</definedName>
    <definedName name="Slicer_Season">#N/A</definedName>
  </definedNames>
  <calcPr calcId="191029"/>
  <pivotCaches>
    <pivotCache cacheId="0" r:id="rId3"/>
  </pivotCaches>
  <fileRecoveryPr repairLoad="1"/>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alcChain>
</file>

<file path=xl/sharedStrings.xml><?xml version="1.0" encoding="utf-8"?>
<sst xmlns="http://schemas.openxmlformats.org/spreadsheetml/2006/main" count="42044" uniqueCount="166">
  <si>
    <t>Customer_ID</t>
  </si>
  <si>
    <t>Age</t>
  </si>
  <si>
    <t>Gender</t>
  </si>
  <si>
    <t>Item_Purchased</t>
  </si>
  <si>
    <t>Category</t>
  </si>
  <si>
    <t>Purchase_Amount_USD</t>
  </si>
  <si>
    <t>Location</t>
  </si>
  <si>
    <t>Size</t>
  </si>
  <si>
    <t>Color</t>
  </si>
  <si>
    <t>Season</t>
  </si>
  <si>
    <t>Review_Rating</t>
  </si>
  <si>
    <t>Subscription_Status</t>
  </si>
  <si>
    <t>Payment_Method</t>
  </si>
  <si>
    <t>Shipping_Type</t>
  </si>
  <si>
    <t>Discount_Applied</t>
  </si>
  <si>
    <t>Promo_Code_Used</t>
  </si>
  <si>
    <t>Previous_Purchases</t>
  </si>
  <si>
    <t>Preferred_Payment_Method</t>
  </si>
  <si>
    <t>Frequency_of_Purchases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</si>
  <si>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</si>
  <si>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</si>
  <si>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</si>
  <si>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</si>
  <si>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</si>
  <si>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</si>
  <si>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</si>
  <si>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</si>
  <si>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</si>
  <si>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</si>
  <si>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</si>
  <si>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</si>
  <si>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</si>
  <si>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</si>
  <si>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</si>
  <si>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</si>
  <si>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</si>
  <si>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</si>
  <si>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</si>
  <si>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</si>
  <si>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</si>
  <si>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</si>
  <si>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</si>
  <si>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</si>
  <si>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</si>
  <si>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</si>
  <si>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</si>
  <si>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</si>
  <si>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</si>
  <si>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</si>
  <si>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</si>
  <si>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</si>
  <si>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</si>
  <si>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</si>
  <si>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</si>
  <si>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</si>
  <si>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</si>
  <si>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</si>
  <si>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</si>
  <si>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</si>
  <si>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</si>
  <si>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</si>
  <si>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</si>
  <si>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</si>
  <si>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</si>
  <si>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</si>
  <si>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</si>
  <si>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</si>
  <si>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</si>
  <si>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</si>
  <si>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</si>
  <si>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</si>
  <si>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</si>
  <si>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</si>
  <si>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</si>
  <si>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</si>
  <si>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</si>
  <si>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</si>
  <si>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</si>
  <si>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</si>
  <si>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</si>
  <si>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</si>
  <si>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</si>
  <si>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</si>
  <si>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</si>
  <si>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</si>
  <si>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</si>
  <si>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</si>
  <si>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</si>
  <si>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</si>
  <si>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</si>
  <si>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</si>
  <si>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</si>
  <si>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</si>
  <si>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</si>
  <si>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</si>
  <si>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</si>
  <si>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</si>
  <si>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</si>
  <si>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</si>
  <si>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</si>
  <si>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</si>
  <si>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</si>
  <si>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</si>
  <si>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</si>
  <si>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</si>
  <si>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</si>
  <si>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</si>
  <si>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</si>
  <si>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</si>
  <si>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</si>
  <si>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</si>
  <si>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</si>
  <si>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</si>
  <si>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</si>
  <si>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</si>
  <si>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</si>
  <si>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</si>
  <si>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</si>
  <si>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</si>
  <si>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</si>
  <si>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</si>
  <si>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</si>
  <si>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</si>
  <si>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</si>
  <si>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</si>
  <si>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</si>
  <si>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</si>
  <si>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</si>
  <si>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</si>
  <si>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</si>
  <si>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</si>
  <si>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</si>
  <si>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</si>
  <si>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</si>
  <si>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</si>
  <si>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</si>
  <si>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</si>
  <si>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</si>
  <si>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</si>
  <si>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</si>
  <si>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</si>
  <si>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</si>
  <si>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</si>
  <si>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</si>
  <si>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</si>
  <si>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</si>
  <si>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</si>
  <si>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</si>
  <si>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</si>
  <si>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</si>
  <si>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</si>
  <si>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</si>
  <si>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</si>
  <si>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</si>
  <si>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</si>
  <si>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</si>
  <si>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Purchase_Amount_USD</t>
  </si>
  <si>
    <t>Column Labels</t>
  </si>
  <si>
    <t>Discount Applied</t>
  </si>
  <si>
    <t>Sum of Discount Applied</t>
  </si>
  <si>
    <t>Age Group</t>
  </si>
  <si>
    <t>45+</t>
  </si>
  <si>
    <t>Below 25</t>
  </si>
  <si>
    <t>Between 25-35</t>
  </si>
  <si>
    <t>Between 36-45</t>
  </si>
  <si>
    <t>Count of Preferred_Payment_Method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</si>
</sst>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Segmentationn.xlsx]Pivot 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Purchase_Amount_USD</c:v>
                </c:pt>
              </c:strCache>
            </c:strRef>
          </c:tx>
          <c:spPr>
            <a:solidFill>
              <a:schemeClr val="accent1"/>
            </a:solidFill>
            <a:ln>
              <a:noFill/>
            </a:ln>
            <a:effectLst/>
          </c:spPr>
          <c:invertIfNegative val="0"/>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56753</c:v>
                </c:pt>
                <c:pt idx="1">
                  <c:v>80135</c:v>
                </c:pt>
                <c:pt idx="2">
                  <c:v>27653</c:v>
                </c:pt>
                <c:pt idx="3">
                  <c:v>14407</c:v>
                </c:pt>
              </c:numCache>
            </c:numRef>
          </c:val>
          <c:extLst>
            <c:ext xmlns:c16="http://schemas.microsoft.com/office/drawing/2014/chart" uri="{C3380CC4-5D6E-409C-BE32-E72D297353CC}">
              <c16:uniqueId val="{00000000-3572-4131-82D7-99B204AFC58B}"/>
            </c:ext>
          </c:extLst>
        </c:ser>
        <c:ser>
          <c:idx val="1"/>
          <c:order val="1"/>
          <c:tx>
            <c:strRef>
              <c:f>'Pivot Table'!$C$3</c:f>
              <c:strCache>
                <c:ptCount val="1"/>
                <c:pt idx="0">
                  <c:v>Sum of Discount Applied</c:v>
                </c:pt>
              </c:strCache>
            </c:strRef>
          </c:tx>
          <c:spPr>
            <a:solidFill>
              <a:schemeClr val="accent2"/>
            </a:solidFill>
            <a:ln>
              <a:noFill/>
            </a:ln>
            <a:effectLst/>
          </c:spPr>
          <c:invertIfNegative val="0"/>
          <c:cat>
            <c:strRef>
              <c:f>'Pivot Table'!$A$4:$A$8</c:f>
              <c:strCache>
                <c:ptCount val="4"/>
                <c:pt idx="0">
                  <c:v>Accessories</c:v>
                </c:pt>
                <c:pt idx="1">
                  <c:v>Clothing</c:v>
                </c:pt>
                <c:pt idx="2">
                  <c:v>Footwear</c:v>
                </c:pt>
                <c:pt idx="3">
                  <c:v>Outerwear</c:v>
                </c:pt>
              </c:strCache>
            </c:strRef>
          </c:cat>
          <c:val>
            <c:numRef>
              <c:f>'Pivot Table'!$C$4:$C$8</c:f>
              <c:numCache>
                <c:formatCode>General</c:formatCode>
                <c:ptCount val="4"/>
                <c:pt idx="0">
                  <c:v>543</c:v>
                </c:pt>
                <c:pt idx="1">
                  <c:v>731</c:v>
                </c:pt>
                <c:pt idx="2">
                  <c:v>259</c:v>
                </c:pt>
                <c:pt idx="3">
                  <c:v>144</c:v>
                </c:pt>
              </c:numCache>
            </c:numRef>
          </c:val>
          <c:extLst>
            <c:ext xmlns:c16="http://schemas.microsoft.com/office/drawing/2014/chart" uri="{C3380CC4-5D6E-409C-BE32-E72D297353CC}">
              <c16:uniqueId val="{00000001-3572-4131-82D7-99B204AFC58B}"/>
            </c:ext>
          </c:extLst>
        </c:ser>
        <c:dLbls>
          <c:showLegendKey val="0"/>
          <c:showVal val="0"/>
          <c:showCatName val="0"/>
          <c:showSerName val="0"/>
          <c:showPercent val="0"/>
          <c:showBubbleSize val="0"/>
        </c:dLbls>
        <c:gapWidth val="219"/>
        <c:overlap val="-27"/>
        <c:axId val="1349768959"/>
        <c:axId val="1349775199"/>
      </c:barChart>
      <c:catAx>
        <c:axId val="134976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75199"/>
        <c:crosses val="autoZero"/>
        <c:auto val="1"/>
        <c:lblAlgn val="ctr"/>
        <c:lblOffset val="100"/>
        <c:noMultiLvlLbl val="0"/>
      </c:catAx>
      <c:valAx>
        <c:axId val="134977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6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Segmentationn.xlsx]Pivot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Preferred</a:t>
            </a:r>
            <a:r>
              <a:rPr lang="en-IN" baseline="0"/>
              <a:t>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Table'!$F$3:$F$4</c:f>
              <c:strCache>
                <c:ptCount val="1"/>
                <c:pt idx="0">
                  <c:v>Bank Transfer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47-4109-92BB-9B1EC13D8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47-4109-92BB-9B1EC13D8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47-4109-92BB-9B1EC13D8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47-4109-92BB-9B1EC13D86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Table'!$E$5:$E$9</c:f>
              <c:strCache>
                <c:ptCount val="4"/>
                <c:pt idx="0">
                  <c:v>45+</c:v>
                </c:pt>
                <c:pt idx="1">
                  <c:v>Below 25</c:v>
                </c:pt>
                <c:pt idx="2">
                  <c:v>Between 25-35</c:v>
                </c:pt>
                <c:pt idx="3">
                  <c:v>Between 36-45</c:v>
                </c:pt>
              </c:strCache>
            </c:strRef>
          </c:cat>
          <c:val>
            <c:numRef>
              <c:f>'Pivot Table'!$F$5:$F$9</c:f>
              <c:numCache>
                <c:formatCode>General</c:formatCode>
                <c:ptCount val="4"/>
                <c:pt idx="0">
                  <c:v>217</c:v>
                </c:pt>
                <c:pt idx="1">
                  <c:v>72</c:v>
                </c:pt>
                <c:pt idx="2">
                  <c:v>90</c:v>
                </c:pt>
                <c:pt idx="3">
                  <c:v>78</c:v>
                </c:pt>
              </c:numCache>
            </c:numRef>
          </c:val>
          <c:extLst>
            <c:ext xmlns:c16="http://schemas.microsoft.com/office/drawing/2014/chart" uri="{C3380CC4-5D6E-409C-BE32-E72D297353CC}">
              <c16:uniqueId val="{00000000-43BF-4F7C-8C1C-D039FD77FAED}"/>
            </c:ext>
          </c:extLst>
        </c:ser>
        <c:ser>
          <c:idx val="1"/>
          <c:order val="1"/>
          <c:tx>
            <c:strRef>
              <c:f>'Pivot Table'!$G$3:$G$4</c:f>
              <c:strCache>
                <c:ptCount val="1"/>
                <c:pt idx="0">
                  <c:v>Cash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447-4109-92BB-9B1EC13D8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447-4109-92BB-9B1EC13D8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447-4109-92BB-9B1EC13D8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447-4109-92BB-9B1EC13D867B}"/>
              </c:ext>
            </c:extLst>
          </c:dPt>
          <c:cat>
            <c:strRef>
              <c:f>'Pivot Table'!$E$5:$E$9</c:f>
              <c:strCache>
                <c:ptCount val="4"/>
                <c:pt idx="0">
                  <c:v>45+</c:v>
                </c:pt>
                <c:pt idx="1">
                  <c:v>Below 25</c:v>
                </c:pt>
                <c:pt idx="2">
                  <c:v>Between 25-35</c:v>
                </c:pt>
                <c:pt idx="3">
                  <c:v>Between 36-45</c:v>
                </c:pt>
              </c:strCache>
            </c:strRef>
          </c:cat>
          <c:val>
            <c:numRef>
              <c:f>'Pivot Table'!$G$5:$G$9</c:f>
              <c:numCache>
                <c:formatCode>General</c:formatCode>
                <c:ptCount val="4"/>
                <c:pt idx="0">
                  <c:v>241</c:v>
                </c:pt>
                <c:pt idx="1">
                  <c:v>80</c:v>
                </c:pt>
                <c:pt idx="2">
                  <c:v>93</c:v>
                </c:pt>
                <c:pt idx="3">
                  <c:v>97</c:v>
                </c:pt>
              </c:numCache>
            </c:numRef>
          </c:val>
          <c:extLst>
            <c:ext xmlns:c16="http://schemas.microsoft.com/office/drawing/2014/chart" uri="{C3380CC4-5D6E-409C-BE32-E72D297353CC}">
              <c16:uniqueId val="{00000001-43BF-4F7C-8C1C-D039FD77FAED}"/>
            </c:ext>
          </c:extLst>
        </c:ser>
        <c:ser>
          <c:idx val="2"/>
          <c:order val="2"/>
          <c:tx>
            <c:strRef>
              <c:f>'Pivot Table'!$H$3:$H$4</c:f>
              <c:strCache>
                <c:ptCount val="1"/>
                <c:pt idx="0">
                  <c:v>Credit Card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447-4109-92BB-9B1EC13D8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447-4109-92BB-9B1EC13D8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447-4109-92BB-9B1EC13D8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447-4109-92BB-9B1EC13D867B}"/>
              </c:ext>
            </c:extLst>
          </c:dPt>
          <c:cat>
            <c:strRef>
              <c:f>'Pivot Table'!$E$5:$E$9</c:f>
              <c:strCache>
                <c:ptCount val="4"/>
                <c:pt idx="0">
                  <c:v>45+</c:v>
                </c:pt>
                <c:pt idx="1">
                  <c:v>Below 25</c:v>
                </c:pt>
                <c:pt idx="2">
                  <c:v>Between 25-35</c:v>
                </c:pt>
                <c:pt idx="3">
                  <c:v>Between 36-45</c:v>
                </c:pt>
              </c:strCache>
            </c:strRef>
          </c:cat>
          <c:val>
            <c:numRef>
              <c:f>'Pivot Table'!$H$5:$H$9</c:f>
              <c:numCache>
                <c:formatCode>General</c:formatCode>
                <c:ptCount val="4"/>
                <c:pt idx="0">
                  <c:v>246</c:v>
                </c:pt>
                <c:pt idx="1">
                  <c:v>76</c:v>
                </c:pt>
                <c:pt idx="2">
                  <c:v>99</c:v>
                </c:pt>
                <c:pt idx="3">
                  <c:v>97</c:v>
                </c:pt>
              </c:numCache>
            </c:numRef>
          </c:val>
          <c:extLst>
            <c:ext xmlns:c16="http://schemas.microsoft.com/office/drawing/2014/chart" uri="{C3380CC4-5D6E-409C-BE32-E72D297353CC}">
              <c16:uniqueId val="{00000002-43BF-4F7C-8C1C-D039FD77FAED}"/>
            </c:ext>
          </c:extLst>
        </c:ser>
        <c:ser>
          <c:idx val="3"/>
          <c:order val="3"/>
          <c:tx>
            <c:strRef>
              <c:f>'Pivot Table'!$I$3:$I$4</c:f>
              <c:strCache>
                <c:ptCount val="1"/>
                <c:pt idx="0">
                  <c:v>Debit Card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C447-4109-92BB-9B1EC13D8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C447-4109-92BB-9B1EC13D8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C447-4109-92BB-9B1EC13D8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C447-4109-92BB-9B1EC13D867B}"/>
              </c:ext>
            </c:extLst>
          </c:dPt>
          <c:cat>
            <c:strRef>
              <c:f>'Pivot Table'!$E$5:$E$9</c:f>
              <c:strCache>
                <c:ptCount val="4"/>
                <c:pt idx="0">
                  <c:v>45+</c:v>
                </c:pt>
                <c:pt idx="1">
                  <c:v>Below 25</c:v>
                </c:pt>
                <c:pt idx="2">
                  <c:v>Between 25-35</c:v>
                </c:pt>
                <c:pt idx="3">
                  <c:v>Between 36-45</c:v>
                </c:pt>
              </c:strCache>
            </c:strRef>
          </c:cat>
          <c:val>
            <c:numRef>
              <c:f>'Pivot Table'!$I$5:$I$9</c:f>
              <c:numCache>
                <c:formatCode>General</c:formatCode>
                <c:ptCount val="4"/>
                <c:pt idx="0">
                  <c:v>239</c:v>
                </c:pt>
                <c:pt idx="1">
                  <c:v>77</c:v>
                </c:pt>
                <c:pt idx="2">
                  <c:v>97</c:v>
                </c:pt>
                <c:pt idx="3">
                  <c:v>99</c:v>
                </c:pt>
              </c:numCache>
            </c:numRef>
          </c:val>
          <c:extLst>
            <c:ext xmlns:c16="http://schemas.microsoft.com/office/drawing/2014/chart" uri="{C3380CC4-5D6E-409C-BE32-E72D297353CC}">
              <c16:uniqueId val="{00000003-43BF-4F7C-8C1C-D039FD77FAED}"/>
            </c:ext>
          </c:extLst>
        </c:ser>
        <c:ser>
          <c:idx val="4"/>
          <c:order val="4"/>
          <c:tx>
            <c:strRef>
              <c:f>'Pivot Table'!$J$3:$J$4</c:f>
              <c:strCache>
                <c:ptCount val="1"/>
                <c:pt idx="0">
                  <c:v>PayPal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C447-4109-92BB-9B1EC13D8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C447-4109-92BB-9B1EC13D8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C447-4109-92BB-9B1EC13D8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C447-4109-92BB-9B1EC13D867B}"/>
              </c:ext>
            </c:extLst>
          </c:dPt>
          <c:cat>
            <c:strRef>
              <c:f>'Pivot Table'!$E$5:$E$9</c:f>
              <c:strCache>
                <c:ptCount val="4"/>
                <c:pt idx="0">
                  <c:v>45+</c:v>
                </c:pt>
                <c:pt idx="1">
                  <c:v>Below 25</c:v>
                </c:pt>
                <c:pt idx="2">
                  <c:v>Between 25-35</c:v>
                </c:pt>
                <c:pt idx="3">
                  <c:v>Between 36-45</c:v>
                </c:pt>
              </c:strCache>
            </c:strRef>
          </c:cat>
          <c:val>
            <c:numRef>
              <c:f>'Pivot Table'!$J$5:$J$9</c:f>
              <c:numCache>
                <c:formatCode>General</c:formatCode>
                <c:ptCount val="4"/>
                <c:pt idx="0">
                  <c:v>256</c:v>
                </c:pt>
                <c:pt idx="1">
                  <c:v>70</c:v>
                </c:pt>
                <c:pt idx="2">
                  <c:v>93</c:v>
                </c:pt>
                <c:pt idx="3">
                  <c:v>95</c:v>
                </c:pt>
              </c:numCache>
            </c:numRef>
          </c:val>
          <c:extLst>
            <c:ext xmlns:c16="http://schemas.microsoft.com/office/drawing/2014/chart" uri="{C3380CC4-5D6E-409C-BE32-E72D297353CC}">
              <c16:uniqueId val="{00000004-43BF-4F7C-8C1C-D039FD77FAED}"/>
            </c:ext>
          </c:extLst>
        </c:ser>
        <c:ser>
          <c:idx val="5"/>
          <c:order val="5"/>
          <c:tx>
            <c:strRef>
              <c:f>'Pivot Table'!$K$3:$K$4</c:f>
              <c:strCache>
                <c:ptCount val="1"/>
                <c:pt idx="0">
                  <c:v>Venmo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C447-4109-92BB-9B1EC13D8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C447-4109-92BB-9B1EC13D8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C447-4109-92BB-9B1EC13D8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C447-4109-92BB-9B1EC13D867B}"/>
              </c:ext>
            </c:extLst>
          </c:dPt>
          <c:cat>
            <c:strRef>
              <c:f>'Pivot Table'!$E$5:$E$9</c:f>
              <c:strCache>
                <c:ptCount val="4"/>
                <c:pt idx="0">
                  <c:v>45+</c:v>
                </c:pt>
                <c:pt idx="1">
                  <c:v>Below 25</c:v>
                </c:pt>
                <c:pt idx="2">
                  <c:v>Between 25-35</c:v>
                </c:pt>
                <c:pt idx="3">
                  <c:v>Between 36-45</c:v>
                </c:pt>
              </c:strCache>
            </c:strRef>
          </c:cat>
          <c:val>
            <c:numRef>
              <c:f>'Pivot Table'!$K$5:$K$9</c:f>
              <c:numCache>
                <c:formatCode>General</c:formatCode>
                <c:ptCount val="4"/>
                <c:pt idx="0">
                  <c:v>225</c:v>
                </c:pt>
                <c:pt idx="1">
                  <c:v>68</c:v>
                </c:pt>
                <c:pt idx="2">
                  <c:v>106</c:v>
                </c:pt>
                <c:pt idx="3">
                  <c:v>89</c:v>
                </c:pt>
              </c:numCache>
            </c:numRef>
          </c:val>
          <c:extLst>
            <c:ext xmlns:c16="http://schemas.microsoft.com/office/drawing/2014/chart" uri="{C3380CC4-5D6E-409C-BE32-E72D297353CC}">
              <c16:uniqueId val="{00000005-43BF-4F7C-8C1C-D039FD77FA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57150</xdr:rowOff>
    </xdr:from>
    <xdr:to>
      <xdr:col>3</xdr:col>
      <xdr:colOff>281940</xdr:colOff>
      <xdr:row>24</xdr:row>
      <xdr:rowOff>57150</xdr:rowOff>
    </xdr:to>
    <xdr:graphicFrame macro="">
      <xdr:nvGraphicFramePr>
        <xdr:cNvPr id="2" name="Chart 1">
          <a:extLst>
            <a:ext uri="{FF2B5EF4-FFF2-40B4-BE49-F238E27FC236}">
              <a16:creationId xmlns:a16="http://schemas.microsoft.com/office/drawing/2014/main" id="{E87F01D8-C020-67A4-448D-FBC596503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10</xdr:row>
      <xdr:rowOff>11430</xdr:rowOff>
    </xdr:from>
    <xdr:to>
      <xdr:col>8</xdr:col>
      <xdr:colOff>411480</xdr:colOff>
      <xdr:row>25</xdr:row>
      <xdr:rowOff>11430</xdr:rowOff>
    </xdr:to>
    <xdr:graphicFrame macro="">
      <xdr:nvGraphicFramePr>
        <xdr:cNvPr id="3" name="Chart 2">
          <a:extLst>
            <a:ext uri="{FF2B5EF4-FFF2-40B4-BE49-F238E27FC236}">
              <a16:creationId xmlns:a16="http://schemas.microsoft.com/office/drawing/2014/main" id="{1D6871D6-45AC-8F90-C2B1-D68F1AA41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487680</xdr:colOff>
      <xdr:row>9</xdr:row>
      <xdr:rowOff>0</xdr:rowOff>
    </xdr:from>
    <xdr:to>
      <xdr:col>11</xdr:col>
      <xdr:colOff>701040</xdr:colOff>
      <xdr:row>17</xdr:row>
      <xdr:rowOff>121919</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C23700D-6E62-E055-208A-F7099DF76F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14560" y="1645920"/>
              <a:ext cx="1828800" cy="158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220980</xdr:colOff>
      <xdr:row>1</xdr:row>
      <xdr:rowOff>167640</xdr:rowOff>
    </xdr:from>
    <xdr:to>
      <xdr:col>15</xdr:col>
      <xdr:colOff>220980</xdr:colOff>
      <xdr:row>25</xdr:row>
      <xdr:rowOff>45720</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4D1FDD87-4B16-EED5-A101-7AAA8C97E77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902440" y="350520"/>
              <a:ext cx="1828800" cy="426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502920</xdr:colOff>
      <xdr:row>17</xdr:row>
      <xdr:rowOff>121920</xdr:rowOff>
    </xdr:from>
    <xdr:to>
      <xdr:col>11</xdr:col>
      <xdr:colOff>716280</xdr:colOff>
      <xdr:row>26</xdr:row>
      <xdr:rowOff>22859</xdr:rowOff>
    </xdr:to>
    <mc:AlternateContent xmlns:mc="http://schemas.openxmlformats.org/markup-compatibility/2006" xmlns:a14="http://schemas.microsoft.com/office/drawing/2010/main">
      <mc:Choice Requires="a14">
        <xdr:graphicFrame macro="">
          <xdr:nvGraphicFramePr>
            <xdr:cNvPr id="6" name="Season">
              <a:extLst>
                <a:ext uri="{FF2B5EF4-FFF2-40B4-BE49-F238E27FC236}">
                  <a16:creationId xmlns:a16="http://schemas.microsoft.com/office/drawing/2014/main" id="{3C58FC0C-DE7D-D294-28AB-FBF2B719EAD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829800" y="3230880"/>
              <a:ext cx="1828800" cy="1546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vanya N" refreshedDate="46207.639513078706" createdVersion="8" refreshedVersion="8" minRefreshableVersion="3" recordCount="3000" xr:uid="{8D6C265D-B5E5-4B2F-B47C-0134F976FFD9}">
  <cacheSource type="worksheet">
    <worksheetSource name="Table1"/>
  </cacheSource>
  <cacheFields count="21">
    <cacheField name="Customer_ID" numFmtId="0">
      <sharedItems containsSemiMixedTypes="0" containsString="0" containsNumber="1" containsInteger="1" minValue="1" maxValue="3000"/>
    </cacheField>
    <cacheField name="Age" numFmtId="0">
      <sharedItems containsSemiMixedTypes="0" containsString="0" containsNumber="1" containsInteger="1" minValue="18" maxValue="70"/>
    </cacheField>
    <cacheField name="Gender" numFmtId="0">
      <sharedItems/>
    </cacheField>
    <cacheField name="Item_Purchased" numFmtId="0">
      <sharedItems/>
    </cacheField>
    <cacheField name="Category" numFmtId="0">
      <sharedItems count="4">
        <s v="Clothing"/>
        <s v="Footwear"/>
        <s v="Outerwear"/>
        <s v="Accessories"/>
      </sharedItems>
    </cacheField>
    <cacheField name="Purchase_Amount_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_Rating" numFmtId="0">
      <sharedItems containsSemiMixedTypes="0" containsString="0" containsNumber="1" minValue="2.5" maxValue="5"/>
    </cacheField>
    <cacheField name="Subscription_Status" numFmtId="0">
      <sharedItems/>
    </cacheField>
    <cacheField name="Payment_Method" numFmtId="0">
      <sharedItems/>
    </cacheField>
    <cacheField name="Shipping_Type" numFmtId="0">
      <sharedItems/>
    </cacheField>
    <cacheField name="Discount_Applied" numFmtId="0">
      <sharedItems/>
    </cacheField>
    <cacheField name="Promo_Code_Used" numFmtId="0">
      <sharedItems/>
    </cacheField>
    <cacheField name="Previous_Purchases" numFmtId="0">
      <sharedItems containsSemiMixedTypes="0" containsString="0" containsNumber="1" containsInteger="1" minValue="1" maxValue="50"/>
    </cacheField>
    <cacheField name="Preferred_Payment_Method" numFmtId="0">
      <sharedItems count="6">
        <s v="Venmo"/>
        <s v="Cash"/>
        <s v="Credit Card"/>
        <s v="PayPal"/>
        <s v="Bank Transfer"/>
        <s v="Debit Card"/>
      </sharedItems>
    </cacheField>
    <cacheField name="Frequency_of_Purchases" numFmtId="0">
      <sharedItems/>
    </cacheField>
    <cacheField name="Discount Applied" numFmtId="0">
      <sharedItems containsSemiMixedTypes="0" containsString="0" containsNumber="1" containsInteger="1" minValue="0" maxValue="1"/>
    </cacheField>
    <cacheField name="Age Group" numFmtId="0">
      <sharedItems count="4">
        <s v="45+"/>
        <s v="Below 25"/>
        <s v="Between 36-45"/>
        <s v="Between 25-35"/>
      </sharedItems>
    </cacheField>
  </cacheFields>
  <extLst>
    <ext xmlns:x14="http://schemas.microsoft.com/office/spreadsheetml/2009/9/main" uri="{725AE2AE-9491-48be-B2B4-4EB974FC3084}">
      <x14:pivotCacheDefinition pivotCacheId="1641987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n v="55"/>
    <s v="Male"/>
    <s v="Blouse"/>
    <x v="0"/>
    <n v="53"/>
    <x v="0"/>
    <s v="L"/>
    <s v="Gray"/>
    <x v="0"/>
    <n v="3.1"/>
    <s v="Yes"/>
    <s v="Credit Card"/>
    <s v="Express"/>
    <s v="Yes"/>
    <s v="Yes"/>
    <n v="14"/>
    <x v="0"/>
    <s v="Fortnightly"/>
    <n v="1"/>
    <x v="0"/>
  </r>
  <r>
    <n v="2"/>
    <n v="19"/>
    <s v="Male"/>
    <s v="Sweater"/>
    <x v="0"/>
    <n v="64"/>
    <x v="1"/>
    <s v="L"/>
    <s v="Maroon"/>
    <x v="0"/>
    <n v="3.1"/>
    <s v="Yes"/>
    <s v="Bank Transfer"/>
    <s v="Express"/>
    <s v="Yes"/>
    <s v="Yes"/>
    <n v="2"/>
    <x v="1"/>
    <s v="Fortnightly"/>
    <n v="1"/>
    <x v="1"/>
  </r>
  <r>
    <n v="3"/>
    <n v="50"/>
    <s v="Male"/>
    <s v="Jeans"/>
    <x v="0"/>
    <n v="73"/>
    <x v="2"/>
    <s v="S"/>
    <s v="Maroon"/>
    <x v="1"/>
    <n v="3.1"/>
    <s v="Yes"/>
    <s v="Cash"/>
    <s v="Free Shipping"/>
    <s v="Yes"/>
    <s v="Yes"/>
    <n v="23"/>
    <x v="2"/>
    <s v="Weekly"/>
    <n v="1"/>
    <x v="0"/>
  </r>
  <r>
    <n v="4"/>
    <n v="21"/>
    <s v="Male"/>
    <s v="Sandals"/>
    <x v="1"/>
    <n v="90"/>
    <x v="3"/>
    <s v="M"/>
    <s v="Maroon"/>
    <x v="1"/>
    <n v="3.5"/>
    <s v="Yes"/>
    <s v="PayPal"/>
    <s v="Next Day Air"/>
    <s v="Yes"/>
    <s v="Yes"/>
    <n v="49"/>
    <x v="3"/>
    <s v="Weekly"/>
    <n v="1"/>
    <x v="1"/>
  </r>
  <r>
    <n v="5"/>
    <n v="45"/>
    <s v="Male"/>
    <s v="Blouse"/>
    <x v="0"/>
    <n v="49"/>
    <x v="4"/>
    <s v="M"/>
    <s v="Turquoise"/>
    <x v="1"/>
    <n v="2.7"/>
    <s v="Yes"/>
    <s v="Cash"/>
    <s v="Free Shipping"/>
    <s v="Yes"/>
    <s v="Yes"/>
    <n v="31"/>
    <x v="3"/>
    <s v="Annually"/>
    <n v="1"/>
    <x v="2"/>
  </r>
  <r>
    <n v="6"/>
    <n v="46"/>
    <s v="Male"/>
    <s v="Sneakers"/>
    <x v="1"/>
    <n v="20"/>
    <x v="5"/>
    <s v="M"/>
    <s v="White"/>
    <x v="2"/>
    <n v="2.9"/>
    <s v="Yes"/>
    <s v="Venmo"/>
    <s v="Standard"/>
    <s v="Yes"/>
    <s v="Yes"/>
    <n v="14"/>
    <x v="0"/>
    <s v="Weekly"/>
    <n v="1"/>
    <x v="0"/>
  </r>
  <r>
    <n v="7"/>
    <n v="63"/>
    <s v="Male"/>
    <s v="Shirt"/>
    <x v="0"/>
    <n v="85"/>
    <x v="6"/>
    <s v="M"/>
    <s v="Gray"/>
    <x v="3"/>
    <n v="3.2"/>
    <s v="Yes"/>
    <s v="Debit Card"/>
    <s v="Free Shipping"/>
    <s v="Yes"/>
    <s v="Yes"/>
    <n v="49"/>
    <x v="1"/>
    <s v="Quarterly"/>
    <n v="1"/>
    <x v="0"/>
  </r>
  <r>
    <n v="8"/>
    <n v="27"/>
    <s v="Male"/>
    <s v="Shorts"/>
    <x v="0"/>
    <n v="34"/>
    <x v="7"/>
    <s v="L"/>
    <s v="Charcoal"/>
    <x v="0"/>
    <n v="3.2"/>
    <s v="Yes"/>
    <s v="Debit Card"/>
    <s v="Free Shipping"/>
    <s v="Yes"/>
    <s v="Yes"/>
    <n v="19"/>
    <x v="2"/>
    <s v="Weekly"/>
    <n v="1"/>
    <x v="3"/>
  </r>
  <r>
    <n v="9"/>
    <n v="26"/>
    <s v="Male"/>
    <s v="Coat"/>
    <x v="2"/>
    <n v="97"/>
    <x v="8"/>
    <s v="L"/>
    <s v="Silver"/>
    <x v="2"/>
    <n v="2.6"/>
    <s v="Yes"/>
    <s v="Venmo"/>
    <s v="Express"/>
    <s v="Yes"/>
    <s v="Yes"/>
    <n v="8"/>
    <x v="0"/>
    <s v="Annually"/>
    <n v="1"/>
    <x v="3"/>
  </r>
  <r>
    <n v="10"/>
    <n v="57"/>
    <s v="Male"/>
    <s v="Handbag"/>
    <x v="3"/>
    <n v="31"/>
    <x v="9"/>
    <s v="M"/>
    <s v="Pink"/>
    <x v="1"/>
    <n v="4.8"/>
    <s v="Yes"/>
    <s v="PayPal"/>
    <s v="2-Day Shipping"/>
    <s v="Yes"/>
    <s v="Yes"/>
    <n v="4"/>
    <x v="1"/>
    <s v="Quarterly"/>
    <n v="1"/>
    <x v="0"/>
  </r>
  <r>
    <n v="11"/>
    <n v="53"/>
    <s v="Male"/>
    <s v="Shoes"/>
    <x v="1"/>
    <n v="34"/>
    <x v="10"/>
    <s v="L"/>
    <s v="Purple"/>
    <x v="3"/>
    <n v="4.0999999999999996"/>
    <s v="Yes"/>
    <s v="Credit Card"/>
    <s v="Store Pickup"/>
    <s v="Yes"/>
    <s v="Yes"/>
    <n v="26"/>
    <x v="4"/>
    <s v="Bi-Weekly"/>
    <n v="1"/>
    <x v="0"/>
  </r>
  <r>
    <n v="12"/>
    <n v="30"/>
    <s v="Male"/>
    <s v="Shorts"/>
    <x v="0"/>
    <n v="68"/>
    <x v="11"/>
    <s v="S"/>
    <s v="Olive"/>
    <x v="0"/>
    <n v="4.9000000000000004"/>
    <s v="Yes"/>
    <s v="PayPal"/>
    <s v="Store Pickup"/>
    <s v="Yes"/>
    <s v="Yes"/>
    <n v="10"/>
    <x v="4"/>
    <s v="Fortnightly"/>
    <n v="1"/>
    <x v="3"/>
  </r>
  <r>
    <n v="13"/>
    <n v="61"/>
    <s v="Male"/>
    <s v="Coat"/>
    <x v="2"/>
    <n v="72"/>
    <x v="12"/>
    <s v="M"/>
    <s v="Gold"/>
    <x v="0"/>
    <n v="4.5"/>
    <s v="Yes"/>
    <s v="PayPal"/>
    <s v="Express"/>
    <s v="Yes"/>
    <s v="Yes"/>
    <n v="37"/>
    <x v="0"/>
    <s v="Fortnightly"/>
    <n v="1"/>
    <x v="0"/>
  </r>
  <r>
    <n v="14"/>
    <n v="65"/>
    <s v="Male"/>
    <s v="Dress"/>
    <x v="0"/>
    <n v="51"/>
    <x v="13"/>
    <s v="M"/>
    <s v="Violet"/>
    <x v="1"/>
    <n v="4.7"/>
    <s v="Yes"/>
    <s v="Debit Card"/>
    <s v="Express"/>
    <s v="Yes"/>
    <s v="Yes"/>
    <n v="31"/>
    <x v="3"/>
    <s v="Weekly"/>
    <n v="1"/>
    <x v="0"/>
  </r>
  <r>
    <n v="15"/>
    <n v="64"/>
    <s v="Male"/>
    <s v="Coat"/>
    <x v="2"/>
    <n v="53"/>
    <x v="14"/>
    <s v="L"/>
    <s v="Teal"/>
    <x v="0"/>
    <n v="4.7"/>
    <s v="Yes"/>
    <s v="PayPal"/>
    <s v="Free Shipping"/>
    <s v="Yes"/>
    <s v="Yes"/>
    <n v="34"/>
    <x v="5"/>
    <s v="Weekly"/>
    <n v="1"/>
    <x v="0"/>
  </r>
  <r>
    <n v="16"/>
    <n v="64"/>
    <s v="Male"/>
    <s v="Skirt"/>
    <x v="0"/>
    <n v="81"/>
    <x v="3"/>
    <s v="M"/>
    <s v="Teal"/>
    <x v="0"/>
    <n v="2.8"/>
    <s v="Yes"/>
    <s v="Credit Card"/>
    <s v="Store Pickup"/>
    <s v="Yes"/>
    <s v="Yes"/>
    <n v="8"/>
    <x v="3"/>
    <s v="Monthly"/>
    <n v="1"/>
    <x v="0"/>
  </r>
  <r>
    <n v="17"/>
    <n v="25"/>
    <s v="Male"/>
    <s v="Sunglasses"/>
    <x v="3"/>
    <n v="36"/>
    <x v="15"/>
    <s v="S"/>
    <s v="Gray"/>
    <x v="1"/>
    <n v="4.0999999999999996"/>
    <s v="Yes"/>
    <s v="Venmo"/>
    <s v="Next Day Air"/>
    <s v="Yes"/>
    <s v="Yes"/>
    <n v="44"/>
    <x v="5"/>
    <s v="Bi-Weekly"/>
    <n v="1"/>
    <x v="1"/>
  </r>
  <r>
    <n v="18"/>
    <n v="53"/>
    <s v="Male"/>
    <s v="Dress"/>
    <x v="0"/>
    <n v="38"/>
    <x v="16"/>
    <s v="XL"/>
    <s v="Lavender"/>
    <x v="0"/>
    <n v="4.7"/>
    <s v="Yes"/>
    <s v="Debit Card"/>
    <s v="2-Day Shipping"/>
    <s v="Yes"/>
    <s v="Yes"/>
    <n v="36"/>
    <x v="0"/>
    <s v="Quarterly"/>
    <n v="1"/>
    <x v="0"/>
  </r>
  <r>
    <n v="19"/>
    <n v="52"/>
    <s v="Male"/>
    <s v="Sweater"/>
    <x v="0"/>
    <n v="48"/>
    <x v="6"/>
    <s v="S"/>
    <s v="Black"/>
    <x v="2"/>
    <n v="4.5999999999999996"/>
    <s v="Yes"/>
    <s v="Bank Transfer"/>
    <s v="Free Shipping"/>
    <s v="Yes"/>
    <s v="Yes"/>
    <n v="17"/>
    <x v="1"/>
    <s v="Weekly"/>
    <n v="1"/>
    <x v="0"/>
  </r>
  <r>
    <n v="20"/>
    <n v="66"/>
    <s v="Male"/>
    <s v="Pants"/>
    <x v="0"/>
    <n v="90"/>
    <x v="3"/>
    <s v="M"/>
    <s v="Green"/>
    <x v="2"/>
    <n v="3.3"/>
    <s v="Yes"/>
    <s v="Venmo"/>
    <s v="Standard"/>
    <s v="Yes"/>
    <s v="Yes"/>
    <n v="46"/>
    <x v="5"/>
    <s v="Bi-Weekly"/>
    <n v="1"/>
    <x v="0"/>
  </r>
  <r>
    <n v="21"/>
    <n v="21"/>
    <s v="Male"/>
    <s v="Pants"/>
    <x v="0"/>
    <n v="51"/>
    <x v="7"/>
    <s v="M"/>
    <s v="Black"/>
    <x v="0"/>
    <n v="2.8"/>
    <s v="Yes"/>
    <s v="Credit Card"/>
    <s v="Express"/>
    <s v="Yes"/>
    <s v="Yes"/>
    <n v="50"/>
    <x v="1"/>
    <s v="Every 3 Months"/>
    <n v="1"/>
    <x v="1"/>
  </r>
  <r>
    <n v="22"/>
    <n v="31"/>
    <s v="Male"/>
    <s v="Pants"/>
    <x v="0"/>
    <n v="62"/>
    <x v="17"/>
    <s v="M"/>
    <s v="Charcoal"/>
    <x v="0"/>
    <n v="4.0999999999999996"/>
    <s v="Yes"/>
    <s v="Credit Card"/>
    <s v="Store Pickup"/>
    <s v="Yes"/>
    <s v="Yes"/>
    <n v="22"/>
    <x v="5"/>
    <s v="Quarterly"/>
    <n v="1"/>
    <x v="3"/>
  </r>
  <r>
    <n v="23"/>
    <n v="56"/>
    <s v="Male"/>
    <s v="Pants"/>
    <x v="0"/>
    <n v="37"/>
    <x v="18"/>
    <s v="M"/>
    <s v="Peach"/>
    <x v="2"/>
    <n v="3.2"/>
    <s v="Yes"/>
    <s v="Cash"/>
    <s v="Store Pickup"/>
    <s v="Yes"/>
    <s v="Yes"/>
    <n v="32"/>
    <x v="5"/>
    <s v="Annually"/>
    <n v="1"/>
    <x v="0"/>
  </r>
  <r>
    <n v="24"/>
    <n v="31"/>
    <s v="Male"/>
    <s v="Pants"/>
    <x v="0"/>
    <n v="88"/>
    <x v="19"/>
    <s v="XL"/>
    <s v="White"/>
    <x v="0"/>
    <n v="4.4000000000000004"/>
    <s v="Yes"/>
    <s v="Credit Card"/>
    <s v="Express"/>
    <s v="Yes"/>
    <s v="Yes"/>
    <n v="40"/>
    <x v="2"/>
    <s v="Weekly"/>
    <n v="1"/>
    <x v="3"/>
  </r>
  <r>
    <n v="25"/>
    <n v="18"/>
    <s v="Male"/>
    <s v="Jacket"/>
    <x v="2"/>
    <n v="22"/>
    <x v="20"/>
    <s v="M"/>
    <s v="Green"/>
    <x v="3"/>
    <n v="2.9"/>
    <s v="Yes"/>
    <s v="Cash"/>
    <s v="Store Pickup"/>
    <s v="Yes"/>
    <s v="Yes"/>
    <n v="16"/>
    <x v="5"/>
    <s v="Weekly"/>
    <n v="1"/>
    <x v="1"/>
  </r>
  <r>
    <n v="26"/>
    <n v="18"/>
    <s v="Male"/>
    <s v="Hoodie"/>
    <x v="0"/>
    <n v="25"/>
    <x v="21"/>
    <s v="M"/>
    <s v="Silver"/>
    <x v="2"/>
    <n v="3.6"/>
    <s v="Yes"/>
    <s v="Bank Transfer"/>
    <s v="Express"/>
    <s v="Yes"/>
    <s v="Yes"/>
    <n v="14"/>
    <x v="3"/>
    <s v="Annually"/>
    <n v="1"/>
    <x v="1"/>
  </r>
  <r>
    <n v="27"/>
    <n v="38"/>
    <s v="Male"/>
    <s v="Jewelry"/>
    <x v="3"/>
    <n v="20"/>
    <x v="22"/>
    <s v="M"/>
    <s v="Red"/>
    <x v="1"/>
    <n v="3.6"/>
    <s v="Yes"/>
    <s v="Cash"/>
    <s v="Next Day Air"/>
    <s v="Yes"/>
    <s v="Yes"/>
    <n v="13"/>
    <x v="2"/>
    <s v="Annually"/>
    <n v="1"/>
    <x v="2"/>
  </r>
  <r>
    <n v="28"/>
    <n v="56"/>
    <s v="Male"/>
    <s v="Shorts"/>
    <x v="0"/>
    <n v="56"/>
    <x v="0"/>
    <s v="L"/>
    <s v="Cyan"/>
    <x v="2"/>
    <n v="5"/>
    <s v="Yes"/>
    <s v="Debit Card"/>
    <s v="Next Day Air"/>
    <s v="Yes"/>
    <s v="Yes"/>
    <n v="7"/>
    <x v="4"/>
    <s v="Every 3 Months"/>
    <n v="1"/>
    <x v="0"/>
  </r>
  <r>
    <n v="29"/>
    <n v="54"/>
    <s v="Male"/>
    <s v="Handbag"/>
    <x v="3"/>
    <n v="94"/>
    <x v="17"/>
    <s v="M"/>
    <s v="Gray"/>
    <x v="3"/>
    <n v="4.4000000000000004"/>
    <s v="Yes"/>
    <s v="Debit Card"/>
    <s v="Free Shipping"/>
    <s v="Yes"/>
    <s v="Yes"/>
    <n v="41"/>
    <x v="3"/>
    <s v="Every 3 Months"/>
    <n v="1"/>
    <x v="0"/>
  </r>
  <r>
    <n v="30"/>
    <n v="31"/>
    <s v="Male"/>
    <s v="Dress"/>
    <x v="0"/>
    <n v="48"/>
    <x v="5"/>
    <s v="S"/>
    <s v="Black"/>
    <x v="3"/>
    <n v="4.0999999999999996"/>
    <s v="Yes"/>
    <s v="Venmo"/>
    <s v="Store Pickup"/>
    <s v="Yes"/>
    <s v="Yes"/>
    <n v="14"/>
    <x v="2"/>
    <s v="Weekly"/>
    <n v="1"/>
    <x v="3"/>
  </r>
  <r>
    <n v="31"/>
    <n v="57"/>
    <s v="Male"/>
    <s v="Jewelry"/>
    <x v="3"/>
    <n v="31"/>
    <x v="17"/>
    <s v="L"/>
    <s v="Black"/>
    <x v="0"/>
    <n v="4.7"/>
    <s v="Yes"/>
    <s v="Bank Transfer"/>
    <s v="Standard"/>
    <s v="Yes"/>
    <s v="Yes"/>
    <n v="16"/>
    <x v="2"/>
    <s v="Monthly"/>
    <n v="1"/>
    <x v="0"/>
  </r>
  <r>
    <n v="32"/>
    <n v="33"/>
    <s v="Male"/>
    <s v="Dress"/>
    <x v="0"/>
    <n v="79"/>
    <x v="8"/>
    <s v="L"/>
    <s v="Brown"/>
    <x v="0"/>
    <n v="4.7"/>
    <s v="Yes"/>
    <s v="Venmo"/>
    <s v="Store Pickup"/>
    <s v="Yes"/>
    <s v="Yes"/>
    <n v="45"/>
    <x v="0"/>
    <s v="Monthly"/>
    <n v="1"/>
    <x v="3"/>
  </r>
  <r>
    <n v="33"/>
    <n v="36"/>
    <s v="Male"/>
    <s v="Jacket"/>
    <x v="2"/>
    <n v="67"/>
    <x v="23"/>
    <s v="M"/>
    <s v="Silver"/>
    <x v="2"/>
    <n v="4.9000000000000004"/>
    <s v="Yes"/>
    <s v="Bank Transfer"/>
    <s v="Free Shipping"/>
    <s v="Yes"/>
    <s v="Yes"/>
    <n v="37"/>
    <x v="0"/>
    <s v="Annually"/>
    <n v="1"/>
    <x v="2"/>
  </r>
  <r>
    <n v="34"/>
    <n v="54"/>
    <s v="Male"/>
    <s v="Pants"/>
    <x v="0"/>
    <n v="38"/>
    <x v="24"/>
    <s v="L"/>
    <s v="Green"/>
    <x v="2"/>
    <n v="3.3"/>
    <s v="Yes"/>
    <s v="Venmo"/>
    <s v="Store Pickup"/>
    <s v="Yes"/>
    <s v="Yes"/>
    <n v="45"/>
    <x v="1"/>
    <s v="Quarterly"/>
    <n v="1"/>
    <x v="0"/>
  </r>
  <r>
    <n v="35"/>
    <n v="36"/>
    <s v="Male"/>
    <s v="T-shirt"/>
    <x v="0"/>
    <n v="91"/>
    <x v="25"/>
    <s v="L"/>
    <s v="Violet"/>
    <x v="1"/>
    <n v="4.5999999999999996"/>
    <s v="Yes"/>
    <s v="Debit Card"/>
    <s v="2-Day Shipping"/>
    <s v="Yes"/>
    <s v="Yes"/>
    <n v="38"/>
    <x v="3"/>
    <s v="Quarterly"/>
    <n v="1"/>
    <x v="2"/>
  </r>
  <r>
    <n v="36"/>
    <n v="54"/>
    <s v="Male"/>
    <s v="Blouse"/>
    <x v="0"/>
    <n v="33"/>
    <x v="2"/>
    <s v="M"/>
    <s v="Cyan"/>
    <x v="2"/>
    <n v="4"/>
    <s v="Yes"/>
    <s v="Bank Transfer"/>
    <s v="2-Day Shipping"/>
    <s v="Yes"/>
    <s v="Yes"/>
    <n v="48"/>
    <x v="2"/>
    <s v="Bi-Weekly"/>
    <n v="1"/>
    <x v="0"/>
  </r>
  <r>
    <n v="37"/>
    <n v="35"/>
    <s v="Male"/>
    <s v="T-shirt"/>
    <x v="0"/>
    <n v="69"/>
    <x v="26"/>
    <s v="M"/>
    <s v="Maroon"/>
    <x v="0"/>
    <n v="4.5999999999999996"/>
    <s v="Yes"/>
    <s v="Cash"/>
    <s v="Free Shipping"/>
    <s v="Yes"/>
    <s v="Yes"/>
    <n v="44"/>
    <x v="3"/>
    <s v="Fortnightly"/>
    <n v="1"/>
    <x v="3"/>
  </r>
  <r>
    <n v="38"/>
    <n v="35"/>
    <s v="Male"/>
    <s v="Jeans"/>
    <x v="0"/>
    <n v="45"/>
    <x v="27"/>
    <s v="S"/>
    <s v="Cyan"/>
    <x v="2"/>
    <n v="2.8"/>
    <s v="Yes"/>
    <s v="Debit Card"/>
    <s v="Store Pickup"/>
    <s v="Yes"/>
    <s v="Yes"/>
    <n v="10"/>
    <x v="3"/>
    <s v="Weekly"/>
    <n v="1"/>
    <x v="3"/>
  </r>
  <r>
    <n v="39"/>
    <n v="29"/>
    <s v="Male"/>
    <s v="Dress"/>
    <x v="0"/>
    <n v="37"/>
    <x v="20"/>
    <s v="M"/>
    <s v="Red"/>
    <x v="0"/>
    <n v="3.7"/>
    <s v="Yes"/>
    <s v="Debit Card"/>
    <s v="2-Day Shipping"/>
    <s v="Yes"/>
    <s v="Yes"/>
    <n v="44"/>
    <x v="0"/>
    <s v="Every 3 Months"/>
    <n v="1"/>
    <x v="3"/>
  </r>
  <r>
    <n v="40"/>
    <n v="70"/>
    <s v="Male"/>
    <s v="Pants"/>
    <x v="0"/>
    <n v="60"/>
    <x v="28"/>
    <s v="S"/>
    <s v="Turquoise"/>
    <x v="2"/>
    <n v="4.2"/>
    <s v="Yes"/>
    <s v="Bank Transfer"/>
    <s v="Express"/>
    <s v="Yes"/>
    <s v="Yes"/>
    <n v="18"/>
    <x v="2"/>
    <s v="Monthly"/>
    <n v="1"/>
    <x v="0"/>
  </r>
  <r>
    <n v="41"/>
    <n v="69"/>
    <s v="Male"/>
    <s v="Handbag"/>
    <x v="3"/>
    <n v="76"/>
    <x v="7"/>
    <s v="L"/>
    <s v="Beige"/>
    <x v="0"/>
    <n v="4.5999999999999996"/>
    <s v="Yes"/>
    <s v="PayPal"/>
    <s v="Next Day Air"/>
    <s v="Yes"/>
    <s v="Yes"/>
    <n v="31"/>
    <x v="5"/>
    <s v="Quarterly"/>
    <n v="1"/>
    <x v="0"/>
  </r>
  <r>
    <n v="42"/>
    <n v="67"/>
    <s v="Male"/>
    <s v="Scarf"/>
    <x v="3"/>
    <n v="39"/>
    <x v="29"/>
    <s v="M"/>
    <s v="Orange"/>
    <x v="1"/>
    <n v="4.5"/>
    <s v="Yes"/>
    <s v="Cash"/>
    <s v="Standard"/>
    <s v="Yes"/>
    <s v="Yes"/>
    <n v="40"/>
    <x v="0"/>
    <s v="Annually"/>
    <n v="1"/>
    <x v="0"/>
  </r>
  <r>
    <n v="43"/>
    <n v="20"/>
    <s v="Male"/>
    <s v="Coat"/>
    <x v="2"/>
    <n v="100"/>
    <x v="30"/>
    <s v="M"/>
    <s v="Beige"/>
    <x v="1"/>
    <n v="4.0999999999999996"/>
    <s v="Yes"/>
    <s v="Bank Transfer"/>
    <s v="Free Shipping"/>
    <s v="Yes"/>
    <s v="Yes"/>
    <n v="15"/>
    <x v="3"/>
    <s v="Annually"/>
    <n v="1"/>
    <x v="1"/>
  </r>
  <r>
    <n v="44"/>
    <n v="25"/>
    <s v="Male"/>
    <s v="Scarf"/>
    <x v="3"/>
    <n v="69"/>
    <x v="31"/>
    <s v="L"/>
    <s v="Lavender"/>
    <x v="3"/>
    <n v="3.7"/>
    <s v="Yes"/>
    <s v="PayPal"/>
    <s v="Store Pickup"/>
    <s v="Yes"/>
    <s v="Yes"/>
    <n v="19"/>
    <x v="3"/>
    <s v="Fortnightly"/>
    <n v="1"/>
    <x v="1"/>
  </r>
  <r>
    <n v="45"/>
    <n v="39"/>
    <s v="Male"/>
    <s v="Hat"/>
    <x v="3"/>
    <n v="53"/>
    <x v="0"/>
    <s v="S"/>
    <s v="Silver"/>
    <x v="2"/>
    <n v="4.5999999999999996"/>
    <s v="Yes"/>
    <s v="Bank Transfer"/>
    <s v="Free Shipping"/>
    <s v="Yes"/>
    <s v="Yes"/>
    <n v="45"/>
    <x v="3"/>
    <s v="Weekly"/>
    <n v="1"/>
    <x v="2"/>
  </r>
  <r>
    <n v="46"/>
    <n v="50"/>
    <s v="Male"/>
    <s v="Socks"/>
    <x v="0"/>
    <n v="21"/>
    <x v="30"/>
    <s v="XL"/>
    <s v="Indigo"/>
    <x v="3"/>
    <n v="2.9"/>
    <s v="Yes"/>
    <s v="Venmo"/>
    <s v="2-Day Shipping"/>
    <s v="Yes"/>
    <s v="Yes"/>
    <n v="25"/>
    <x v="3"/>
    <s v="Annually"/>
    <n v="1"/>
    <x v="0"/>
  </r>
  <r>
    <n v="47"/>
    <n v="57"/>
    <s v="Male"/>
    <s v="Shirt"/>
    <x v="0"/>
    <n v="43"/>
    <x v="18"/>
    <s v="L"/>
    <s v="White"/>
    <x v="2"/>
    <n v="2.9"/>
    <s v="Yes"/>
    <s v="Venmo"/>
    <s v="Store Pickup"/>
    <s v="Yes"/>
    <s v="Yes"/>
    <n v="45"/>
    <x v="1"/>
    <s v="Quarterly"/>
    <n v="1"/>
    <x v="0"/>
  </r>
  <r>
    <n v="48"/>
    <n v="55"/>
    <s v="Male"/>
    <s v="Jewelry"/>
    <x v="3"/>
    <n v="54"/>
    <x v="6"/>
    <s v="M"/>
    <s v="Charcoal"/>
    <x v="0"/>
    <n v="4.5"/>
    <s v="Yes"/>
    <s v="Debit Card"/>
    <s v="Free Shipping"/>
    <s v="Yes"/>
    <s v="Yes"/>
    <n v="36"/>
    <x v="1"/>
    <s v="Weekly"/>
    <n v="1"/>
    <x v="0"/>
  </r>
  <r>
    <n v="49"/>
    <n v="42"/>
    <s v="Male"/>
    <s v="Shirt"/>
    <x v="0"/>
    <n v="55"/>
    <x v="22"/>
    <s v="M"/>
    <s v="Orange"/>
    <x v="2"/>
    <n v="2.7"/>
    <s v="Yes"/>
    <s v="Debit Card"/>
    <s v="Store Pickup"/>
    <s v="Yes"/>
    <s v="Yes"/>
    <n v="38"/>
    <x v="1"/>
    <s v="Monthly"/>
    <n v="1"/>
    <x v="2"/>
  </r>
  <r>
    <n v="50"/>
    <n v="68"/>
    <s v="Male"/>
    <s v="Hoodie"/>
    <x v="0"/>
    <n v="30"/>
    <x v="32"/>
    <s v="S"/>
    <s v="Indigo"/>
    <x v="1"/>
    <n v="4.5999999999999996"/>
    <s v="Yes"/>
    <s v="Bank Transfer"/>
    <s v="Next Day Air"/>
    <s v="Yes"/>
    <s v="Yes"/>
    <n v="34"/>
    <x v="5"/>
    <s v="Bi-Weekly"/>
    <n v="1"/>
    <x v="0"/>
  </r>
  <r>
    <n v="51"/>
    <n v="49"/>
    <s v="Male"/>
    <s v="Blouse"/>
    <x v="0"/>
    <n v="28"/>
    <x v="33"/>
    <s v="M"/>
    <s v="Red"/>
    <x v="1"/>
    <n v="3.7"/>
    <s v="Yes"/>
    <s v="Cash"/>
    <s v="Store Pickup"/>
    <s v="Yes"/>
    <s v="Yes"/>
    <n v="39"/>
    <x v="5"/>
    <s v="Bi-Weekly"/>
    <n v="1"/>
    <x v="0"/>
  </r>
  <r>
    <n v="52"/>
    <n v="59"/>
    <s v="Male"/>
    <s v="Skirt"/>
    <x v="0"/>
    <n v="59"/>
    <x v="34"/>
    <s v="XL"/>
    <s v="Gray"/>
    <x v="0"/>
    <n v="4.7"/>
    <s v="Yes"/>
    <s v="PayPal"/>
    <s v="2-Day Shipping"/>
    <s v="Yes"/>
    <s v="Yes"/>
    <n v="7"/>
    <x v="2"/>
    <s v="Quarterly"/>
    <n v="1"/>
    <x v="0"/>
  </r>
  <r>
    <n v="53"/>
    <n v="42"/>
    <s v="Male"/>
    <s v="T-shirt"/>
    <x v="0"/>
    <n v="20"/>
    <x v="29"/>
    <s v="M"/>
    <s v="Green"/>
    <x v="2"/>
    <n v="2.6"/>
    <s v="Yes"/>
    <s v="Credit Card"/>
    <s v="Free Shipping"/>
    <s v="Yes"/>
    <s v="Yes"/>
    <n v="26"/>
    <x v="2"/>
    <s v="Weekly"/>
    <n v="1"/>
    <x v="2"/>
  </r>
  <r>
    <n v="54"/>
    <n v="29"/>
    <s v="Male"/>
    <s v="Skirt"/>
    <x v="0"/>
    <n v="24"/>
    <x v="16"/>
    <s v="S"/>
    <s v="Peach"/>
    <x v="0"/>
    <n v="3.9"/>
    <s v="Yes"/>
    <s v="Debit Card"/>
    <s v="Next Day Air"/>
    <s v="Yes"/>
    <s v="Yes"/>
    <n v="35"/>
    <x v="2"/>
    <s v="Weekly"/>
    <n v="1"/>
    <x v="3"/>
  </r>
  <r>
    <n v="55"/>
    <n v="47"/>
    <s v="Male"/>
    <s v="Coat"/>
    <x v="2"/>
    <n v="94"/>
    <x v="35"/>
    <s v="M"/>
    <s v="Brown"/>
    <x v="2"/>
    <n v="4.2"/>
    <s v="Yes"/>
    <s v="Bank Transfer"/>
    <s v="Next Day Air"/>
    <s v="Yes"/>
    <s v="Yes"/>
    <n v="35"/>
    <x v="5"/>
    <s v="Bi-Weekly"/>
    <n v="1"/>
    <x v="0"/>
  </r>
  <r>
    <n v="56"/>
    <n v="40"/>
    <s v="Male"/>
    <s v="Jacket"/>
    <x v="2"/>
    <n v="28"/>
    <x v="36"/>
    <s v="M"/>
    <s v="Lavender"/>
    <x v="0"/>
    <n v="3"/>
    <s v="Yes"/>
    <s v="Venmo"/>
    <s v="2-Day Shipping"/>
    <s v="Yes"/>
    <s v="Yes"/>
    <n v="49"/>
    <x v="2"/>
    <s v="Annually"/>
    <n v="1"/>
    <x v="2"/>
  </r>
  <r>
    <n v="57"/>
    <n v="41"/>
    <s v="Male"/>
    <s v="Backpack"/>
    <x v="3"/>
    <n v="73"/>
    <x v="16"/>
    <s v="XL"/>
    <s v="Brown"/>
    <x v="2"/>
    <n v="4.7"/>
    <s v="Yes"/>
    <s v="PayPal"/>
    <s v="Store Pickup"/>
    <s v="Yes"/>
    <s v="Yes"/>
    <n v="46"/>
    <x v="2"/>
    <s v="Weekly"/>
    <n v="1"/>
    <x v="2"/>
  </r>
  <r>
    <n v="58"/>
    <n v="21"/>
    <s v="Male"/>
    <s v="Coat"/>
    <x v="2"/>
    <n v="64"/>
    <x v="8"/>
    <s v="M"/>
    <s v="White"/>
    <x v="2"/>
    <n v="4.4000000000000004"/>
    <s v="Yes"/>
    <s v="PayPal"/>
    <s v="Store Pickup"/>
    <s v="Yes"/>
    <s v="Yes"/>
    <n v="17"/>
    <x v="5"/>
    <s v="Fortnightly"/>
    <n v="1"/>
    <x v="1"/>
  </r>
  <r>
    <n v="59"/>
    <n v="69"/>
    <s v="Male"/>
    <s v="Hoodie"/>
    <x v="0"/>
    <n v="54"/>
    <x v="9"/>
    <s v="M"/>
    <s v="Charcoal"/>
    <x v="2"/>
    <n v="4.2"/>
    <s v="Yes"/>
    <s v="Credit Card"/>
    <s v="Free Shipping"/>
    <s v="Yes"/>
    <s v="Yes"/>
    <n v="29"/>
    <x v="0"/>
    <s v="Monthly"/>
    <n v="1"/>
    <x v="0"/>
  </r>
  <r>
    <n v="60"/>
    <n v="63"/>
    <s v="Male"/>
    <s v="Belt"/>
    <x v="3"/>
    <n v="79"/>
    <x v="7"/>
    <s v="L"/>
    <s v="Yellow"/>
    <x v="1"/>
    <n v="4.5999999999999996"/>
    <s v="Yes"/>
    <s v="Debit Card"/>
    <s v="Standard"/>
    <s v="Yes"/>
    <s v="Yes"/>
    <n v="4"/>
    <x v="5"/>
    <s v="Weekly"/>
    <n v="1"/>
    <x v="0"/>
  </r>
  <r>
    <n v="61"/>
    <n v="50"/>
    <s v="Male"/>
    <s v="Sweater"/>
    <x v="0"/>
    <n v="37"/>
    <x v="37"/>
    <s v="L"/>
    <s v="Brown"/>
    <x v="2"/>
    <n v="4"/>
    <s v="Yes"/>
    <s v="Credit Card"/>
    <s v="Express"/>
    <s v="Yes"/>
    <s v="Yes"/>
    <n v="17"/>
    <x v="1"/>
    <s v="Weekly"/>
    <n v="1"/>
    <x v="0"/>
  </r>
  <r>
    <n v="62"/>
    <n v="55"/>
    <s v="Male"/>
    <s v="Scarf"/>
    <x v="3"/>
    <n v="68"/>
    <x v="21"/>
    <s v="M"/>
    <s v="Orange"/>
    <x v="0"/>
    <n v="4.7"/>
    <s v="Yes"/>
    <s v="Bank Transfer"/>
    <s v="Store Pickup"/>
    <s v="Yes"/>
    <s v="Yes"/>
    <n v="21"/>
    <x v="2"/>
    <s v="Every 3 Months"/>
    <n v="1"/>
    <x v="0"/>
  </r>
  <r>
    <n v="63"/>
    <n v="30"/>
    <s v="Male"/>
    <s v="Sneakers"/>
    <x v="1"/>
    <n v="21"/>
    <x v="16"/>
    <s v="S"/>
    <s v="Magenta"/>
    <x v="1"/>
    <n v="3.8"/>
    <s v="Yes"/>
    <s v="Credit Card"/>
    <s v="Free Shipping"/>
    <s v="Yes"/>
    <s v="Yes"/>
    <n v="31"/>
    <x v="2"/>
    <s v="Fortnightly"/>
    <n v="1"/>
    <x v="3"/>
  </r>
  <r>
    <n v="64"/>
    <n v="33"/>
    <s v="Male"/>
    <s v="Sunglasses"/>
    <x v="3"/>
    <n v="79"/>
    <x v="28"/>
    <s v="L"/>
    <s v="Lavender"/>
    <x v="0"/>
    <n v="2.7"/>
    <s v="Yes"/>
    <s v="Credit Card"/>
    <s v="2-Day Shipping"/>
    <s v="Yes"/>
    <s v="Yes"/>
    <n v="43"/>
    <x v="2"/>
    <s v="Weekly"/>
    <n v="1"/>
    <x v="3"/>
  </r>
  <r>
    <n v="65"/>
    <n v="65"/>
    <s v="Male"/>
    <s v="Boots"/>
    <x v="1"/>
    <n v="83"/>
    <x v="15"/>
    <s v="S"/>
    <s v="Green"/>
    <x v="3"/>
    <n v="4.8"/>
    <s v="Yes"/>
    <s v="PayPal"/>
    <s v="Standard"/>
    <s v="Yes"/>
    <s v="Yes"/>
    <n v="18"/>
    <x v="5"/>
    <s v="Fortnightly"/>
    <n v="1"/>
    <x v="0"/>
  </r>
  <r>
    <n v="66"/>
    <n v="65"/>
    <s v="Male"/>
    <s v="Backpack"/>
    <x v="3"/>
    <n v="36"/>
    <x v="32"/>
    <s v="M"/>
    <s v="Purple"/>
    <x v="1"/>
    <n v="4.8"/>
    <s v="Yes"/>
    <s v="Credit Card"/>
    <s v="2-Day Shipping"/>
    <s v="Yes"/>
    <s v="Yes"/>
    <n v="44"/>
    <x v="0"/>
    <s v="Every 3 Months"/>
    <n v="1"/>
    <x v="0"/>
  </r>
  <r>
    <n v="67"/>
    <n v="31"/>
    <s v="Male"/>
    <s v="Blouse"/>
    <x v="0"/>
    <n v="94"/>
    <x v="38"/>
    <s v="S"/>
    <s v="Magenta"/>
    <x v="0"/>
    <n v="4.7"/>
    <s v="Yes"/>
    <s v="Bank Transfer"/>
    <s v="2-Day Shipping"/>
    <s v="Yes"/>
    <s v="Yes"/>
    <n v="3"/>
    <x v="0"/>
    <s v="Every 3 Months"/>
    <n v="1"/>
    <x v="3"/>
  </r>
  <r>
    <n v="68"/>
    <n v="45"/>
    <s v="Male"/>
    <s v="Coat"/>
    <x v="2"/>
    <n v="33"/>
    <x v="39"/>
    <s v="L"/>
    <s v="Gray"/>
    <x v="0"/>
    <n v="4.4000000000000004"/>
    <s v="Yes"/>
    <s v="PayPal"/>
    <s v="Store Pickup"/>
    <s v="Yes"/>
    <s v="Yes"/>
    <n v="49"/>
    <x v="5"/>
    <s v="Monthly"/>
    <n v="1"/>
    <x v="2"/>
  </r>
  <r>
    <n v="69"/>
    <n v="57"/>
    <s v="Male"/>
    <s v="Handbag"/>
    <x v="3"/>
    <n v="46"/>
    <x v="40"/>
    <s v="L"/>
    <s v="Silver"/>
    <x v="2"/>
    <n v="3.9"/>
    <s v="Yes"/>
    <s v="Credit Card"/>
    <s v="Next Day Air"/>
    <s v="Yes"/>
    <s v="Yes"/>
    <n v="21"/>
    <x v="1"/>
    <s v="Every 3 Months"/>
    <n v="1"/>
    <x v="0"/>
  </r>
  <r>
    <n v="70"/>
    <n v="48"/>
    <s v="Male"/>
    <s v="Belt"/>
    <x v="3"/>
    <n v="70"/>
    <x v="30"/>
    <s v="S"/>
    <s v="Cyan"/>
    <x v="2"/>
    <n v="4.4000000000000004"/>
    <s v="Yes"/>
    <s v="Credit Card"/>
    <s v="Express"/>
    <s v="Yes"/>
    <s v="Yes"/>
    <n v="5"/>
    <x v="1"/>
    <s v="Weekly"/>
    <n v="1"/>
    <x v="0"/>
  </r>
  <r>
    <n v="71"/>
    <n v="22"/>
    <s v="Male"/>
    <s v="Belt"/>
    <x v="3"/>
    <n v="29"/>
    <x v="15"/>
    <s v="M"/>
    <s v="Magenta"/>
    <x v="3"/>
    <n v="4.2"/>
    <s v="Yes"/>
    <s v="Credit Card"/>
    <s v="Express"/>
    <s v="Yes"/>
    <s v="Yes"/>
    <n v="32"/>
    <x v="5"/>
    <s v="Every 3 Months"/>
    <n v="1"/>
    <x v="1"/>
  </r>
  <r>
    <n v="72"/>
    <n v="36"/>
    <s v="Male"/>
    <s v="Dress"/>
    <x v="0"/>
    <n v="48"/>
    <x v="41"/>
    <s v="L"/>
    <s v="Gold"/>
    <x v="2"/>
    <n v="2.9"/>
    <s v="Yes"/>
    <s v="Debit Card"/>
    <s v="Express"/>
    <s v="Yes"/>
    <s v="Yes"/>
    <n v="34"/>
    <x v="4"/>
    <s v="Annually"/>
    <n v="1"/>
    <x v="2"/>
  </r>
  <r>
    <n v="73"/>
    <n v="18"/>
    <s v="Male"/>
    <s v="Dress"/>
    <x v="0"/>
    <n v="26"/>
    <x v="42"/>
    <s v="M"/>
    <s v="Olive"/>
    <x v="0"/>
    <n v="2.9"/>
    <s v="Yes"/>
    <s v="Debit Card"/>
    <s v="Store Pickup"/>
    <s v="Yes"/>
    <s v="Yes"/>
    <n v="21"/>
    <x v="4"/>
    <s v="Every 3 Months"/>
    <n v="1"/>
    <x v="1"/>
  </r>
  <r>
    <n v="74"/>
    <n v="48"/>
    <s v="Male"/>
    <s v="Pants"/>
    <x v="0"/>
    <n v="85"/>
    <x v="11"/>
    <s v="M"/>
    <s v="Teal"/>
    <x v="1"/>
    <n v="2.7"/>
    <s v="Yes"/>
    <s v="Debit Card"/>
    <s v="Free Shipping"/>
    <s v="Yes"/>
    <s v="Yes"/>
    <n v="43"/>
    <x v="4"/>
    <s v="Bi-Weekly"/>
    <n v="1"/>
    <x v="0"/>
  </r>
  <r>
    <n v="75"/>
    <n v="49"/>
    <s v="Male"/>
    <s v="Gloves"/>
    <x v="3"/>
    <n v="58"/>
    <x v="27"/>
    <s v="L"/>
    <s v="Violet"/>
    <x v="1"/>
    <n v="4.5"/>
    <s v="Yes"/>
    <s v="PayPal"/>
    <s v="Express"/>
    <s v="Yes"/>
    <s v="Yes"/>
    <n v="3"/>
    <x v="1"/>
    <s v="Monthly"/>
    <n v="1"/>
    <x v="0"/>
  </r>
  <r>
    <n v="76"/>
    <n v="64"/>
    <s v="Male"/>
    <s v="Scarf"/>
    <x v="3"/>
    <n v="85"/>
    <x v="40"/>
    <s v="M"/>
    <s v="Blue"/>
    <x v="2"/>
    <n v="2.7"/>
    <s v="Yes"/>
    <s v="Debit Card"/>
    <s v="Free Shipping"/>
    <s v="Yes"/>
    <s v="Yes"/>
    <n v="21"/>
    <x v="2"/>
    <s v="Annually"/>
    <n v="1"/>
    <x v="0"/>
  </r>
  <r>
    <n v="77"/>
    <n v="50"/>
    <s v="Male"/>
    <s v="Hat"/>
    <x v="3"/>
    <n v="43"/>
    <x v="12"/>
    <s v="S"/>
    <s v="Teal"/>
    <x v="2"/>
    <n v="4.2"/>
    <s v="Yes"/>
    <s v="Bank Transfer"/>
    <s v="Free Shipping"/>
    <s v="Yes"/>
    <s v="Yes"/>
    <n v="32"/>
    <x v="0"/>
    <s v="Monthly"/>
    <n v="1"/>
    <x v="0"/>
  </r>
  <r>
    <n v="78"/>
    <n v="22"/>
    <s v="Male"/>
    <s v="Dress"/>
    <x v="0"/>
    <n v="53"/>
    <x v="12"/>
    <s v="L"/>
    <s v="Gold"/>
    <x v="2"/>
    <n v="3.3"/>
    <s v="Yes"/>
    <s v="Debit Card"/>
    <s v="Next Day Air"/>
    <s v="Yes"/>
    <s v="Yes"/>
    <n v="36"/>
    <x v="5"/>
    <s v="Fortnightly"/>
    <n v="1"/>
    <x v="1"/>
  </r>
  <r>
    <n v="79"/>
    <n v="50"/>
    <s v="Male"/>
    <s v="Skirt"/>
    <x v="0"/>
    <n v="91"/>
    <x v="43"/>
    <s v="M"/>
    <s v="Maroon"/>
    <x v="1"/>
    <n v="4.7"/>
    <s v="Yes"/>
    <s v="Venmo"/>
    <s v="Free Shipping"/>
    <s v="Yes"/>
    <s v="Yes"/>
    <n v="50"/>
    <x v="0"/>
    <s v="Fortnightly"/>
    <n v="1"/>
    <x v="0"/>
  </r>
  <r>
    <n v="80"/>
    <n v="38"/>
    <s v="Male"/>
    <s v="Jacket"/>
    <x v="2"/>
    <n v="96"/>
    <x v="44"/>
    <s v="M"/>
    <s v="Olive"/>
    <x v="0"/>
    <n v="2.6"/>
    <s v="Yes"/>
    <s v="Bank Transfer"/>
    <s v="2-Day Shipping"/>
    <s v="Yes"/>
    <s v="Yes"/>
    <n v="43"/>
    <x v="4"/>
    <s v="Every 3 Months"/>
    <n v="1"/>
    <x v="2"/>
  </r>
  <r>
    <n v="81"/>
    <n v="19"/>
    <s v="Male"/>
    <s v="Sandals"/>
    <x v="1"/>
    <n v="72"/>
    <x v="14"/>
    <s v="XL"/>
    <s v="Blue"/>
    <x v="2"/>
    <n v="3.3"/>
    <s v="Yes"/>
    <s v="Credit Card"/>
    <s v="Store Pickup"/>
    <s v="Yes"/>
    <s v="Yes"/>
    <n v="24"/>
    <x v="2"/>
    <s v="Every 3 Months"/>
    <n v="1"/>
    <x v="1"/>
  </r>
  <r>
    <n v="82"/>
    <n v="67"/>
    <s v="Male"/>
    <s v="Shoes"/>
    <x v="1"/>
    <n v="96"/>
    <x v="41"/>
    <s v="L"/>
    <s v="Maroon"/>
    <x v="2"/>
    <n v="2.6"/>
    <s v="Yes"/>
    <s v="PayPal"/>
    <s v="Express"/>
    <s v="Yes"/>
    <s v="Yes"/>
    <n v="36"/>
    <x v="2"/>
    <s v="Every 3 Months"/>
    <n v="1"/>
    <x v="0"/>
  </r>
  <r>
    <n v="83"/>
    <n v="19"/>
    <s v="Male"/>
    <s v="Pants"/>
    <x v="0"/>
    <n v="28"/>
    <x v="42"/>
    <s v="S"/>
    <s v="Olive"/>
    <x v="1"/>
    <n v="4"/>
    <s v="Yes"/>
    <s v="Bank Transfer"/>
    <s v="2-Day Shipping"/>
    <s v="Yes"/>
    <s v="Yes"/>
    <n v="21"/>
    <x v="2"/>
    <s v="Every 3 Months"/>
    <n v="1"/>
    <x v="1"/>
  </r>
  <r>
    <n v="84"/>
    <n v="36"/>
    <s v="Male"/>
    <s v="Dress"/>
    <x v="0"/>
    <n v="40"/>
    <x v="21"/>
    <s v="M"/>
    <s v="Turquoise"/>
    <x v="2"/>
    <n v="4.0999999999999996"/>
    <s v="Yes"/>
    <s v="Debit Card"/>
    <s v="Standard"/>
    <s v="Yes"/>
    <s v="Yes"/>
    <n v="34"/>
    <x v="4"/>
    <s v="Weekly"/>
    <n v="1"/>
    <x v="2"/>
  </r>
  <r>
    <n v="85"/>
    <n v="52"/>
    <s v="Male"/>
    <s v="Coat"/>
    <x v="2"/>
    <n v="32"/>
    <x v="28"/>
    <s v="S"/>
    <s v="Peach"/>
    <x v="1"/>
    <n v="4.4000000000000004"/>
    <s v="Yes"/>
    <s v="Cash"/>
    <s v="Standard"/>
    <s v="Yes"/>
    <s v="Yes"/>
    <n v="42"/>
    <x v="4"/>
    <s v="Every 3 Months"/>
    <n v="1"/>
    <x v="0"/>
  </r>
  <r>
    <n v="86"/>
    <n v="53"/>
    <s v="Male"/>
    <s v="Sunglasses"/>
    <x v="3"/>
    <n v="95"/>
    <x v="35"/>
    <s v="M"/>
    <s v="Charcoal"/>
    <x v="0"/>
    <n v="4.5"/>
    <s v="Yes"/>
    <s v="Credit Card"/>
    <s v="Next Day Air"/>
    <s v="Yes"/>
    <s v="Yes"/>
    <n v="2"/>
    <x v="5"/>
    <s v="Bi-Weekly"/>
    <n v="1"/>
    <x v="0"/>
  </r>
  <r>
    <n v="87"/>
    <n v="24"/>
    <s v="Male"/>
    <s v="Hoodie"/>
    <x v="0"/>
    <n v="41"/>
    <x v="22"/>
    <s v="L"/>
    <s v="Pink"/>
    <x v="1"/>
    <n v="3.7"/>
    <s v="Yes"/>
    <s v="Venmo"/>
    <s v="2-Day Shipping"/>
    <s v="Yes"/>
    <s v="Yes"/>
    <n v="47"/>
    <x v="1"/>
    <s v="Bi-Weekly"/>
    <n v="1"/>
    <x v="1"/>
  </r>
  <r>
    <n v="88"/>
    <n v="52"/>
    <s v="Male"/>
    <s v="Shoes"/>
    <x v="1"/>
    <n v="53"/>
    <x v="31"/>
    <s v="M"/>
    <s v="Green"/>
    <x v="3"/>
    <n v="3.7"/>
    <s v="Yes"/>
    <s v="Debit Card"/>
    <s v="2-Day Shipping"/>
    <s v="Yes"/>
    <s v="Yes"/>
    <n v="44"/>
    <x v="5"/>
    <s v="Fortnightly"/>
    <n v="1"/>
    <x v="0"/>
  </r>
  <r>
    <n v="89"/>
    <n v="33"/>
    <s v="Male"/>
    <s v="T-shirt"/>
    <x v="0"/>
    <n v="47"/>
    <x v="5"/>
    <s v="M"/>
    <s v="Orange"/>
    <x v="3"/>
    <n v="3.5"/>
    <s v="Yes"/>
    <s v="Credit Card"/>
    <s v="Free Shipping"/>
    <s v="Yes"/>
    <s v="Yes"/>
    <n v="35"/>
    <x v="2"/>
    <s v="Monthly"/>
    <n v="1"/>
    <x v="3"/>
  </r>
  <r>
    <n v="90"/>
    <n v="47"/>
    <s v="Male"/>
    <s v="Jacket"/>
    <x v="2"/>
    <n v="83"/>
    <x v="18"/>
    <s v="XL"/>
    <s v="Pink"/>
    <x v="3"/>
    <n v="3.6"/>
    <s v="Yes"/>
    <s v="Bank Transfer"/>
    <s v="Next Day Air"/>
    <s v="Yes"/>
    <s v="Yes"/>
    <n v="15"/>
    <x v="1"/>
    <s v="Quarterly"/>
    <n v="1"/>
    <x v="0"/>
  </r>
  <r>
    <n v="91"/>
    <n v="25"/>
    <s v="Male"/>
    <s v="Hat"/>
    <x v="3"/>
    <n v="48"/>
    <x v="36"/>
    <s v="L"/>
    <s v="Violet"/>
    <x v="2"/>
    <n v="2.9"/>
    <s v="Yes"/>
    <s v="Venmo"/>
    <s v="Express"/>
    <s v="Yes"/>
    <s v="Yes"/>
    <n v="29"/>
    <x v="2"/>
    <s v="Monthly"/>
    <n v="1"/>
    <x v="1"/>
  </r>
  <r>
    <n v="92"/>
    <n v="44"/>
    <s v="Male"/>
    <s v="Scarf"/>
    <x v="3"/>
    <n v="99"/>
    <x v="36"/>
    <s v="S"/>
    <s v="Green"/>
    <x v="0"/>
    <n v="4.5999999999999996"/>
    <s v="Yes"/>
    <s v="PayPal"/>
    <s v="Standard"/>
    <s v="Yes"/>
    <s v="Yes"/>
    <n v="18"/>
    <x v="2"/>
    <s v="Every 3 Months"/>
    <n v="1"/>
    <x v="2"/>
  </r>
  <r>
    <n v="93"/>
    <n v="61"/>
    <s v="Male"/>
    <s v="Jacket"/>
    <x v="2"/>
    <n v="87"/>
    <x v="21"/>
    <s v="M"/>
    <s v="Olive"/>
    <x v="0"/>
    <n v="4.4000000000000004"/>
    <s v="Yes"/>
    <s v="Cash"/>
    <s v="2-Day Shipping"/>
    <s v="Yes"/>
    <s v="Yes"/>
    <n v="13"/>
    <x v="0"/>
    <s v="Every 3 Months"/>
    <n v="1"/>
    <x v="0"/>
  </r>
  <r>
    <n v="94"/>
    <n v="37"/>
    <s v="Male"/>
    <s v="Sweater"/>
    <x v="0"/>
    <n v="62"/>
    <x v="20"/>
    <s v="M"/>
    <s v="Purple"/>
    <x v="3"/>
    <n v="4.5"/>
    <s v="Yes"/>
    <s v="PayPal"/>
    <s v="Standard"/>
    <s v="Yes"/>
    <s v="Yes"/>
    <n v="46"/>
    <x v="2"/>
    <s v="Weekly"/>
    <n v="1"/>
    <x v="2"/>
  </r>
  <r>
    <n v="95"/>
    <n v="58"/>
    <s v="Male"/>
    <s v="Skirt"/>
    <x v="0"/>
    <n v="76"/>
    <x v="22"/>
    <s v="S"/>
    <s v="Silver"/>
    <x v="1"/>
    <n v="4.5999999999999996"/>
    <s v="Yes"/>
    <s v="Bank Transfer"/>
    <s v="Free Shipping"/>
    <s v="Yes"/>
    <s v="Yes"/>
    <n v="28"/>
    <x v="2"/>
    <s v="Weekly"/>
    <n v="1"/>
    <x v="0"/>
  </r>
  <r>
    <n v="96"/>
    <n v="37"/>
    <s v="Male"/>
    <s v="Sneakers"/>
    <x v="1"/>
    <n v="100"/>
    <x v="9"/>
    <s v="L"/>
    <s v="Pink"/>
    <x v="3"/>
    <n v="3.8"/>
    <s v="Yes"/>
    <s v="PayPal"/>
    <s v="Free Shipping"/>
    <s v="Yes"/>
    <s v="Yes"/>
    <n v="48"/>
    <x v="3"/>
    <s v="Monthly"/>
    <n v="1"/>
    <x v="2"/>
  </r>
  <r>
    <n v="97"/>
    <n v="32"/>
    <s v="Male"/>
    <s v="Gloves"/>
    <x v="3"/>
    <n v="73"/>
    <x v="12"/>
    <s v="S"/>
    <s v="Gold"/>
    <x v="1"/>
    <n v="3.6"/>
    <s v="Yes"/>
    <s v="Venmo"/>
    <s v="Express"/>
    <s v="Yes"/>
    <s v="Yes"/>
    <n v="43"/>
    <x v="0"/>
    <s v="Every 3 Months"/>
    <n v="1"/>
    <x v="3"/>
  </r>
  <r>
    <n v="98"/>
    <n v="21"/>
    <s v="Male"/>
    <s v="Shoes"/>
    <x v="1"/>
    <n v="92"/>
    <x v="41"/>
    <s v="M"/>
    <s v="Teal"/>
    <x v="0"/>
    <n v="4.8"/>
    <s v="Yes"/>
    <s v="PayPal"/>
    <s v="Store Pickup"/>
    <s v="Yes"/>
    <s v="Yes"/>
    <n v="37"/>
    <x v="1"/>
    <s v="Annually"/>
    <n v="1"/>
    <x v="1"/>
  </r>
  <r>
    <n v="99"/>
    <n v="20"/>
    <s v="Male"/>
    <s v="Jeans"/>
    <x v="0"/>
    <n v="67"/>
    <x v="14"/>
    <s v="XL"/>
    <s v="Teal"/>
    <x v="1"/>
    <n v="2.6"/>
    <s v="Yes"/>
    <s v="Cash"/>
    <s v="Next Day Air"/>
    <s v="Yes"/>
    <s v="Yes"/>
    <n v="20"/>
    <x v="4"/>
    <s v="Annually"/>
    <n v="1"/>
    <x v="1"/>
  </r>
  <r>
    <n v="100"/>
    <n v="26"/>
    <s v="Male"/>
    <s v="Hoodie"/>
    <x v="0"/>
    <n v="40"/>
    <x v="9"/>
    <s v="XL"/>
    <s v="Indigo"/>
    <x v="2"/>
    <n v="3.7"/>
    <s v="Yes"/>
    <s v="Cash"/>
    <s v="Express"/>
    <s v="Yes"/>
    <s v="Yes"/>
    <n v="33"/>
    <x v="5"/>
    <s v="Quarterly"/>
    <n v="1"/>
    <x v="3"/>
  </r>
  <r>
    <n v="101"/>
    <n v="62"/>
    <s v="Male"/>
    <s v="Sunglasses"/>
    <x v="3"/>
    <n v="98"/>
    <x v="45"/>
    <s v="M"/>
    <s v="Maroon"/>
    <x v="3"/>
    <n v="2.7"/>
    <s v="Yes"/>
    <s v="PayPal"/>
    <s v="Express"/>
    <s v="Yes"/>
    <s v="Yes"/>
    <n v="31"/>
    <x v="1"/>
    <s v="Fortnightly"/>
    <n v="1"/>
    <x v="0"/>
  </r>
  <r>
    <n v="102"/>
    <n v="27"/>
    <s v="Male"/>
    <s v="Coat"/>
    <x v="2"/>
    <n v="85"/>
    <x v="25"/>
    <s v="XL"/>
    <s v="White"/>
    <x v="1"/>
    <n v="4.5999999999999996"/>
    <s v="Yes"/>
    <s v="Venmo"/>
    <s v="Express"/>
    <s v="Yes"/>
    <s v="Yes"/>
    <n v="50"/>
    <x v="2"/>
    <s v="Bi-Weekly"/>
    <n v="1"/>
    <x v="3"/>
  </r>
  <r>
    <n v="103"/>
    <n v="51"/>
    <s v="Male"/>
    <s v="Socks"/>
    <x v="0"/>
    <n v="67"/>
    <x v="19"/>
    <s v="L"/>
    <s v="Violet"/>
    <x v="0"/>
    <n v="4.8"/>
    <s v="Yes"/>
    <s v="Credit Card"/>
    <s v="Next Day Air"/>
    <s v="Yes"/>
    <s v="Yes"/>
    <n v="35"/>
    <x v="2"/>
    <s v="Quarterly"/>
    <n v="1"/>
    <x v="0"/>
  </r>
  <r>
    <n v="104"/>
    <n v="54"/>
    <s v="Male"/>
    <s v="Boots"/>
    <x v="1"/>
    <n v="89"/>
    <x v="8"/>
    <s v="L"/>
    <s v="Red"/>
    <x v="0"/>
    <n v="4"/>
    <s v="Yes"/>
    <s v="Debit Card"/>
    <s v="Next Day Air"/>
    <s v="Yes"/>
    <s v="Yes"/>
    <n v="22"/>
    <x v="0"/>
    <s v="Bi-Weekly"/>
    <n v="1"/>
    <x v="0"/>
  </r>
  <r>
    <n v="105"/>
    <n v="55"/>
    <s v="Male"/>
    <s v="Sunglasses"/>
    <x v="3"/>
    <n v="24"/>
    <x v="13"/>
    <s v="L"/>
    <s v="Pink"/>
    <x v="1"/>
    <n v="4.4000000000000004"/>
    <s v="Yes"/>
    <s v="Bank Transfer"/>
    <s v="2-Day Shipping"/>
    <s v="Yes"/>
    <s v="Yes"/>
    <n v="1"/>
    <x v="3"/>
    <s v="Monthly"/>
    <n v="1"/>
    <x v="0"/>
  </r>
  <r>
    <n v="106"/>
    <n v="69"/>
    <s v="Male"/>
    <s v="Backpack"/>
    <x v="3"/>
    <n v="96"/>
    <x v="14"/>
    <s v="M"/>
    <s v="Charcoal"/>
    <x v="3"/>
    <n v="3.6"/>
    <s v="Yes"/>
    <s v="Bank Transfer"/>
    <s v="Next Day Air"/>
    <s v="Yes"/>
    <s v="Yes"/>
    <n v="4"/>
    <x v="4"/>
    <s v="Annually"/>
    <n v="1"/>
    <x v="0"/>
  </r>
  <r>
    <n v="107"/>
    <n v="64"/>
    <s v="Male"/>
    <s v="Jacket"/>
    <x v="2"/>
    <n v="35"/>
    <x v="46"/>
    <s v="L"/>
    <s v="White"/>
    <x v="2"/>
    <n v="3.7"/>
    <s v="Yes"/>
    <s v="Cash"/>
    <s v="Standard"/>
    <s v="Yes"/>
    <s v="Yes"/>
    <n v="31"/>
    <x v="2"/>
    <s v="Monthly"/>
    <n v="1"/>
    <x v="0"/>
  </r>
  <r>
    <n v="108"/>
    <n v="28"/>
    <s v="Male"/>
    <s v="Sneakers"/>
    <x v="1"/>
    <n v="67"/>
    <x v="33"/>
    <s v="L"/>
    <s v="Olive"/>
    <x v="0"/>
    <n v="3.1"/>
    <s v="Yes"/>
    <s v="Cash"/>
    <s v="Next Day Air"/>
    <s v="Yes"/>
    <s v="Yes"/>
    <n v="46"/>
    <x v="3"/>
    <s v="Fortnightly"/>
    <n v="1"/>
    <x v="3"/>
  </r>
  <r>
    <n v="109"/>
    <n v="70"/>
    <s v="Male"/>
    <s v="Socks"/>
    <x v="0"/>
    <n v="79"/>
    <x v="6"/>
    <s v="L"/>
    <s v="Purple"/>
    <x v="1"/>
    <n v="3.4"/>
    <s v="Yes"/>
    <s v="Bank Transfer"/>
    <s v="Next Day Air"/>
    <s v="Yes"/>
    <s v="Yes"/>
    <n v="32"/>
    <x v="4"/>
    <s v="Bi-Weekly"/>
    <n v="1"/>
    <x v="0"/>
  </r>
  <r>
    <n v="110"/>
    <n v="58"/>
    <s v="Male"/>
    <s v="T-shirt"/>
    <x v="0"/>
    <n v="85"/>
    <x v="15"/>
    <s v="M"/>
    <s v="Violet"/>
    <x v="1"/>
    <n v="2.6"/>
    <s v="Yes"/>
    <s v="Cash"/>
    <s v="Next Day Air"/>
    <s v="Yes"/>
    <s v="Yes"/>
    <n v="43"/>
    <x v="4"/>
    <s v="Fortnightly"/>
    <n v="1"/>
    <x v="0"/>
  </r>
  <r>
    <n v="111"/>
    <n v="56"/>
    <s v="Male"/>
    <s v="Backpack"/>
    <x v="3"/>
    <n v="26"/>
    <x v="14"/>
    <s v="M"/>
    <s v="Black"/>
    <x v="2"/>
    <n v="4"/>
    <s v="Yes"/>
    <s v="Bank Transfer"/>
    <s v="Standard"/>
    <s v="Yes"/>
    <s v="Yes"/>
    <n v="26"/>
    <x v="0"/>
    <s v="Fortnightly"/>
    <n v="1"/>
    <x v="0"/>
  </r>
  <r>
    <n v="112"/>
    <n v="26"/>
    <s v="Male"/>
    <s v="Belt"/>
    <x v="3"/>
    <n v="75"/>
    <x v="2"/>
    <s v="L"/>
    <s v="Purple"/>
    <x v="2"/>
    <n v="5"/>
    <s v="Yes"/>
    <s v="PayPal"/>
    <s v="Free Shipping"/>
    <s v="Yes"/>
    <s v="Yes"/>
    <n v="9"/>
    <x v="2"/>
    <s v="Annually"/>
    <n v="1"/>
    <x v="3"/>
  </r>
  <r>
    <n v="113"/>
    <n v="37"/>
    <s v="Male"/>
    <s v="Gloves"/>
    <x v="3"/>
    <n v="65"/>
    <x v="20"/>
    <s v="M"/>
    <s v="Red"/>
    <x v="1"/>
    <n v="4.3"/>
    <s v="Yes"/>
    <s v="Credit Card"/>
    <s v="Free Shipping"/>
    <s v="Yes"/>
    <s v="Yes"/>
    <n v="28"/>
    <x v="3"/>
    <s v="Bi-Weekly"/>
    <n v="1"/>
    <x v="2"/>
  </r>
  <r>
    <n v="114"/>
    <n v="44"/>
    <s v="Male"/>
    <s v="Hat"/>
    <x v="3"/>
    <n v="54"/>
    <x v="32"/>
    <s v="L"/>
    <s v="Maroon"/>
    <x v="0"/>
    <n v="3.1"/>
    <s v="Yes"/>
    <s v="Debit Card"/>
    <s v="Next Day Air"/>
    <s v="Yes"/>
    <s v="Yes"/>
    <n v="20"/>
    <x v="3"/>
    <s v="Quarterly"/>
    <n v="1"/>
    <x v="2"/>
  </r>
  <r>
    <n v="115"/>
    <n v="70"/>
    <s v="Male"/>
    <s v="Coat"/>
    <x v="2"/>
    <n v="95"/>
    <x v="2"/>
    <s v="S"/>
    <s v="Blue"/>
    <x v="2"/>
    <n v="3.7"/>
    <s v="Yes"/>
    <s v="Venmo"/>
    <s v="Store Pickup"/>
    <s v="Yes"/>
    <s v="Yes"/>
    <n v="9"/>
    <x v="1"/>
    <s v="Weekly"/>
    <n v="1"/>
    <x v="0"/>
  </r>
  <r>
    <n v="116"/>
    <n v="53"/>
    <s v="Male"/>
    <s v="Skirt"/>
    <x v="0"/>
    <n v="94"/>
    <x v="5"/>
    <s v="M"/>
    <s v="Gray"/>
    <x v="1"/>
    <n v="3.8"/>
    <s v="Yes"/>
    <s v="Cash"/>
    <s v="Standard"/>
    <s v="Yes"/>
    <s v="Yes"/>
    <n v="48"/>
    <x v="5"/>
    <s v="Every 3 Months"/>
    <n v="1"/>
    <x v="0"/>
  </r>
  <r>
    <n v="117"/>
    <n v="55"/>
    <s v="Male"/>
    <s v="Shoes"/>
    <x v="1"/>
    <n v="86"/>
    <x v="41"/>
    <s v="S"/>
    <s v="Blue"/>
    <x v="1"/>
    <n v="3.4"/>
    <s v="Yes"/>
    <s v="PayPal"/>
    <s v="Free Shipping"/>
    <s v="Yes"/>
    <s v="Yes"/>
    <n v="12"/>
    <x v="0"/>
    <s v="Annually"/>
    <n v="1"/>
    <x v="0"/>
  </r>
  <r>
    <n v="118"/>
    <n v="50"/>
    <s v="Male"/>
    <s v="Sandals"/>
    <x v="1"/>
    <n v="32"/>
    <x v="45"/>
    <s v="L"/>
    <s v="Yellow"/>
    <x v="2"/>
    <n v="4.5999999999999996"/>
    <s v="Yes"/>
    <s v="Bank Transfer"/>
    <s v="Express"/>
    <s v="Yes"/>
    <s v="Yes"/>
    <n v="29"/>
    <x v="1"/>
    <s v="Fortnightly"/>
    <n v="1"/>
    <x v="0"/>
  </r>
  <r>
    <n v="119"/>
    <n v="50"/>
    <s v="Male"/>
    <s v="Sweater"/>
    <x v="0"/>
    <n v="45"/>
    <x v="0"/>
    <s v="L"/>
    <s v="Orange"/>
    <x v="3"/>
    <n v="4.8"/>
    <s v="Yes"/>
    <s v="Bank Transfer"/>
    <s v="2-Day Shipping"/>
    <s v="Yes"/>
    <s v="Yes"/>
    <n v="27"/>
    <x v="1"/>
    <s v="Bi-Weekly"/>
    <n v="1"/>
    <x v="0"/>
  </r>
  <r>
    <n v="120"/>
    <n v="38"/>
    <s v="Male"/>
    <s v="Coat"/>
    <x v="2"/>
    <n v="76"/>
    <x v="5"/>
    <s v="M"/>
    <s v="Orange"/>
    <x v="3"/>
    <n v="4.3"/>
    <s v="Yes"/>
    <s v="Debit Card"/>
    <s v="Express"/>
    <s v="Yes"/>
    <s v="Yes"/>
    <n v="44"/>
    <x v="1"/>
    <s v="Annually"/>
    <n v="1"/>
    <x v="2"/>
  </r>
  <r>
    <n v="121"/>
    <n v="64"/>
    <s v="Male"/>
    <s v="Hat"/>
    <x v="3"/>
    <n v="84"/>
    <x v="8"/>
    <s v="L"/>
    <s v="Red"/>
    <x v="2"/>
    <n v="4"/>
    <s v="Yes"/>
    <s v="PayPal"/>
    <s v="Express"/>
    <s v="Yes"/>
    <s v="Yes"/>
    <n v="32"/>
    <x v="4"/>
    <s v="Annually"/>
    <n v="1"/>
    <x v="0"/>
  </r>
  <r>
    <n v="122"/>
    <n v="19"/>
    <s v="Male"/>
    <s v="Shorts"/>
    <x v="0"/>
    <n v="72"/>
    <x v="41"/>
    <s v="M"/>
    <s v="Olive"/>
    <x v="0"/>
    <n v="4.2"/>
    <s v="Yes"/>
    <s v="Cash"/>
    <s v="Standard"/>
    <s v="Yes"/>
    <s v="Yes"/>
    <n v="11"/>
    <x v="1"/>
    <s v="Fortnightly"/>
    <n v="1"/>
    <x v="1"/>
  </r>
  <r>
    <n v="123"/>
    <n v="40"/>
    <s v="Male"/>
    <s v="Backpack"/>
    <x v="3"/>
    <n v="40"/>
    <x v="47"/>
    <s v="L"/>
    <s v="Brown"/>
    <x v="1"/>
    <n v="4.8"/>
    <s v="Yes"/>
    <s v="Credit Card"/>
    <s v="2-Day Shipping"/>
    <s v="Yes"/>
    <s v="Yes"/>
    <n v="44"/>
    <x v="1"/>
    <s v="Fortnightly"/>
    <n v="1"/>
    <x v="2"/>
  </r>
  <r>
    <n v="124"/>
    <n v="57"/>
    <s v="Male"/>
    <s v="Sweater"/>
    <x v="0"/>
    <n v="89"/>
    <x v="7"/>
    <s v="L"/>
    <s v="Brown"/>
    <x v="3"/>
    <n v="3.1"/>
    <s v="Yes"/>
    <s v="Debit Card"/>
    <s v="Free Shipping"/>
    <s v="Yes"/>
    <s v="Yes"/>
    <n v="46"/>
    <x v="1"/>
    <s v="Weekly"/>
    <n v="1"/>
    <x v="0"/>
  </r>
  <r>
    <n v="125"/>
    <n v="44"/>
    <s v="Male"/>
    <s v="Sweater"/>
    <x v="0"/>
    <n v="86"/>
    <x v="22"/>
    <s v="M"/>
    <s v="Gray"/>
    <x v="1"/>
    <n v="3.1"/>
    <s v="Yes"/>
    <s v="PayPal"/>
    <s v="Next Day Air"/>
    <s v="Yes"/>
    <s v="Yes"/>
    <n v="50"/>
    <x v="3"/>
    <s v="Annually"/>
    <n v="1"/>
    <x v="2"/>
  </r>
  <r>
    <n v="126"/>
    <n v="49"/>
    <s v="Male"/>
    <s v="Shorts"/>
    <x v="0"/>
    <n v="54"/>
    <x v="18"/>
    <s v="M"/>
    <s v="Indigo"/>
    <x v="0"/>
    <n v="3.6"/>
    <s v="Yes"/>
    <s v="Cash"/>
    <s v="Next Day Air"/>
    <s v="Yes"/>
    <s v="Yes"/>
    <n v="45"/>
    <x v="0"/>
    <s v="Every 3 Months"/>
    <n v="1"/>
    <x v="0"/>
  </r>
  <r>
    <n v="127"/>
    <n v="43"/>
    <s v="Male"/>
    <s v="Shorts"/>
    <x v="0"/>
    <n v="36"/>
    <x v="16"/>
    <s v="L"/>
    <s v="Pink"/>
    <x v="1"/>
    <n v="3.9"/>
    <s v="Yes"/>
    <s v="Bank Transfer"/>
    <s v="Store Pickup"/>
    <s v="Yes"/>
    <s v="Yes"/>
    <n v="48"/>
    <x v="1"/>
    <s v="Every 3 Months"/>
    <n v="1"/>
    <x v="2"/>
  </r>
  <r>
    <n v="128"/>
    <n v="24"/>
    <s v="Male"/>
    <s v="Sweater"/>
    <x v="0"/>
    <n v="89"/>
    <x v="16"/>
    <s v="M"/>
    <s v="Gray"/>
    <x v="0"/>
    <n v="4.8"/>
    <s v="Yes"/>
    <s v="Venmo"/>
    <s v="Next Day Air"/>
    <s v="Yes"/>
    <s v="Yes"/>
    <n v="26"/>
    <x v="2"/>
    <s v="Weekly"/>
    <n v="1"/>
    <x v="1"/>
  </r>
  <r>
    <n v="129"/>
    <n v="20"/>
    <s v="Male"/>
    <s v="Scarf"/>
    <x v="3"/>
    <n v="32"/>
    <x v="18"/>
    <s v="M"/>
    <s v="Gold"/>
    <x v="1"/>
    <n v="4.7"/>
    <s v="Yes"/>
    <s v="Venmo"/>
    <s v="Standard"/>
    <s v="Yes"/>
    <s v="Yes"/>
    <n v="21"/>
    <x v="2"/>
    <s v="Fortnightly"/>
    <n v="1"/>
    <x v="1"/>
  </r>
  <r>
    <n v="130"/>
    <n v="24"/>
    <s v="Male"/>
    <s v="Dress"/>
    <x v="0"/>
    <n v="67"/>
    <x v="38"/>
    <s v="XL"/>
    <s v="Olive"/>
    <x v="2"/>
    <n v="4.2"/>
    <s v="Yes"/>
    <s v="Cash"/>
    <s v="2-Day Shipping"/>
    <s v="Yes"/>
    <s v="Yes"/>
    <n v="49"/>
    <x v="3"/>
    <s v="Bi-Weekly"/>
    <n v="1"/>
    <x v="1"/>
  </r>
  <r>
    <n v="131"/>
    <n v="44"/>
    <s v="Male"/>
    <s v="Scarf"/>
    <x v="3"/>
    <n v="39"/>
    <x v="0"/>
    <s v="L"/>
    <s v="Violet"/>
    <x v="3"/>
    <n v="3.7"/>
    <s v="Yes"/>
    <s v="Credit Card"/>
    <s v="Next Day Air"/>
    <s v="Yes"/>
    <s v="Yes"/>
    <n v="13"/>
    <x v="3"/>
    <s v="Fortnightly"/>
    <n v="1"/>
    <x v="2"/>
  </r>
  <r>
    <n v="132"/>
    <n v="28"/>
    <s v="Male"/>
    <s v="Skirt"/>
    <x v="0"/>
    <n v="29"/>
    <x v="1"/>
    <s v="L"/>
    <s v="Indigo"/>
    <x v="2"/>
    <n v="3.9"/>
    <s v="Yes"/>
    <s v="PayPal"/>
    <s v="Standard"/>
    <s v="Yes"/>
    <s v="Yes"/>
    <n v="46"/>
    <x v="2"/>
    <s v="Weekly"/>
    <n v="1"/>
    <x v="3"/>
  </r>
  <r>
    <n v="133"/>
    <n v="30"/>
    <s v="Male"/>
    <s v="Backpack"/>
    <x v="3"/>
    <n v="58"/>
    <x v="35"/>
    <s v="M"/>
    <s v="Orange"/>
    <x v="3"/>
    <n v="4.7"/>
    <s v="Yes"/>
    <s v="Bank Transfer"/>
    <s v="2-Day Shipping"/>
    <s v="Yes"/>
    <s v="Yes"/>
    <n v="42"/>
    <x v="3"/>
    <s v="Weekly"/>
    <n v="1"/>
    <x v="3"/>
  </r>
  <r>
    <n v="134"/>
    <n v="52"/>
    <s v="Male"/>
    <s v="Sweater"/>
    <x v="0"/>
    <n v="65"/>
    <x v="6"/>
    <s v="M"/>
    <s v="Violet"/>
    <x v="0"/>
    <n v="2.5"/>
    <s v="Yes"/>
    <s v="Bank Transfer"/>
    <s v="Next Day Air"/>
    <s v="Yes"/>
    <s v="Yes"/>
    <n v="25"/>
    <x v="0"/>
    <s v="Annually"/>
    <n v="1"/>
    <x v="0"/>
  </r>
  <r>
    <n v="135"/>
    <n v="43"/>
    <s v="Male"/>
    <s v="Hat"/>
    <x v="3"/>
    <n v="94"/>
    <x v="21"/>
    <s v="L"/>
    <s v="Gray"/>
    <x v="3"/>
    <n v="4.9000000000000004"/>
    <s v="Yes"/>
    <s v="Credit Card"/>
    <s v="Store Pickup"/>
    <s v="Yes"/>
    <s v="Yes"/>
    <n v="25"/>
    <x v="1"/>
    <s v="Monthly"/>
    <n v="1"/>
    <x v="2"/>
  </r>
  <r>
    <n v="136"/>
    <n v="43"/>
    <s v="Male"/>
    <s v="Sandals"/>
    <x v="1"/>
    <n v="81"/>
    <x v="23"/>
    <s v="M"/>
    <s v="Purple"/>
    <x v="3"/>
    <n v="4.0999999999999996"/>
    <s v="Yes"/>
    <s v="PayPal"/>
    <s v="Express"/>
    <s v="Yes"/>
    <s v="Yes"/>
    <n v="12"/>
    <x v="3"/>
    <s v="Quarterly"/>
    <n v="1"/>
    <x v="2"/>
  </r>
  <r>
    <n v="137"/>
    <n v="39"/>
    <s v="Male"/>
    <s v="Blouse"/>
    <x v="0"/>
    <n v="86"/>
    <x v="36"/>
    <s v="M"/>
    <s v="White"/>
    <x v="0"/>
    <n v="3.3"/>
    <s v="Yes"/>
    <s v="Credit Card"/>
    <s v="Free Shipping"/>
    <s v="Yes"/>
    <s v="Yes"/>
    <n v="4"/>
    <x v="5"/>
    <s v="Quarterly"/>
    <n v="1"/>
    <x v="2"/>
  </r>
  <r>
    <n v="138"/>
    <n v="68"/>
    <s v="Male"/>
    <s v="Sneakers"/>
    <x v="1"/>
    <n v="43"/>
    <x v="24"/>
    <s v="M"/>
    <s v="Turquoise"/>
    <x v="1"/>
    <n v="4.7"/>
    <s v="Yes"/>
    <s v="Cash"/>
    <s v="Free Shipping"/>
    <s v="Yes"/>
    <s v="Yes"/>
    <n v="38"/>
    <x v="3"/>
    <s v="Weekly"/>
    <n v="1"/>
    <x v="0"/>
  </r>
  <r>
    <n v="139"/>
    <n v="68"/>
    <s v="Male"/>
    <s v="Skirt"/>
    <x v="0"/>
    <n v="29"/>
    <x v="42"/>
    <s v="M"/>
    <s v="Maroon"/>
    <x v="0"/>
    <n v="4.4000000000000004"/>
    <s v="Yes"/>
    <s v="Cash"/>
    <s v="Store Pickup"/>
    <s v="Yes"/>
    <s v="Yes"/>
    <n v="42"/>
    <x v="4"/>
    <s v="Weekly"/>
    <n v="1"/>
    <x v="0"/>
  </r>
  <r>
    <n v="140"/>
    <n v="49"/>
    <s v="Male"/>
    <s v="Coat"/>
    <x v="2"/>
    <n v="95"/>
    <x v="20"/>
    <s v="M"/>
    <s v="White"/>
    <x v="3"/>
    <n v="3.8"/>
    <s v="Yes"/>
    <s v="Debit Card"/>
    <s v="Store Pickup"/>
    <s v="Yes"/>
    <s v="Yes"/>
    <n v="30"/>
    <x v="0"/>
    <s v="Annually"/>
    <n v="1"/>
    <x v="0"/>
  </r>
  <r>
    <n v="141"/>
    <n v="63"/>
    <s v="Male"/>
    <s v="Shirt"/>
    <x v="0"/>
    <n v="28"/>
    <x v="17"/>
    <s v="L"/>
    <s v="Yellow"/>
    <x v="3"/>
    <n v="3.9"/>
    <s v="Yes"/>
    <s v="Bank Transfer"/>
    <s v="2-Day Shipping"/>
    <s v="Yes"/>
    <s v="Yes"/>
    <n v="50"/>
    <x v="2"/>
    <s v="Weekly"/>
    <n v="1"/>
    <x v="0"/>
  </r>
  <r>
    <n v="142"/>
    <n v="56"/>
    <s v="Male"/>
    <s v="Gloves"/>
    <x v="3"/>
    <n v="46"/>
    <x v="41"/>
    <s v="M"/>
    <s v="Turquoise"/>
    <x v="3"/>
    <n v="4.9000000000000004"/>
    <s v="Yes"/>
    <s v="PayPal"/>
    <s v="Free Shipping"/>
    <s v="Yes"/>
    <s v="Yes"/>
    <n v="45"/>
    <x v="3"/>
    <s v="Weekly"/>
    <n v="1"/>
    <x v="0"/>
  </r>
  <r>
    <n v="143"/>
    <n v="37"/>
    <s v="Male"/>
    <s v="Jacket"/>
    <x v="2"/>
    <n v="58"/>
    <x v="43"/>
    <s v="L"/>
    <s v="Violet"/>
    <x v="3"/>
    <n v="3.1"/>
    <s v="Yes"/>
    <s v="PayPal"/>
    <s v="Free Shipping"/>
    <s v="Yes"/>
    <s v="Yes"/>
    <n v="33"/>
    <x v="2"/>
    <s v="Fortnightly"/>
    <n v="1"/>
    <x v="2"/>
  </r>
  <r>
    <n v="144"/>
    <n v="30"/>
    <s v="Male"/>
    <s v="Coat"/>
    <x v="2"/>
    <n v="48"/>
    <x v="9"/>
    <s v="M"/>
    <s v="Beige"/>
    <x v="3"/>
    <n v="2.7"/>
    <s v="Yes"/>
    <s v="Bank Transfer"/>
    <s v="Store Pickup"/>
    <s v="Yes"/>
    <s v="Yes"/>
    <n v="25"/>
    <x v="3"/>
    <s v="Quarterly"/>
    <n v="1"/>
    <x v="3"/>
  </r>
  <r>
    <n v="145"/>
    <n v="19"/>
    <s v="Male"/>
    <s v="Shoes"/>
    <x v="1"/>
    <n v="43"/>
    <x v="32"/>
    <s v="M"/>
    <s v="Silver"/>
    <x v="3"/>
    <n v="3.2"/>
    <s v="Yes"/>
    <s v="Credit Card"/>
    <s v="Express"/>
    <s v="Yes"/>
    <s v="Yes"/>
    <n v="25"/>
    <x v="1"/>
    <s v="Monthly"/>
    <n v="1"/>
    <x v="1"/>
  </r>
  <r>
    <n v="146"/>
    <n v="24"/>
    <s v="Male"/>
    <s v="Jewelry"/>
    <x v="3"/>
    <n v="95"/>
    <x v="9"/>
    <s v="M"/>
    <s v="Teal"/>
    <x v="3"/>
    <n v="4.5"/>
    <s v="Yes"/>
    <s v="Venmo"/>
    <s v="Standard"/>
    <s v="Yes"/>
    <s v="Yes"/>
    <n v="44"/>
    <x v="5"/>
    <s v="Quarterly"/>
    <n v="1"/>
    <x v="1"/>
  </r>
  <r>
    <n v="147"/>
    <n v="52"/>
    <s v="Male"/>
    <s v="Skirt"/>
    <x v="0"/>
    <n v="30"/>
    <x v="24"/>
    <s v="S"/>
    <s v="Black"/>
    <x v="3"/>
    <n v="4"/>
    <s v="Yes"/>
    <s v="Debit Card"/>
    <s v="Standard"/>
    <s v="Yes"/>
    <s v="Yes"/>
    <n v="21"/>
    <x v="0"/>
    <s v="Fortnightly"/>
    <n v="1"/>
    <x v="0"/>
  </r>
  <r>
    <n v="148"/>
    <n v="63"/>
    <s v="Male"/>
    <s v="Shoes"/>
    <x v="1"/>
    <n v="64"/>
    <x v="37"/>
    <s v="M"/>
    <s v="Purple"/>
    <x v="2"/>
    <n v="3.5"/>
    <s v="Yes"/>
    <s v="Bank Transfer"/>
    <s v="2-Day Shipping"/>
    <s v="Yes"/>
    <s v="Yes"/>
    <n v="31"/>
    <x v="4"/>
    <s v="Fortnightly"/>
    <n v="1"/>
    <x v="0"/>
  </r>
  <r>
    <n v="149"/>
    <n v="37"/>
    <s v="Male"/>
    <s v="Gloves"/>
    <x v="3"/>
    <n v="90"/>
    <x v="5"/>
    <s v="M"/>
    <s v="Gray"/>
    <x v="3"/>
    <n v="2.6"/>
    <s v="Yes"/>
    <s v="PayPal"/>
    <s v="Store Pickup"/>
    <s v="Yes"/>
    <s v="Yes"/>
    <n v="47"/>
    <x v="5"/>
    <s v="Annually"/>
    <n v="1"/>
    <x v="2"/>
  </r>
  <r>
    <n v="150"/>
    <n v="38"/>
    <s v="Male"/>
    <s v="Pants"/>
    <x v="0"/>
    <n v="76"/>
    <x v="12"/>
    <s v="M"/>
    <s v="White"/>
    <x v="2"/>
    <n v="3.2"/>
    <s v="Yes"/>
    <s v="Venmo"/>
    <s v="Free Shipping"/>
    <s v="Yes"/>
    <s v="Yes"/>
    <n v="14"/>
    <x v="3"/>
    <s v="Monthly"/>
    <n v="1"/>
    <x v="2"/>
  </r>
  <r>
    <n v="151"/>
    <n v="35"/>
    <s v="Male"/>
    <s v="Boots"/>
    <x v="1"/>
    <n v="96"/>
    <x v="18"/>
    <s v="L"/>
    <s v="Cyan"/>
    <x v="3"/>
    <n v="4.9000000000000004"/>
    <s v="Yes"/>
    <s v="Bank Transfer"/>
    <s v="Standard"/>
    <s v="Yes"/>
    <s v="Yes"/>
    <n v="17"/>
    <x v="5"/>
    <s v="Every 3 Months"/>
    <n v="1"/>
    <x v="3"/>
  </r>
  <r>
    <n v="152"/>
    <n v="28"/>
    <s v="Male"/>
    <s v="Sunglasses"/>
    <x v="3"/>
    <n v="47"/>
    <x v="25"/>
    <s v="L"/>
    <s v="Turquoise"/>
    <x v="3"/>
    <n v="4.5"/>
    <s v="Yes"/>
    <s v="Debit Card"/>
    <s v="Next Day Air"/>
    <s v="Yes"/>
    <s v="Yes"/>
    <n v="3"/>
    <x v="0"/>
    <s v="Annually"/>
    <n v="1"/>
    <x v="3"/>
  </r>
  <r>
    <n v="153"/>
    <n v="30"/>
    <s v="Male"/>
    <s v="Shirt"/>
    <x v="0"/>
    <n v="85"/>
    <x v="36"/>
    <s v="S"/>
    <s v="Brown"/>
    <x v="2"/>
    <n v="4.3"/>
    <s v="Yes"/>
    <s v="PayPal"/>
    <s v="Express"/>
    <s v="Yes"/>
    <s v="Yes"/>
    <n v="42"/>
    <x v="0"/>
    <s v="Annually"/>
    <n v="1"/>
    <x v="3"/>
  </r>
  <r>
    <n v="154"/>
    <n v="69"/>
    <s v="Male"/>
    <s v="Hoodie"/>
    <x v="0"/>
    <n v="55"/>
    <x v="17"/>
    <s v="M"/>
    <s v="Maroon"/>
    <x v="0"/>
    <n v="3.2"/>
    <s v="Yes"/>
    <s v="Debit Card"/>
    <s v="Standard"/>
    <s v="Yes"/>
    <s v="Yes"/>
    <n v="22"/>
    <x v="5"/>
    <s v="Annually"/>
    <n v="1"/>
    <x v="0"/>
  </r>
  <r>
    <n v="155"/>
    <n v="41"/>
    <s v="Male"/>
    <s v="Dress"/>
    <x v="0"/>
    <n v="98"/>
    <x v="19"/>
    <s v="M"/>
    <s v="Charcoal"/>
    <x v="3"/>
    <n v="3.6"/>
    <s v="Yes"/>
    <s v="Debit Card"/>
    <s v="Next Day Air"/>
    <s v="Yes"/>
    <s v="Yes"/>
    <n v="21"/>
    <x v="0"/>
    <s v="Quarterly"/>
    <n v="1"/>
    <x v="2"/>
  </r>
  <r>
    <n v="156"/>
    <n v="63"/>
    <s v="Male"/>
    <s v="Socks"/>
    <x v="0"/>
    <n v="77"/>
    <x v="1"/>
    <s v="S"/>
    <s v="Olive"/>
    <x v="1"/>
    <n v="4.3"/>
    <s v="Yes"/>
    <s v="Cash"/>
    <s v="Free Shipping"/>
    <s v="Yes"/>
    <s v="Yes"/>
    <n v="21"/>
    <x v="4"/>
    <s v="Quarterly"/>
    <n v="1"/>
    <x v="0"/>
  </r>
  <r>
    <n v="157"/>
    <n v="35"/>
    <s v="Male"/>
    <s v="Shorts"/>
    <x v="0"/>
    <n v="26"/>
    <x v="9"/>
    <s v="M"/>
    <s v="Lavender"/>
    <x v="3"/>
    <n v="4"/>
    <s v="Yes"/>
    <s v="Venmo"/>
    <s v="Standard"/>
    <s v="Yes"/>
    <s v="Yes"/>
    <n v="40"/>
    <x v="5"/>
    <s v="Annually"/>
    <n v="1"/>
    <x v="3"/>
  </r>
  <r>
    <n v="158"/>
    <n v="36"/>
    <s v="Male"/>
    <s v="Hat"/>
    <x v="3"/>
    <n v="68"/>
    <x v="34"/>
    <s v="S"/>
    <s v="Yellow"/>
    <x v="3"/>
    <n v="3"/>
    <s v="Yes"/>
    <s v="Debit Card"/>
    <s v="Next Day Air"/>
    <s v="Yes"/>
    <s v="Yes"/>
    <n v="1"/>
    <x v="4"/>
    <s v="Fortnightly"/>
    <n v="1"/>
    <x v="2"/>
  </r>
  <r>
    <n v="159"/>
    <n v="25"/>
    <s v="Male"/>
    <s v="Shirt"/>
    <x v="0"/>
    <n v="73"/>
    <x v="39"/>
    <s v="XL"/>
    <s v="Teal"/>
    <x v="3"/>
    <n v="4.0999999999999996"/>
    <s v="Yes"/>
    <s v="Bank Transfer"/>
    <s v="Standard"/>
    <s v="Yes"/>
    <s v="Yes"/>
    <n v="50"/>
    <x v="4"/>
    <s v="Monthly"/>
    <n v="1"/>
    <x v="1"/>
  </r>
  <r>
    <n v="160"/>
    <n v="58"/>
    <s v="Male"/>
    <s v="Gloves"/>
    <x v="3"/>
    <n v="27"/>
    <x v="13"/>
    <s v="M"/>
    <s v="Charcoal"/>
    <x v="3"/>
    <n v="3.8"/>
    <s v="Yes"/>
    <s v="Debit Card"/>
    <s v="Store Pickup"/>
    <s v="Yes"/>
    <s v="Yes"/>
    <n v="39"/>
    <x v="4"/>
    <s v="Every 3 Months"/>
    <n v="1"/>
    <x v="0"/>
  </r>
  <r>
    <n v="161"/>
    <n v="27"/>
    <s v="Male"/>
    <s v="Gloves"/>
    <x v="3"/>
    <n v="23"/>
    <x v="21"/>
    <s v="M"/>
    <s v="Orange"/>
    <x v="2"/>
    <n v="4.5999999999999996"/>
    <s v="Yes"/>
    <s v="Bank Transfer"/>
    <s v="Free Shipping"/>
    <s v="Yes"/>
    <s v="Yes"/>
    <n v="34"/>
    <x v="0"/>
    <s v="Monthly"/>
    <n v="1"/>
    <x v="3"/>
  </r>
  <r>
    <n v="162"/>
    <n v="65"/>
    <s v="Male"/>
    <s v="Backpack"/>
    <x v="3"/>
    <n v="49"/>
    <x v="25"/>
    <s v="M"/>
    <s v="Olive"/>
    <x v="3"/>
    <n v="3"/>
    <s v="Yes"/>
    <s v="Venmo"/>
    <s v="Express"/>
    <s v="Yes"/>
    <s v="Yes"/>
    <n v="29"/>
    <x v="0"/>
    <s v="Fortnightly"/>
    <n v="1"/>
    <x v="0"/>
  </r>
  <r>
    <n v="163"/>
    <n v="54"/>
    <s v="Male"/>
    <s v="Sunglasses"/>
    <x v="3"/>
    <n v="74"/>
    <x v="18"/>
    <s v="M"/>
    <s v="Turquoise"/>
    <x v="2"/>
    <n v="3"/>
    <s v="Yes"/>
    <s v="Credit Card"/>
    <s v="Store Pickup"/>
    <s v="Yes"/>
    <s v="Yes"/>
    <n v="31"/>
    <x v="3"/>
    <s v="Bi-Weekly"/>
    <n v="1"/>
    <x v="0"/>
  </r>
  <r>
    <n v="164"/>
    <n v="54"/>
    <s v="Male"/>
    <s v="Skirt"/>
    <x v="0"/>
    <n v="67"/>
    <x v="41"/>
    <s v="M"/>
    <s v="Purple"/>
    <x v="2"/>
    <n v="3.4"/>
    <s v="Yes"/>
    <s v="PayPal"/>
    <s v="Standard"/>
    <s v="Yes"/>
    <s v="Yes"/>
    <n v="8"/>
    <x v="5"/>
    <s v="Weekly"/>
    <n v="1"/>
    <x v="0"/>
  </r>
  <r>
    <n v="165"/>
    <n v="59"/>
    <s v="Male"/>
    <s v="Handbag"/>
    <x v="3"/>
    <n v="65"/>
    <x v="12"/>
    <s v="S"/>
    <s v="Purple"/>
    <x v="1"/>
    <n v="2.6"/>
    <s v="Yes"/>
    <s v="Debit Card"/>
    <s v="Free Shipping"/>
    <s v="Yes"/>
    <s v="Yes"/>
    <n v="5"/>
    <x v="2"/>
    <s v="Fortnightly"/>
    <n v="1"/>
    <x v="0"/>
  </r>
  <r>
    <n v="166"/>
    <n v="42"/>
    <s v="Male"/>
    <s v="Handbag"/>
    <x v="3"/>
    <n v="60"/>
    <x v="0"/>
    <s v="S"/>
    <s v="Yellow"/>
    <x v="0"/>
    <n v="2.8"/>
    <s v="Yes"/>
    <s v="Credit Card"/>
    <s v="Store Pickup"/>
    <s v="Yes"/>
    <s v="Yes"/>
    <n v="7"/>
    <x v="1"/>
    <s v="Monthly"/>
    <n v="1"/>
    <x v="2"/>
  </r>
  <r>
    <n v="167"/>
    <n v="46"/>
    <s v="Male"/>
    <s v="Sneakers"/>
    <x v="1"/>
    <n v="31"/>
    <x v="12"/>
    <s v="XL"/>
    <s v="Indigo"/>
    <x v="3"/>
    <n v="4"/>
    <s v="Yes"/>
    <s v="Cash"/>
    <s v="Store Pickup"/>
    <s v="Yes"/>
    <s v="Yes"/>
    <n v="30"/>
    <x v="1"/>
    <s v="Monthly"/>
    <n v="1"/>
    <x v="0"/>
  </r>
  <r>
    <n v="168"/>
    <n v="33"/>
    <s v="Male"/>
    <s v="Gloves"/>
    <x v="3"/>
    <n v="27"/>
    <x v="10"/>
    <s v="M"/>
    <s v="Green"/>
    <x v="3"/>
    <n v="4"/>
    <s v="Yes"/>
    <s v="Venmo"/>
    <s v="Express"/>
    <s v="Yes"/>
    <s v="Yes"/>
    <n v="14"/>
    <x v="2"/>
    <s v="Every 3 Months"/>
    <n v="1"/>
    <x v="3"/>
  </r>
  <r>
    <n v="169"/>
    <n v="34"/>
    <s v="Male"/>
    <s v="Shoes"/>
    <x v="1"/>
    <n v="80"/>
    <x v="7"/>
    <s v="M"/>
    <s v="Magenta"/>
    <x v="2"/>
    <n v="3"/>
    <s v="Yes"/>
    <s v="Bank Transfer"/>
    <s v="Express"/>
    <s v="Yes"/>
    <s v="Yes"/>
    <n v="5"/>
    <x v="1"/>
    <s v="Fortnightly"/>
    <n v="1"/>
    <x v="3"/>
  </r>
  <r>
    <n v="170"/>
    <n v="27"/>
    <s v="Male"/>
    <s v="Jacket"/>
    <x v="2"/>
    <n v="30"/>
    <x v="22"/>
    <s v="S"/>
    <s v="Gold"/>
    <x v="2"/>
    <n v="3.3"/>
    <s v="Yes"/>
    <s v="Credit Card"/>
    <s v="Standard"/>
    <s v="Yes"/>
    <s v="Yes"/>
    <n v="3"/>
    <x v="3"/>
    <s v="Every 3 Months"/>
    <n v="1"/>
    <x v="3"/>
  </r>
  <r>
    <n v="171"/>
    <n v="52"/>
    <s v="Male"/>
    <s v="Shirt"/>
    <x v="0"/>
    <n v="25"/>
    <x v="5"/>
    <s v="M"/>
    <s v="Maroon"/>
    <x v="3"/>
    <n v="2.6"/>
    <s v="Yes"/>
    <s v="Venmo"/>
    <s v="Store Pickup"/>
    <s v="Yes"/>
    <s v="Yes"/>
    <n v="46"/>
    <x v="0"/>
    <s v="Bi-Weekly"/>
    <n v="1"/>
    <x v="0"/>
  </r>
  <r>
    <n v="172"/>
    <n v="29"/>
    <s v="Male"/>
    <s v="Shorts"/>
    <x v="0"/>
    <n v="35"/>
    <x v="41"/>
    <s v="M"/>
    <s v="Blue"/>
    <x v="2"/>
    <n v="3.6"/>
    <s v="Yes"/>
    <s v="Debit Card"/>
    <s v="Store Pickup"/>
    <s v="Yes"/>
    <s v="Yes"/>
    <n v="4"/>
    <x v="2"/>
    <s v="Weekly"/>
    <n v="1"/>
    <x v="3"/>
  </r>
  <r>
    <n v="173"/>
    <n v="54"/>
    <s v="Male"/>
    <s v="Jewelry"/>
    <x v="3"/>
    <n v="67"/>
    <x v="43"/>
    <s v="M"/>
    <s v="Violet"/>
    <x v="2"/>
    <n v="3.9"/>
    <s v="Yes"/>
    <s v="Bank Transfer"/>
    <s v="Next Day Air"/>
    <s v="Yes"/>
    <s v="Yes"/>
    <n v="42"/>
    <x v="2"/>
    <s v="Bi-Weekly"/>
    <n v="1"/>
    <x v="0"/>
  </r>
  <r>
    <n v="174"/>
    <n v="25"/>
    <s v="Male"/>
    <s v="Hat"/>
    <x v="3"/>
    <n v="46"/>
    <x v="11"/>
    <s v="M"/>
    <s v="Turquoise"/>
    <x v="3"/>
    <n v="3.4"/>
    <s v="Yes"/>
    <s v="PayPal"/>
    <s v="Standard"/>
    <s v="Yes"/>
    <s v="Yes"/>
    <n v="30"/>
    <x v="1"/>
    <s v="Annually"/>
    <n v="1"/>
    <x v="1"/>
  </r>
  <r>
    <n v="175"/>
    <n v="41"/>
    <s v="Male"/>
    <s v="Shoes"/>
    <x v="1"/>
    <n v="35"/>
    <x v="34"/>
    <s v="L"/>
    <s v="Brown"/>
    <x v="0"/>
    <n v="3.5"/>
    <s v="Yes"/>
    <s v="Venmo"/>
    <s v="Express"/>
    <s v="Yes"/>
    <s v="Yes"/>
    <n v="37"/>
    <x v="0"/>
    <s v="Annually"/>
    <n v="1"/>
    <x v="2"/>
  </r>
  <r>
    <n v="176"/>
    <n v="53"/>
    <s v="Male"/>
    <s v="Coat"/>
    <x v="2"/>
    <n v="86"/>
    <x v="19"/>
    <s v="L"/>
    <s v="Violet"/>
    <x v="3"/>
    <n v="2.8"/>
    <s v="Yes"/>
    <s v="Debit Card"/>
    <s v="Next Day Air"/>
    <s v="Yes"/>
    <s v="Yes"/>
    <n v="2"/>
    <x v="4"/>
    <s v="Annually"/>
    <n v="1"/>
    <x v="0"/>
  </r>
  <r>
    <n v="177"/>
    <n v="53"/>
    <s v="Male"/>
    <s v="Backpack"/>
    <x v="3"/>
    <n v="81"/>
    <x v="13"/>
    <s v="L"/>
    <s v="Black"/>
    <x v="1"/>
    <n v="2.7"/>
    <s v="Yes"/>
    <s v="Bank Transfer"/>
    <s v="Next Day Air"/>
    <s v="Yes"/>
    <s v="Yes"/>
    <n v="30"/>
    <x v="2"/>
    <s v="Quarterly"/>
    <n v="1"/>
    <x v="0"/>
  </r>
  <r>
    <n v="178"/>
    <n v="21"/>
    <s v="Male"/>
    <s v="Hoodie"/>
    <x v="0"/>
    <n v="42"/>
    <x v="23"/>
    <s v="L"/>
    <s v="Magenta"/>
    <x v="3"/>
    <n v="3.7"/>
    <s v="Yes"/>
    <s v="Debit Card"/>
    <s v="Next Day Air"/>
    <s v="Yes"/>
    <s v="Yes"/>
    <n v="47"/>
    <x v="4"/>
    <s v="Monthly"/>
    <n v="1"/>
    <x v="1"/>
  </r>
  <r>
    <n v="179"/>
    <n v="61"/>
    <s v="Male"/>
    <s v="Skirt"/>
    <x v="0"/>
    <n v="43"/>
    <x v="37"/>
    <s v="L"/>
    <s v="Lavender"/>
    <x v="3"/>
    <n v="4.3"/>
    <s v="Yes"/>
    <s v="Debit Card"/>
    <s v="2-Day Shipping"/>
    <s v="Yes"/>
    <s v="Yes"/>
    <n v="21"/>
    <x v="3"/>
    <s v="Quarterly"/>
    <n v="1"/>
    <x v="0"/>
  </r>
  <r>
    <n v="180"/>
    <n v="64"/>
    <s v="Male"/>
    <s v="Boots"/>
    <x v="1"/>
    <n v="31"/>
    <x v="26"/>
    <s v="M"/>
    <s v="Violet"/>
    <x v="3"/>
    <n v="4.9000000000000004"/>
    <s v="Yes"/>
    <s v="Debit Card"/>
    <s v="Store Pickup"/>
    <s v="Yes"/>
    <s v="Yes"/>
    <n v="9"/>
    <x v="4"/>
    <s v="Fortnightly"/>
    <n v="1"/>
    <x v="0"/>
  </r>
  <r>
    <n v="181"/>
    <n v="51"/>
    <s v="Male"/>
    <s v="Sandals"/>
    <x v="1"/>
    <n v="81"/>
    <x v="45"/>
    <s v="L"/>
    <s v="Green"/>
    <x v="3"/>
    <n v="3.3"/>
    <s v="Yes"/>
    <s v="Cash"/>
    <s v="Store Pickup"/>
    <s v="Yes"/>
    <s v="Yes"/>
    <n v="12"/>
    <x v="5"/>
    <s v="Fortnightly"/>
    <n v="1"/>
    <x v="0"/>
  </r>
  <r>
    <n v="182"/>
    <n v="32"/>
    <s v="Male"/>
    <s v="Pants"/>
    <x v="0"/>
    <n v="61"/>
    <x v="2"/>
    <s v="M"/>
    <s v="Beige"/>
    <x v="2"/>
    <n v="4.7"/>
    <s v="Yes"/>
    <s v="Venmo"/>
    <s v="Next Day Air"/>
    <s v="Yes"/>
    <s v="Yes"/>
    <n v="4"/>
    <x v="4"/>
    <s v="Weekly"/>
    <n v="1"/>
    <x v="3"/>
  </r>
  <r>
    <n v="183"/>
    <n v="38"/>
    <s v="Male"/>
    <s v="Gloves"/>
    <x v="3"/>
    <n v="96"/>
    <x v="15"/>
    <s v="XL"/>
    <s v="Purple"/>
    <x v="2"/>
    <n v="2.8"/>
    <s v="Yes"/>
    <s v="Venmo"/>
    <s v="Store Pickup"/>
    <s v="Yes"/>
    <s v="Yes"/>
    <n v="10"/>
    <x v="5"/>
    <s v="Annually"/>
    <n v="1"/>
    <x v="2"/>
  </r>
  <r>
    <n v="184"/>
    <n v="58"/>
    <s v="Male"/>
    <s v="Skirt"/>
    <x v="0"/>
    <n v="29"/>
    <x v="31"/>
    <s v="XL"/>
    <s v="Beige"/>
    <x v="1"/>
    <n v="3.6"/>
    <s v="Yes"/>
    <s v="Bank Transfer"/>
    <s v="2-Day Shipping"/>
    <s v="Yes"/>
    <s v="Yes"/>
    <n v="26"/>
    <x v="2"/>
    <s v="Weekly"/>
    <n v="1"/>
    <x v="0"/>
  </r>
  <r>
    <n v="185"/>
    <n v="32"/>
    <s v="Male"/>
    <s v="Sneakers"/>
    <x v="1"/>
    <n v="33"/>
    <x v="11"/>
    <s v="L"/>
    <s v="Cyan"/>
    <x v="1"/>
    <n v="3"/>
    <s v="Yes"/>
    <s v="Cash"/>
    <s v="Express"/>
    <s v="Yes"/>
    <s v="Yes"/>
    <n v="40"/>
    <x v="1"/>
    <s v="Fortnightly"/>
    <n v="1"/>
    <x v="3"/>
  </r>
  <r>
    <n v="186"/>
    <n v="46"/>
    <s v="Male"/>
    <s v="T-shirt"/>
    <x v="0"/>
    <n v="32"/>
    <x v="48"/>
    <s v="XL"/>
    <s v="Silver"/>
    <x v="2"/>
    <n v="4.5"/>
    <s v="Yes"/>
    <s v="Bank Transfer"/>
    <s v="Store Pickup"/>
    <s v="Yes"/>
    <s v="Yes"/>
    <n v="34"/>
    <x v="4"/>
    <s v="Fortnightly"/>
    <n v="1"/>
    <x v="0"/>
  </r>
  <r>
    <n v="187"/>
    <n v="39"/>
    <s v="Male"/>
    <s v="Backpack"/>
    <x v="3"/>
    <n v="56"/>
    <x v="46"/>
    <s v="S"/>
    <s v="Lavender"/>
    <x v="2"/>
    <n v="2.9"/>
    <s v="Yes"/>
    <s v="Debit Card"/>
    <s v="Standard"/>
    <s v="Yes"/>
    <s v="Yes"/>
    <n v="31"/>
    <x v="5"/>
    <s v="Annually"/>
    <n v="1"/>
    <x v="2"/>
  </r>
  <r>
    <n v="188"/>
    <n v="19"/>
    <s v="Male"/>
    <s v="Shoes"/>
    <x v="1"/>
    <n v="94"/>
    <x v="42"/>
    <s v="S"/>
    <s v="Purple"/>
    <x v="1"/>
    <n v="3.3"/>
    <s v="Yes"/>
    <s v="Credit Card"/>
    <s v="Store Pickup"/>
    <s v="Yes"/>
    <s v="Yes"/>
    <n v="1"/>
    <x v="4"/>
    <s v="Bi-Weekly"/>
    <n v="1"/>
    <x v="1"/>
  </r>
  <r>
    <n v="189"/>
    <n v="50"/>
    <s v="Male"/>
    <s v="Hoodie"/>
    <x v="0"/>
    <n v="53"/>
    <x v="10"/>
    <s v="M"/>
    <s v="Pink"/>
    <x v="1"/>
    <n v="3.1"/>
    <s v="Yes"/>
    <s v="Credit Card"/>
    <s v="Express"/>
    <s v="Yes"/>
    <s v="Yes"/>
    <n v="5"/>
    <x v="4"/>
    <s v="Bi-Weekly"/>
    <n v="1"/>
    <x v="0"/>
  </r>
  <r>
    <n v="190"/>
    <n v="36"/>
    <s v="Male"/>
    <s v="Blouse"/>
    <x v="0"/>
    <n v="82"/>
    <x v="8"/>
    <s v="M"/>
    <s v="Maroon"/>
    <x v="3"/>
    <n v="4.4000000000000004"/>
    <s v="Yes"/>
    <s v="Venmo"/>
    <s v="Next Day Air"/>
    <s v="Yes"/>
    <s v="Yes"/>
    <n v="4"/>
    <x v="2"/>
    <s v="Weekly"/>
    <n v="1"/>
    <x v="2"/>
  </r>
  <r>
    <n v="191"/>
    <n v="65"/>
    <s v="Male"/>
    <s v="Coat"/>
    <x v="2"/>
    <n v="70"/>
    <x v="27"/>
    <s v="XL"/>
    <s v="Beige"/>
    <x v="3"/>
    <n v="3"/>
    <s v="Yes"/>
    <s v="Venmo"/>
    <s v="Free Shipping"/>
    <s v="Yes"/>
    <s v="Yes"/>
    <n v="48"/>
    <x v="0"/>
    <s v="Quarterly"/>
    <n v="1"/>
    <x v="0"/>
  </r>
  <r>
    <n v="192"/>
    <n v="64"/>
    <s v="Male"/>
    <s v="Hat"/>
    <x v="3"/>
    <n v="76"/>
    <x v="40"/>
    <s v="M"/>
    <s v="Gray"/>
    <x v="3"/>
    <n v="3.9"/>
    <s v="Yes"/>
    <s v="Credit Card"/>
    <s v="Free Shipping"/>
    <s v="Yes"/>
    <s v="Yes"/>
    <n v="29"/>
    <x v="1"/>
    <s v="Every 3 Months"/>
    <n v="1"/>
    <x v="0"/>
  </r>
  <r>
    <n v="193"/>
    <n v="46"/>
    <s v="Male"/>
    <s v="Shoes"/>
    <x v="1"/>
    <n v="29"/>
    <x v="43"/>
    <s v="L"/>
    <s v="Turquoise"/>
    <x v="2"/>
    <n v="2.9"/>
    <s v="Yes"/>
    <s v="Venmo"/>
    <s v="Express"/>
    <s v="Yes"/>
    <s v="Yes"/>
    <n v="12"/>
    <x v="3"/>
    <s v="Bi-Weekly"/>
    <n v="1"/>
    <x v="0"/>
  </r>
  <r>
    <n v="194"/>
    <n v="36"/>
    <s v="Male"/>
    <s v="Belt"/>
    <x v="3"/>
    <n v="100"/>
    <x v="25"/>
    <s v="S"/>
    <s v="Silver"/>
    <x v="3"/>
    <n v="3"/>
    <s v="Yes"/>
    <s v="PayPal"/>
    <s v="Standard"/>
    <s v="Yes"/>
    <s v="Yes"/>
    <n v="29"/>
    <x v="0"/>
    <s v="Annually"/>
    <n v="1"/>
    <x v="2"/>
  </r>
  <r>
    <n v="195"/>
    <n v="51"/>
    <s v="Male"/>
    <s v="Backpack"/>
    <x v="3"/>
    <n v="94"/>
    <x v="9"/>
    <s v="M"/>
    <s v="Olive"/>
    <x v="1"/>
    <n v="3.1"/>
    <s v="Yes"/>
    <s v="Venmo"/>
    <s v="Express"/>
    <s v="Yes"/>
    <s v="Yes"/>
    <n v="15"/>
    <x v="5"/>
    <s v="Quarterly"/>
    <n v="1"/>
    <x v="0"/>
  </r>
  <r>
    <n v="196"/>
    <n v="51"/>
    <s v="Male"/>
    <s v="Jacket"/>
    <x v="2"/>
    <n v="25"/>
    <x v="14"/>
    <s v="M"/>
    <s v="Magenta"/>
    <x v="3"/>
    <n v="4.3"/>
    <s v="Yes"/>
    <s v="Credit Card"/>
    <s v="Free Shipping"/>
    <s v="Yes"/>
    <s v="Yes"/>
    <n v="34"/>
    <x v="2"/>
    <s v="Monthly"/>
    <n v="1"/>
    <x v="0"/>
  </r>
  <r>
    <n v="197"/>
    <n v="38"/>
    <s v="Male"/>
    <s v="Boots"/>
    <x v="1"/>
    <n v="88"/>
    <x v="47"/>
    <s v="M"/>
    <s v="Lavender"/>
    <x v="2"/>
    <n v="3.9"/>
    <s v="Yes"/>
    <s v="Cash"/>
    <s v="Next Day Air"/>
    <s v="Yes"/>
    <s v="Yes"/>
    <n v="41"/>
    <x v="2"/>
    <s v="Fortnightly"/>
    <n v="1"/>
    <x v="2"/>
  </r>
  <r>
    <n v="198"/>
    <n v="59"/>
    <s v="Male"/>
    <s v="Scarf"/>
    <x v="3"/>
    <n v="78"/>
    <x v="36"/>
    <s v="M"/>
    <s v="Black"/>
    <x v="3"/>
    <n v="3.2"/>
    <s v="Yes"/>
    <s v="Debit Card"/>
    <s v="2-Day Shipping"/>
    <s v="Yes"/>
    <s v="Yes"/>
    <n v="41"/>
    <x v="2"/>
    <s v="Monthly"/>
    <n v="1"/>
    <x v="0"/>
  </r>
  <r>
    <n v="199"/>
    <n v="57"/>
    <s v="Male"/>
    <s v="Jewelry"/>
    <x v="3"/>
    <n v="45"/>
    <x v="40"/>
    <s v="M"/>
    <s v="Turquoise"/>
    <x v="0"/>
    <n v="4.8"/>
    <s v="Yes"/>
    <s v="Cash"/>
    <s v="Standard"/>
    <s v="Yes"/>
    <s v="Yes"/>
    <n v="39"/>
    <x v="2"/>
    <s v="Fortnightly"/>
    <n v="1"/>
    <x v="0"/>
  </r>
  <r>
    <n v="200"/>
    <n v="54"/>
    <s v="Male"/>
    <s v="Hat"/>
    <x v="3"/>
    <n v="73"/>
    <x v="37"/>
    <s v="XL"/>
    <s v="Green"/>
    <x v="2"/>
    <n v="3.8"/>
    <s v="Yes"/>
    <s v="Debit Card"/>
    <s v="Express"/>
    <s v="Yes"/>
    <s v="Yes"/>
    <n v="32"/>
    <x v="1"/>
    <s v="Weekly"/>
    <n v="1"/>
    <x v="0"/>
  </r>
  <r>
    <n v="201"/>
    <n v="25"/>
    <s v="Male"/>
    <s v="Dress"/>
    <x v="0"/>
    <n v="61"/>
    <x v="38"/>
    <s v="S"/>
    <s v="Teal"/>
    <x v="2"/>
    <n v="3.3"/>
    <s v="Yes"/>
    <s v="PayPal"/>
    <s v="Next Day Air"/>
    <s v="Yes"/>
    <s v="Yes"/>
    <n v="29"/>
    <x v="0"/>
    <s v="Monthly"/>
    <n v="1"/>
    <x v="1"/>
  </r>
  <r>
    <n v="202"/>
    <n v="69"/>
    <s v="Male"/>
    <s v="Blouse"/>
    <x v="0"/>
    <n v="22"/>
    <x v="9"/>
    <s v="S"/>
    <s v="Beige"/>
    <x v="3"/>
    <n v="4.3"/>
    <s v="Yes"/>
    <s v="Bank Transfer"/>
    <s v="Free Shipping"/>
    <s v="Yes"/>
    <s v="Yes"/>
    <n v="15"/>
    <x v="4"/>
    <s v="Annually"/>
    <n v="1"/>
    <x v="0"/>
  </r>
  <r>
    <n v="203"/>
    <n v="57"/>
    <s v="Male"/>
    <s v="Hat"/>
    <x v="3"/>
    <n v="38"/>
    <x v="43"/>
    <s v="L"/>
    <s v="Magenta"/>
    <x v="1"/>
    <n v="2.7"/>
    <s v="Yes"/>
    <s v="Bank Transfer"/>
    <s v="Express"/>
    <s v="Yes"/>
    <s v="Yes"/>
    <n v="33"/>
    <x v="0"/>
    <s v="Annually"/>
    <n v="1"/>
    <x v="0"/>
  </r>
  <r>
    <n v="204"/>
    <n v="70"/>
    <s v="Male"/>
    <s v="Scarf"/>
    <x v="3"/>
    <n v="38"/>
    <x v="27"/>
    <s v="S"/>
    <s v="Yellow"/>
    <x v="3"/>
    <n v="3.2"/>
    <s v="Yes"/>
    <s v="PayPal"/>
    <s v="Next Day Air"/>
    <s v="Yes"/>
    <s v="Yes"/>
    <n v="18"/>
    <x v="4"/>
    <s v="Weekly"/>
    <n v="1"/>
    <x v="0"/>
  </r>
  <r>
    <n v="205"/>
    <n v="24"/>
    <s v="Male"/>
    <s v="Sneakers"/>
    <x v="1"/>
    <n v="100"/>
    <x v="28"/>
    <s v="M"/>
    <s v="Yellow"/>
    <x v="3"/>
    <n v="4"/>
    <s v="Yes"/>
    <s v="PayPal"/>
    <s v="Store Pickup"/>
    <s v="Yes"/>
    <s v="Yes"/>
    <n v="35"/>
    <x v="1"/>
    <s v="Bi-Weekly"/>
    <n v="1"/>
    <x v="1"/>
  </r>
  <r>
    <n v="206"/>
    <n v="67"/>
    <s v="Male"/>
    <s v="Shirt"/>
    <x v="0"/>
    <n v="64"/>
    <x v="11"/>
    <s v="M"/>
    <s v="Silver"/>
    <x v="0"/>
    <n v="3"/>
    <s v="Yes"/>
    <s v="Bank Transfer"/>
    <s v="Standard"/>
    <s v="Yes"/>
    <s v="Yes"/>
    <n v="25"/>
    <x v="3"/>
    <s v="Weekly"/>
    <n v="1"/>
    <x v="0"/>
  </r>
  <r>
    <n v="207"/>
    <n v="24"/>
    <s v="Male"/>
    <s v="T-shirt"/>
    <x v="0"/>
    <n v="55"/>
    <x v="48"/>
    <s v="L"/>
    <s v="Silver"/>
    <x v="2"/>
    <n v="4.2"/>
    <s v="Yes"/>
    <s v="Venmo"/>
    <s v="Free Shipping"/>
    <s v="Yes"/>
    <s v="Yes"/>
    <n v="6"/>
    <x v="0"/>
    <s v="Fortnightly"/>
    <n v="1"/>
    <x v="1"/>
  </r>
  <r>
    <n v="208"/>
    <n v="62"/>
    <s v="Male"/>
    <s v="Gloves"/>
    <x v="3"/>
    <n v="91"/>
    <x v="3"/>
    <s v="M"/>
    <s v="Silver"/>
    <x v="2"/>
    <n v="2.9"/>
    <s v="Yes"/>
    <s v="Venmo"/>
    <s v="Express"/>
    <s v="Yes"/>
    <s v="Yes"/>
    <n v="17"/>
    <x v="4"/>
    <s v="Bi-Weekly"/>
    <n v="1"/>
    <x v="0"/>
  </r>
  <r>
    <n v="209"/>
    <n v="57"/>
    <s v="Male"/>
    <s v="Skirt"/>
    <x v="0"/>
    <n v="38"/>
    <x v="48"/>
    <s v="M"/>
    <s v="Gold"/>
    <x v="1"/>
    <n v="4.0999999999999996"/>
    <s v="Yes"/>
    <s v="Cash"/>
    <s v="Store Pickup"/>
    <s v="Yes"/>
    <s v="Yes"/>
    <n v="17"/>
    <x v="2"/>
    <s v="Monthly"/>
    <n v="1"/>
    <x v="0"/>
  </r>
  <r>
    <n v="210"/>
    <n v="55"/>
    <s v="Male"/>
    <s v="Sandals"/>
    <x v="1"/>
    <n v="97"/>
    <x v="46"/>
    <s v="S"/>
    <s v="Olive"/>
    <x v="0"/>
    <n v="3.2"/>
    <s v="Yes"/>
    <s v="Bank Transfer"/>
    <s v="Store Pickup"/>
    <s v="Yes"/>
    <s v="Yes"/>
    <n v="44"/>
    <x v="1"/>
    <s v="Every 3 Months"/>
    <n v="1"/>
    <x v="0"/>
  </r>
  <r>
    <n v="211"/>
    <n v="45"/>
    <s v="Male"/>
    <s v="Jacket"/>
    <x v="2"/>
    <n v="22"/>
    <x v="34"/>
    <s v="L"/>
    <s v="Teal"/>
    <x v="3"/>
    <n v="3"/>
    <s v="Yes"/>
    <s v="Venmo"/>
    <s v="2-Day Shipping"/>
    <s v="Yes"/>
    <s v="Yes"/>
    <n v="6"/>
    <x v="3"/>
    <s v="Fortnightly"/>
    <n v="1"/>
    <x v="2"/>
  </r>
  <r>
    <n v="212"/>
    <n v="69"/>
    <s v="Male"/>
    <s v="Skirt"/>
    <x v="0"/>
    <n v="92"/>
    <x v="45"/>
    <s v="L"/>
    <s v="Maroon"/>
    <x v="3"/>
    <n v="4.2"/>
    <s v="Yes"/>
    <s v="Venmo"/>
    <s v="2-Day Shipping"/>
    <s v="Yes"/>
    <s v="Yes"/>
    <n v="45"/>
    <x v="5"/>
    <s v="Fortnightly"/>
    <n v="1"/>
    <x v="0"/>
  </r>
  <r>
    <n v="213"/>
    <n v="67"/>
    <s v="Male"/>
    <s v="Handbag"/>
    <x v="3"/>
    <n v="84"/>
    <x v="41"/>
    <s v="L"/>
    <s v="Blue"/>
    <x v="3"/>
    <n v="4.2"/>
    <s v="Yes"/>
    <s v="Venmo"/>
    <s v="Express"/>
    <s v="Yes"/>
    <s v="Yes"/>
    <n v="7"/>
    <x v="5"/>
    <s v="Annually"/>
    <n v="1"/>
    <x v="0"/>
  </r>
  <r>
    <n v="214"/>
    <n v="30"/>
    <s v="Male"/>
    <s v="Handbag"/>
    <x v="3"/>
    <n v="93"/>
    <x v="22"/>
    <s v="L"/>
    <s v="Peach"/>
    <x v="3"/>
    <n v="4.4000000000000004"/>
    <s v="Yes"/>
    <s v="Cash"/>
    <s v="Store Pickup"/>
    <s v="Yes"/>
    <s v="Yes"/>
    <n v="11"/>
    <x v="5"/>
    <s v="Every 3 Months"/>
    <n v="1"/>
    <x v="3"/>
  </r>
  <r>
    <n v="215"/>
    <n v="24"/>
    <s v="Male"/>
    <s v="Jacket"/>
    <x v="2"/>
    <n v="50"/>
    <x v="11"/>
    <s v="L"/>
    <s v="Blue"/>
    <x v="2"/>
    <n v="4.2"/>
    <s v="Yes"/>
    <s v="Cash"/>
    <s v="Next Day Air"/>
    <s v="Yes"/>
    <s v="Yes"/>
    <n v="41"/>
    <x v="1"/>
    <s v="Every 3 Months"/>
    <n v="1"/>
    <x v="1"/>
  </r>
  <r>
    <n v="216"/>
    <n v="62"/>
    <s v="Male"/>
    <s v="Scarf"/>
    <x v="3"/>
    <n v="64"/>
    <x v="32"/>
    <s v="S"/>
    <s v="Orange"/>
    <x v="1"/>
    <n v="2.8"/>
    <s v="Yes"/>
    <s v="Bank Transfer"/>
    <s v="2-Day Shipping"/>
    <s v="Yes"/>
    <s v="Yes"/>
    <n v="24"/>
    <x v="3"/>
    <s v="Bi-Weekly"/>
    <n v="1"/>
    <x v="0"/>
  </r>
  <r>
    <n v="217"/>
    <n v="43"/>
    <s v="Male"/>
    <s v="Shorts"/>
    <x v="0"/>
    <n v="61"/>
    <x v="2"/>
    <s v="L"/>
    <s v="Yellow"/>
    <x v="1"/>
    <n v="3.7"/>
    <s v="Yes"/>
    <s v="Cash"/>
    <s v="Free Shipping"/>
    <s v="Yes"/>
    <s v="Yes"/>
    <n v="21"/>
    <x v="0"/>
    <s v="Weekly"/>
    <n v="1"/>
    <x v="2"/>
  </r>
  <r>
    <n v="218"/>
    <n v="35"/>
    <s v="Male"/>
    <s v="Sunglasses"/>
    <x v="3"/>
    <n v="48"/>
    <x v="19"/>
    <s v="M"/>
    <s v="Purple"/>
    <x v="0"/>
    <n v="3.5"/>
    <s v="Yes"/>
    <s v="Venmo"/>
    <s v="Next Day Air"/>
    <s v="Yes"/>
    <s v="Yes"/>
    <n v="24"/>
    <x v="4"/>
    <s v="Annually"/>
    <n v="1"/>
    <x v="3"/>
  </r>
  <r>
    <n v="219"/>
    <n v="28"/>
    <s v="Male"/>
    <s v="T-shirt"/>
    <x v="0"/>
    <n v="45"/>
    <x v="18"/>
    <s v="S"/>
    <s v="Magenta"/>
    <x v="1"/>
    <n v="2.9"/>
    <s v="Yes"/>
    <s v="Credit Card"/>
    <s v="Store Pickup"/>
    <s v="Yes"/>
    <s v="Yes"/>
    <n v="8"/>
    <x v="2"/>
    <s v="Quarterly"/>
    <n v="1"/>
    <x v="3"/>
  </r>
  <r>
    <n v="220"/>
    <n v="32"/>
    <s v="Male"/>
    <s v="Belt"/>
    <x v="3"/>
    <n v="88"/>
    <x v="22"/>
    <s v="M"/>
    <s v="Cyan"/>
    <x v="1"/>
    <n v="3"/>
    <s v="Yes"/>
    <s v="Venmo"/>
    <s v="Free Shipping"/>
    <s v="Yes"/>
    <s v="Yes"/>
    <n v="12"/>
    <x v="1"/>
    <s v="Fortnightly"/>
    <n v="1"/>
    <x v="3"/>
  </r>
  <r>
    <n v="221"/>
    <n v="39"/>
    <s v="Male"/>
    <s v="Sneakers"/>
    <x v="1"/>
    <n v="57"/>
    <x v="28"/>
    <s v="S"/>
    <s v="Indigo"/>
    <x v="1"/>
    <n v="3.7"/>
    <s v="Yes"/>
    <s v="Debit Card"/>
    <s v="Express"/>
    <s v="Yes"/>
    <s v="Yes"/>
    <n v="48"/>
    <x v="5"/>
    <s v="Fortnightly"/>
    <n v="1"/>
    <x v="2"/>
  </r>
  <r>
    <n v="222"/>
    <n v="28"/>
    <s v="Male"/>
    <s v="Hat"/>
    <x v="3"/>
    <n v="68"/>
    <x v="17"/>
    <s v="XL"/>
    <s v="Magenta"/>
    <x v="2"/>
    <n v="4.4000000000000004"/>
    <s v="Yes"/>
    <s v="Debit Card"/>
    <s v="Store Pickup"/>
    <s v="Yes"/>
    <s v="Yes"/>
    <n v="6"/>
    <x v="4"/>
    <s v="Quarterly"/>
    <n v="1"/>
    <x v="3"/>
  </r>
  <r>
    <n v="223"/>
    <n v="47"/>
    <s v="Male"/>
    <s v="Gloves"/>
    <x v="3"/>
    <n v="94"/>
    <x v="14"/>
    <s v="XL"/>
    <s v="Gray"/>
    <x v="1"/>
    <n v="4.5"/>
    <s v="Yes"/>
    <s v="Venmo"/>
    <s v="2-Day Shipping"/>
    <s v="Yes"/>
    <s v="Yes"/>
    <n v="14"/>
    <x v="3"/>
    <s v="Fortnightly"/>
    <n v="1"/>
    <x v="0"/>
  </r>
  <r>
    <n v="224"/>
    <n v="20"/>
    <s v="Male"/>
    <s v="Pants"/>
    <x v="0"/>
    <n v="41"/>
    <x v="5"/>
    <s v="M"/>
    <s v="Turquoise"/>
    <x v="1"/>
    <n v="4.8"/>
    <s v="Yes"/>
    <s v="Venmo"/>
    <s v="Free Shipping"/>
    <s v="Yes"/>
    <s v="Yes"/>
    <n v="34"/>
    <x v="3"/>
    <s v="Annually"/>
    <n v="1"/>
    <x v="1"/>
  </r>
  <r>
    <n v="225"/>
    <n v="63"/>
    <s v="Male"/>
    <s v="Socks"/>
    <x v="0"/>
    <n v="83"/>
    <x v="45"/>
    <s v="S"/>
    <s v="Beige"/>
    <x v="2"/>
    <n v="2.9"/>
    <s v="Yes"/>
    <s v="PayPal"/>
    <s v="Free Shipping"/>
    <s v="Yes"/>
    <s v="Yes"/>
    <n v="12"/>
    <x v="1"/>
    <s v="Every 3 Months"/>
    <n v="1"/>
    <x v="0"/>
  </r>
  <r>
    <n v="226"/>
    <n v="25"/>
    <s v="Male"/>
    <s v="Jacket"/>
    <x v="2"/>
    <n v="22"/>
    <x v="10"/>
    <s v="M"/>
    <s v="Olive"/>
    <x v="1"/>
    <n v="3.2"/>
    <s v="Yes"/>
    <s v="Debit Card"/>
    <s v="Next Day Air"/>
    <s v="Yes"/>
    <s v="Yes"/>
    <n v="11"/>
    <x v="4"/>
    <s v="Annually"/>
    <n v="1"/>
    <x v="1"/>
  </r>
  <r>
    <n v="227"/>
    <n v="29"/>
    <s v="Male"/>
    <s v="Shoes"/>
    <x v="1"/>
    <n v="74"/>
    <x v="21"/>
    <s v="L"/>
    <s v="Violet"/>
    <x v="1"/>
    <n v="3.3"/>
    <s v="Yes"/>
    <s v="Cash"/>
    <s v="Free Shipping"/>
    <s v="Yes"/>
    <s v="Yes"/>
    <n v="5"/>
    <x v="3"/>
    <s v="Monthly"/>
    <n v="1"/>
    <x v="3"/>
  </r>
  <r>
    <n v="228"/>
    <n v="50"/>
    <s v="Male"/>
    <s v="Jeans"/>
    <x v="0"/>
    <n v="90"/>
    <x v="3"/>
    <s v="M"/>
    <s v="Turquoise"/>
    <x v="0"/>
    <n v="4.2"/>
    <s v="Yes"/>
    <s v="Venmo"/>
    <s v="Standard"/>
    <s v="Yes"/>
    <s v="Yes"/>
    <n v="25"/>
    <x v="0"/>
    <s v="Fortnightly"/>
    <n v="1"/>
    <x v="0"/>
  </r>
  <r>
    <n v="229"/>
    <n v="18"/>
    <s v="Male"/>
    <s v="Socks"/>
    <x v="0"/>
    <n v="79"/>
    <x v="13"/>
    <s v="M"/>
    <s v="White"/>
    <x v="1"/>
    <n v="2.9"/>
    <s v="Yes"/>
    <s v="Credit Card"/>
    <s v="Store Pickup"/>
    <s v="Yes"/>
    <s v="Yes"/>
    <n v="11"/>
    <x v="2"/>
    <s v="Annually"/>
    <n v="1"/>
    <x v="1"/>
  </r>
  <r>
    <n v="230"/>
    <n v="70"/>
    <s v="Male"/>
    <s v="Sandals"/>
    <x v="1"/>
    <n v="28"/>
    <x v="31"/>
    <s v="S"/>
    <s v="Silver"/>
    <x v="1"/>
    <n v="4.5999999999999996"/>
    <s v="Yes"/>
    <s v="Cash"/>
    <s v="Next Day Air"/>
    <s v="Yes"/>
    <s v="Yes"/>
    <n v="27"/>
    <x v="3"/>
    <s v="Every 3 Months"/>
    <n v="1"/>
    <x v="0"/>
  </r>
  <r>
    <n v="231"/>
    <n v="66"/>
    <s v="Male"/>
    <s v="Scarf"/>
    <x v="3"/>
    <n v="88"/>
    <x v="40"/>
    <s v="L"/>
    <s v="Olive"/>
    <x v="3"/>
    <n v="4.0999999999999996"/>
    <s v="Yes"/>
    <s v="Venmo"/>
    <s v="Standard"/>
    <s v="Yes"/>
    <s v="Yes"/>
    <n v="43"/>
    <x v="2"/>
    <s v="Annually"/>
    <n v="1"/>
    <x v="0"/>
  </r>
  <r>
    <n v="232"/>
    <n v="28"/>
    <s v="Male"/>
    <s v="Blouse"/>
    <x v="0"/>
    <n v="26"/>
    <x v="30"/>
    <s v="M"/>
    <s v="Blue"/>
    <x v="1"/>
    <n v="3.1"/>
    <s v="Yes"/>
    <s v="Bank Transfer"/>
    <s v="2-Day Shipping"/>
    <s v="Yes"/>
    <s v="Yes"/>
    <n v="18"/>
    <x v="5"/>
    <s v="Every 3 Months"/>
    <n v="1"/>
    <x v="3"/>
  </r>
  <r>
    <n v="233"/>
    <n v="54"/>
    <s v="Male"/>
    <s v="Jewelry"/>
    <x v="3"/>
    <n v="27"/>
    <x v="11"/>
    <s v="L"/>
    <s v="Purple"/>
    <x v="0"/>
    <n v="4.2"/>
    <s v="Yes"/>
    <s v="Bank Transfer"/>
    <s v="Express"/>
    <s v="Yes"/>
    <s v="Yes"/>
    <n v="32"/>
    <x v="4"/>
    <s v="Bi-Weekly"/>
    <n v="1"/>
    <x v="0"/>
  </r>
  <r>
    <n v="234"/>
    <n v="19"/>
    <s v="Male"/>
    <s v="Sweater"/>
    <x v="0"/>
    <n v="83"/>
    <x v="28"/>
    <s v="XL"/>
    <s v="Yellow"/>
    <x v="3"/>
    <n v="4.5"/>
    <s v="Yes"/>
    <s v="PayPal"/>
    <s v="Next Day Air"/>
    <s v="Yes"/>
    <s v="Yes"/>
    <n v="27"/>
    <x v="4"/>
    <s v="Every 3 Months"/>
    <n v="1"/>
    <x v="1"/>
  </r>
  <r>
    <n v="235"/>
    <n v="20"/>
    <s v="Male"/>
    <s v="Gloves"/>
    <x v="3"/>
    <n v="39"/>
    <x v="45"/>
    <s v="S"/>
    <s v="Silver"/>
    <x v="2"/>
    <n v="3.7"/>
    <s v="Yes"/>
    <s v="PayPal"/>
    <s v="Next Day Air"/>
    <s v="Yes"/>
    <s v="Yes"/>
    <n v="24"/>
    <x v="2"/>
    <s v="Weekly"/>
    <n v="1"/>
    <x v="1"/>
  </r>
  <r>
    <n v="236"/>
    <n v="43"/>
    <s v="Male"/>
    <s v="Sunglasses"/>
    <x v="3"/>
    <n v="89"/>
    <x v="32"/>
    <s v="M"/>
    <s v="Cyan"/>
    <x v="0"/>
    <n v="3.7"/>
    <s v="Yes"/>
    <s v="Cash"/>
    <s v="Free Shipping"/>
    <s v="Yes"/>
    <s v="Yes"/>
    <n v="31"/>
    <x v="5"/>
    <s v="Quarterly"/>
    <n v="1"/>
    <x v="2"/>
  </r>
  <r>
    <n v="237"/>
    <n v="38"/>
    <s v="Male"/>
    <s v="Coat"/>
    <x v="2"/>
    <n v="68"/>
    <x v="25"/>
    <s v="L"/>
    <s v="Green"/>
    <x v="0"/>
    <n v="3.4"/>
    <s v="Yes"/>
    <s v="Debit Card"/>
    <s v="Next Day Air"/>
    <s v="Yes"/>
    <s v="Yes"/>
    <n v="39"/>
    <x v="3"/>
    <s v="Fortnightly"/>
    <n v="1"/>
    <x v="2"/>
  </r>
  <r>
    <n v="238"/>
    <n v="50"/>
    <s v="Male"/>
    <s v="Dress"/>
    <x v="0"/>
    <n v="90"/>
    <x v="44"/>
    <s v="M"/>
    <s v="Beige"/>
    <x v="2"/>
    <n v="3"/>
    <s v="Yes"/>
    <s v="Venmo"/>
    <s v="Store Pickup"/>
    <s v="Yes"/>
    <s v="Yes"/>
    <n v="36"/>
    <x v="5"/>
    <s v="Fortnightly"/>
    <n v="1"/>
    <x v="0"/>
  </r>
  <r>
    <n v="239"/>
    <n v="64"/>
    <s v="Male"/>
    <s v="Skirt"/>
    <x v="0"/>
    <n v="34"/>
    <x v="31"/>
    <s v="M"/>
    <s v="Peach"/>
    <x v="3"/>
    <n v="4.2"/>
    <s v="Yes"/>
    <s v="Debit Card"/>
    <s v="Free Shipping"/>
    <s v="Yes"/>
    <s v="Yes"/>
    <n v="5"/>
    <x v="1"/>
    <s v="Annually"/>
    <n v="1"/>
    <x v="0"/>
  </r>
  <r>
    <n v="240"/>
    <n v="49"/>
    <s v="Male"/>
    <s v="Pants"/>
    <x v="0"/>
    <n v="51"/>
    <x v="34"/>
    <s v="L"/>
    <s v="Yellow"/>
    <x v="2"/>
    <n v="2.9"/>
    <s v="Yes"/>
    <s v="PayPal"/>
    <s v="Express"/>
    <s v="Yes"/>
    <s v="Yes"/>
    <n v="47"/>
    <x v="2"/>
    <s v="Bi-Weekly"/>
    <n v="1"/>
    <x v="0"/>
  </r>
  <r>
    <n v="241"/>
    <n v="47"/>
    <s v="Male"/>
    <s v="Sweater"/>
    <x v="0"/>
    <n v="45"/>
    <x v="6"/>
    <s v="XL"/>
    <s v="Turquoise"/>
    <x v="0"/>
    <n v="3.5"/>
    <s v="Yes"/>
    <s v="Credit Card"/>
    <s v="Free Shipping"/>
    <s v="Yes"/>
    <s v="Yes"/>
    <n v="29"/>
    <x v="4"/>
    <s v="Fortnightly"/>
    <n v="1"/>
    <x v="0"/>
  </r>
  <r>
    <n v="242"/>
    <n v="36"/>
    <s v="Male"/>
    <s v="Hoodie"/>
    <x v="0"/>
    <n v="88"/>
    <x v="12"/>
    <s v="M"/>
    <s v="Peach"/>
    <x v="0"/>
    <n v="4.0999999999999996"/>
    <s v="Yes"/>
    <s v="PayPal"/>
    <s v="Free Shipping"/>
    <s v="Yes"/>
    <s v="Yes"/>
    <n v="43"/>
    <x v="0"/>
    <s v="Bi-Weekly"/>
    <n v="1"/>
    <x v="2"/>
  </r>
  <r>
    <n v="243"/>
    <n v="55"/>
    <s v="Male"/>
    <s v="Coat"/>
    <x v="2"/>
    <n v="85"/>
    <x v="14"/>
    <s v="L"/>
    <s v="Gray"/>
    <x v="2"/>
    <n v="4.3"/>
    <s v="Yes"/>
    <s v="Credit Card"/>
    <s v="Store Pickup"/>
    <s v="Yes"/>
    <s v="Yes"/>
    <n v="40"/>
    <x v="5"/>
    <s v="Every 3 Months"/>
    <n v="1"/>
    <x v="0"/>
  </r>
  <r>
    <n v="244"/>
    <n v="25"/>
    <s v="Male"/>
    <s v="Jewelry"/>
    <x v="3"/>
    <n v="100"/>
    <x v="0"/>
    <s v="M"/>
    <s v="Olive"/>
    <x v="0"/>
    <n v="2.8"/>
    <s v="Yes"/>
    <s v="Credit Card"/>
    <s v="2-Day Shipping"/>
    <s v="Yes"/>
    <s v="Yes"/>
    <n v="4"/>
    <x v="5"/>
    <s v="Monthly"/>
    <n v="1"/>
    <x v="1"/>
  </r>
  <r>
    <n v="245"/>
    <n v="53"/>
    <s v="Male"/>
    <s v="Belt"/>
    <x v="3"/>
    <n v="42"/>
    <x v="4"/>
    <s v="S"/>
    <s v="Indigo"/>
    <x v="1"/>
    <n v="4.9000000000000004"/>
    <s v="Yes"/>
    <s v="Debit Card"/>
    <s v="2-Day Shipping"/>
    <s v="Yes"/>
    <s v="Yes"/>
    <n v="39"/>
    <x v="3"/>
    <s v="Weekly"/>
    <n v="1"/>
    <x v="0"/>
  </r>
  <r>
    <n v="246"/>
    <n v="49"/>
    <s v="Male"/>
    <s v="Sandals"/>
    <x v="1"/>
    <n v="53"/>
    <x v="3"/>
    <s v="L"/>
    <s v="Charcoal"/>
    <x v="2"/>
    <n v="3.3"/>
    <s v="Yes"/>
    <s v="Cash"/>
    <s v="Next Day Air"/>
    <s v="Yes"/>
    <s v="Yes"/>
    <n v="45"/>
    <x v="0"/>
    <s v="Fortnightly"/>
    <n v="1"/>
    <x v="0"/>
  </r>
  <r>
    <n v="247"/>
    <n v="35"/>
    <s v="Male"/>
    <s v="Sunglasses"/>
    <x v="3"/>
    <n v="86"/>
    <x v="22"/>
    <s v="XL"/>
    <s v="Beige"/>
    <x v="1"/>
    <n v="3.2"/>
    <s v="Yes"/>
    <s v="Credit Card"/>
    <s v="Express"/>
    <s v="Yes"/>
    <s v="Yes"/>
    <n v="20"/>
    <x v="0"/>
    <s v="Bi-Weekly"/>
    <n v="1"/>
    <x v="3"/>
  </r>
  <r>
    <n v="248"/>
    <n v="29"/>
    <s v="Male"/>
    <s v="Sweater"/>
    <x v="0"/>
    <n v="66"/>
    <x v="6"/>
    <s v="XL"/>
    <s v="Brown"/>
    <x v="1"/>
    <n v="4.4000000000000004"/>
    <s v="Yes"/>
    <s v="Credit Card"/>
    <s v="Standard"/>
    <s v="Yes"/>
    <s v="Yes"/>
    <n v="14"/>
    <x v="5"/>
    <s v="Weekly"/>
    <n v="1"/>
    <x v="3"/>
  </r>
  <r>
    <n v="249"/>
    <n v="47"/>
    <s v="Male"/>
    <s v="Belt"/>
    <x v="3"/>
    <n v="100"/>
    <x v="38"/>
    <s v="M"/>
    <s v="Blue"/>
    <x v="0"/>
    <n v="4.8"/>
    <s v="Yes"/>
    <s v="Venmo"/>
    <s v="Express"/>
    <s v="Yes"/>
    <s v="Yes"/>
    <n v="33"/>
    <x v="3"/>
    <s v="Weekly"/>
    <n v="1"/>
    <x v="0"/>
  </r>
  <r>
    <n v="250"/>
    <n v="53"/>
    <s v="Male"/>
    <s v="Handbag"/>
    <x v="3"/>
    <n v="47"/>
    <x v="29"/>
    <s v="S"/>
    <s v="Teal"/>
    <x v="3"/>
    <n v="4.2"/>
    <s v="Yes"/>
    <s v="Cash"/>
    <s v="Standard"/>
    <s v="Yes"/>
    <s v="Yes"/>
    <n v="18"/>
    <x v="2"/>
    <s v="Annually"/>
    <n v="1"/>
    <x v="0"/>
  </r>
  <r>
    <n v="251"/>
    <n v="33"/>
    <s v="Male"/>
    <s v="Skirt"/>
    <x v="0"/>
    <n v="25"/>
    <x v="16"/>
    <s v="L"/>
    <s v="Black"/>
    <x v="3"/>
    <n v="4"/>
    <s v="Yes"/>
    <s v="Debit Card"/>
    <s v="Express"/>
    <s v="Yes"/>
    <s v="Yes"/>
    <n v="9"/>
    <x v="4"/>
    <s v="Weekly"/>
    <n v="1"/>
    <x v="3"/>
  </r>
  <r>
    <n v="252"/>
    <n v="21"/>
    <s v="Male"/>
    <s v="Handbag"/>
    <x v="3"/>
    <n v="51"/>
    <x v="5"/>
    <s v="XL"/>
    <s v="Gold"/>
    <x v="0"/>
    <n v="2.5"/>
    <s v="Yes"/>
    <s v="PayPal"/>
    <s v="Standard"/>
    <s v="Yes"/>
    <s v="Yes"/>
    <n v="34"/>
    <x v="3"/>
    <s v="Annually"/>
    <n v="1"/>
    <x v="1"/>
  </r>
  <r>
    <n v="253"/>
    <n v="32"/>
    <s v="Male"/>
    <s v="Shorts"/>
    <x v="0"/>
    <n v="41"/>
    <x v="12"/>
    <s v="M"/>
    <s v="Violet"/>
    <x v="2"/>
    <n v="3.9"/>
    <s v="Yes"/>
    <s v="Cash"/>
    <s v="Free Shipping"/>
    <s v="Yes"/>
    <s v="Yes"/>
    <n v="33"/>
    <x v="0"/>
    <s v="Fortnightly"/>
    <n v="1"/>
    <x v="3"/>
  </r>
  <r>
    <n v="254"/>
    <n v="52"/>
    <s v="Male"/>
    <s v="Boots"/>
    <x v="1"/>
    <n v="73"/>
    <x v="19"/>
    <s v="L"/>
    <s v="Cyan"/>
    <x v="0"/>
    <n v="4.9000000000000004"/>
    <s v="Yes"/>
    <s v="PayPal"/>
    <s v="2-Day Shipping"/>
    <s v="Yes"/>
    <s v="Yes"/>
    <n v="15"/>
    <x v="4"/>
    <s v="Bi-Weekly"/>
    <n v="1"/>
    <x v="0"/>
  </r>
  <r>
    <n v="255"/>
    <n v="67"/>
    <s v="Male"/>
    <s v="Sunglasses"/>
    <x v="3"/>
    <n v="42"/>
    <x v="27"/>
    <s v="M"/>
    <s v="White"/>
    <x v="0"/>
    <n v="3.5"/>
    <s v="Yes"/>
    <s v="Credit Card"/>
    <s v="Store Pickup"/>
    <s v="Yes"/>
    <s v="Yes"/>
    <n v="4"/>
    <x v="3"/>
    <s v="Bi-Weekly"/>
    <n v="1"/>
    <x v="0"/>
  </r>
  <r>
    <n v="256"/>
    <n v="43"/>
    <s v="Male"/>
    <s v="Scarf"/>
    <x v="3"/>
    <n v="20"/>
    <x v="33"/>
    <s v="M"/>
    <s v="Charcoal"/>
    <x v="1"/>
    <n v="4.2"/>
    <s v="Yes"/>
    <s v="Debit Card"/>
    <s v="Free Shipping"/>
    <s v="Yes"/>
    <s v="Yes"/>
    <n v="25"/>
    <x v="5"/>
    <s v="Annually"/>
    <n v="1"/>
    <x v="2"/>
  </r>
  <r>
    <n v="257"/>
    <n v="58"/>
    <s v="Male"/>
    <s v="Jewelry"/>
    <x v="3"/>
    <n v="30"/>
    <x v="45"/>
    <s v="XL"/>
    <s v="Violet"/>
    <x v="1"/>
    <n v="4.7"/>
    <s v="Yes"/>
    <s v="Venmo"/>
    <s v="Express"/>
    <s v="Yes"/>
    <s v="Yes"/>
    <n v="20"/>
    <x v="2"/>
    <s v="Every 3 Months"/>
    <n v="1"/>
    <x v="0"/>
  </r>
  <r>
    <n v="258"/>
    <n v="20"/>
    <s v="Male"/>
    <s v="Handbag"/>
    <x v="3"/>
    <n v="53"/>
    <x v="8"/>
    <s v="M"/>
    <s v="Red"/>
    <x v="2"/>
    <n v="4.5"/>
    <s v="Yes"/>
    <s v="PayPal"/>
    <s v="Express"/>
    <s v="Yes"/>
    <s v="Yes"/>
    <n v="5"/>
    <x v="2"/>
    <s v="Quarterly"/>
    <n v="1"/>
    <x v="1"/>
  </r>
  <r>
    <n v="259"/>
    <n v="61"/>
    <s v="Male"/>
    <s v="Gloves"/>
    <x v="3"/>
    <n v="74"/>
    <x v="15"/>
    <s v="S"/>
    <s v="Lavender"/>
    <x v="1"/>
    <n v="2.8"/>
    <s v="Yes"/>
    <s v="Venmo"/>
    <s v="Express"/>
    <s v="Yes"/>
    <s v="Yes"/>
    <n v="16"/>
    <x v="1"/>
    <s v="Quarterly"/>
    <n v="1"/>
    <x v="0"/>
  </r>
  <r>
    <n v="260"/>
    <n v="32"/>
    <s v="Male"/>
    <s v="Jeans"/>
    <x v="0"/>
    <n v="57"/>
    <x v="7"/>
    <s v="M"/>
    <s v="Gold"/>
    <x v="3"/>
    <n v="2.9"/>
    <s v="Yes"/>
    <s v="Credit Card"/>
    <s v="Standard"/>
    <s v="Yes"/>
    <s v="Yes"/>
    <n v="13"/>
    <x v="5"/>
    <s v="Annually"/>
    <n v="1"/>
    <x v="3"/>
  </r>
  <r>
    <n v="261"/>
    <n v="38"/>
    <s v="Male"/>
    <s v="Hat"/>
    <x v="3"/>
    <n v="57"/>
    <x v="6"/>
    <s v="S"/>
    <s v="Red"/>
    <x v="0"/>
    <n v="3.2"/>
    <s v="Yes"/>
    <s v="Bank Transfer"/>
    <s v="2-Day Shipping"/>
    <s v="Yes"/>
    <s v="Yes"/>
    <n v="11"/>
    <x v="2"/>
    <s v="Every 3 Months"/>
    <n v="1"/>
    <x v="2"/>
  </r>
  <r>
    <n v="262"/>
    <n v="21"/>
    <s v="Male"/>
    <s v="Jeans"/>
    <x v="0"/>
    <n v="77"/>
    <x v="18"/>
    <s v="L"/>
    <s v="Magenta"/>
    <x v="0"/>
    <n v="4.9000000000000004"/>
    <s v="Yes"/>
    <s v="Cash"/>
    <s v="Standard"/>
    <s v="Yes"/>
    <s v="Yes"/>
    <n v="21"/>
    <x v="2"/>
    <s v="Annually"/>
    <n v="1"/>
    <x v="1"/>
  </r>
  <r>
    <n v="263"/>
    <n v="37"/>
    <s v="Male"/>
    <s v="Pants"/>
    <x v="0"/>
    <n v="40"/>
    <x v="11"/>
    <s v="M"/>
    <s v="Teal"/>
    <x v="2"/>
    <n v="3.7"/>
    <s v="Yes"/>
    <s v="Cash"/>
    <s v="Next Day Air"/>
    <s v="Yes"/>
    <s v="Yes"/>
    <n v="6"/>
    <x v="5"/>
    <s v="Annually"/>
    <n v="1"/>
    <x v="2"/>
  </r>
  <r>
    <n v="264"/>
    <n v="27"/>
    <s v="Male"/>
    <s v="Shorts"/>
    <x v="0"/>
    <n v="46"/>
    <x v="44"/>
    <s v="M"/>
    <s v="Purple"/>
    <x v="2"/>
    <n v="4.3"/>
    <s v="Yes"/>
    <s v="Credit Card"/>
    <s v="Store Pickup"/>
    <s v="Yes"/>
    <s v="Yes"/>
    <n v="29"/>
    <x v="0"/>
    <s v="Monthly"/>
    <n v="1"/>
    <x v="3"/>
  </r>
  <r>
    <n v="265"/>
    <n v="36"/>
    <s v="Male"/>
    <s v="Pants"/>
    <x v="0"/>
    <n v="78"/>
    <x v="24"/>
    <s v="S"/>
    <s v="Charcoal"/>
    <x v="3"/>
    <n v="3.9"/>
    <s v="Yes"/>
    <s v="Venmo"/>
    <s v="Store Pickup"/>
    <s v="Yes"/>
    <s v="Yes"/>
    <n v="15"/>
    <x v="1"/>
    <s v="Annually"/>
    <n v="1"/>
    <x v="2"/>
  </r>
  <r>
    <n v="266"/>
    <n v="32"/>
    <s v="Male"/>
    <s v="Backpack"/>
    <x v="3"/>
    <n v="59"/>
    <x v="49"/>
    <s v="M"/>
    <s v="Gray"/>
    <x v="1"/>
    <n v="3.2"/>
    <s v="Yes"/>
    <s v="Venmo"/>
    <s v="2-Day Shipping"/>
    <s v="Yes"/>
    <s v="Yes"/>
    <n v="17"/>
    <x v="4"/>
    <s v="Bi-Weekly"/>
    <n v="1"/>
    <x v="3"/>
  </r>
  <r>
    <n v="267"/>
    <n v="51"/>
    <s v="Male"/>
    <s v="Jewelry"/>
    <x v="3"/>
    <n v="75"/>
    <x v="7"/>
    <s v="L"/>
    <s v="White"/>
    <x v="2"/>
    <n v="3.1"/>
    <s v="Yes"/>
    <s v="Cash"/>
    <s v="Express"/>
    <s v="Yes"/>
    <s v="Yes"/>
    <n v="32"/>
    <x v="2"/>
    <s v="Weekly"/>
    <n v="1"/>
    <x v="0"/>
  </r>
  <r>
    <n v="268"/>
    <n v="64"/>
    <s v="Male"/>
    <s v="Sweater"/>
    <x v="0"/>
    <n v="54"/>
    <x v="33"/>
    <s v="M"/>
    <s v="Olive"/>
    <x v="1"/>
    <n v="3.9"/>
    <s v="Yes"/>
    <s v="Venmo"/>
    <s v="2-Day Shipping"/>
    <s v="Yes"/>
    <s v="Yes"/>
    <n v="42"/>
    <x v="0"/>
    <s v="Annually"/>
    <n v="1"/>
    <x v="0"/>
  </r>
  <r>
    <n v="269"/>
    <n v="68"/>
    <s v="Male"/>
    <s v="Shoes"/>
    <x v="1"/>
    <n v="42"/>
    <x v="42"/>
    <s v="M"/>
    <s v="Charcoal"/>
    <x v="1"/>
    <n v="2.6"/>
    <s v="Yes"/>
    <s v="Venmo"/>
    <s v="Store Pickup"/>
    <s v="Yes"/>
    <s v="Yes"/>
    <n v="21"/>
    <x v="1"/>
    <s v="Monthly"/>
    <n v="1"/>
    <x v="0"/>
  </r>
  <r>
    <n v="270"/>
    <n v="68"/>
    <s v="Male"/>
    <s v="Blouse"/>
    <x v="0"/>
    <n v="44"/>
    <x v="42"/>
    <s v="M"/>
    <s v="Charcoal"/>
    <x v="0"/>
    <n v="3.3"/>
    <s v="Yes"/>
    <s v="PayPal"/>
    <s v="Next Day Air"/>
    <s v="Yes"/>
    <s v="Yes"/>
    <n v="9"/>
    <x v="1"/>
    <s v="Bi-Weekly"/>
    <n v="1"/>
    <x v="0"/>
  </r>
  <r>
    <n v="271"/>
    <n v="33"/>
    <s v="Male"/>
    <s v="Jeans"/>
    <x v="0"/>
    <n v="52"/>
    <x v="25"/>
    <s v="XL"/>
    <s v="Orange"/>
    <x v="3"/>
    <n v="4.5999999999999996"/>
    <s v="Yes"/>
    <s v="Debit Card"/>
    <s v="Free Shipping"/>
    <s v="Yes"/>
    <s v="Yes"/>
    <n v="16"/>
    <x v="4"/>
    <s v="Annually"/>
    <n v="1"/>
    <x v="3"/>
  </r>
  <r>
    <n v="272"/>
    <n v="65"/>
    <s v="Male"/>
    <s v="Sunglasses"/>
    <x v="3"/>
    <n v="69"/>
    <x v="33"/>
    <s v="XL"/>
    <s v="Yellow"/>
    <x v="2"/>
    <n v="4.5999999999999996"/>
    <s v="Yes"/>
    <s v="Credit Card"/>
    <s v="Express"/>
    <s v="Yes"/>
    <s v="Yes"/>
    <n v="42"/>
    <x v="2"/>
    <s v="Fortnightly"/>
    <n v="1"/>
    <x v="0"/>
  </r>
  <r>
    <n v="273"/>
    <n v="48"/>
    <s v="Male"/>
    <s v="Jewelry"/>
    <x v="3"/>
    <n v="26"/>
    <x v="4"/>
    <s v="M"/>
    <s v="Beige"/>
    <x v="2"/>
    <n v="4.4000000000000004"/>
    <s v="Yes"/>
    <s v="PayPal"/>
    <s v="2-Day Shipping"/>
    <s v="Yes"/>
    <s v="Yes"/>
    <n v="37"/>
    <x v="5"/>
    <s v="Bi-Weekly"/>
    <n v="1"/>
    <x v="0"/>
  </r>
  <r>
    <n v="274"/>
    <n v="69"/>
    <s v="Male"/>
    <s v="Coat"/>
    <x v="2"/>
    <n v="33"/>
    <x v="25"/>
    <s v="S"/>
    <s v="Silver"/>
    <x v="1"/>
    <n v="4.2"/>
    <s v="Yes"/>
    <s v="Cash"/>
    <s v="Express"/>
    <s v="Yes"/>
    <s v="Yes"/>
    <n v="32"/>
    <x v="5"/>
    <s v="Quarterly"/>
    <n v="1"/>
    <x v="0"/>
  </r>
  <r>
    <n v="275"/>
    <n v="59"/>
    <s v="Male"/>
    <s v="Jewelry"/>
    <x v="3"/>
    <n v="32"/>
    <x v="33"/>
    <s v="M"/>
    <s v="Indigo"/>
    <x v="1"/>
    <n v="3"/>
    <s v="Yes"/>
    <s v="Credit Card"/>
    <s v="Express"/>
    <s v="Yes"/>
    <s v="Yes"/>
    <n v="28"/>
    <x v="1"/>
    <s v="Bi-Weekly"/>
    <n v="1"/>
    <x v="0"/>
  </r>
  <r>
    <n v="276"/>
    <n v="48"/>
    <s v="Male"/>
    <s v="Backpack"/>
    <x v="3"/>
    <n v="85"/>
    <x v="41"/>
    <s v="XL"/>
    <s v="Lavender"/>
    <x v="0"/>
    <n v="4"/>
    <s v="Yes"/>
    <s v="Debit Card"/>
    <s v="Express"/>
    <s v="Yes"/>
    <s v="Yes"/>
    <n v="13"/>
    <x v="2"/>
    <s v="Weekly"/>
    <n v="1"/>
    <x v="0"/>
  </r>
  <r>
    <n v="277"/>
    <n v="25"/>
    <s v="Male"/>
    <s v="Skirt"/>
    <x v="0"/>
    <n v="30"/>
    <x v="45"/>
    <s v="XL"/>
    <s v="Turquoise"/>
    <x v="3"/>
    <n v="3.5"/>
    <s v="Yes"/>
    <s v="Debit Card"/>
    <s v="Express"/>
    <s v="Yes"/>
    <s v="Yes"/>
    <n v="11"/>
    <x v="4"/>
    <s v="Fortnightly"/>
    <n v="1"/>
    <x v="1"/>
  </r>
  <r>
    <n v="278"/>
    <n v="29"/>
    <s v="Male"/>
    <s v="Shirt"/>
    <x v="0"/>
    <n v="29"/>
    <x v="42"/>
    <s v="M"/>
    <s v="Green"/>
    <x v="0"/>
    <n v="3"/>
    <s v="Yes"/>
    <s v="Credit Card"/>
    <s v="Store Pickup"/>
    <s v="Yes"/>
    <s v="Yes"/>
    <n v="36"/>
    <x v="4"/>
    <s v="Bi-Weekly"/>
    <n v="1"/>
    <x v="3"/>
  </r>
  <r>
    <n v="279"/>
    <n v="57"/>
    <s v="Male"/>
    <s v="Sweater"/>
    <x v="0"/>
    <n v="95"/>
    <x v="11"/>
    <s v="M"/>
    <s v="Orange"/>
    <x v="1"/>
    <n v="3.7"/>
    <s v="Yes"/>
    <s v="Bank Transfer"/>
    <s v="Express"/>
    <s v="Yes"/>
    <s v="Yes"/>
    <n v="23"/>
    <x v="5"/>
    <s v="Annually"/>
    <n v="1"/>
    <x v="0"/>
  </r>
  <r>
    <n v="280"/>
    <n v="23"/>
    <s v="Male"/>
    <s v="Sneakers"/>
    <x v="1"/>
    <n v="69"/>
    <x v="10"/>
    <s v="L"/>
    <s v="Turquoise"/>
    <x v="2"/>
    <n v="4"/>
    <s v="Yes"/>
    <s v="Credit Card"/>
    <s v="Standard"/>
    <s v="Yes"/>
    <s v="Yes"/>
    <n v="37"/>
    <x v="4"/>
    <s v="Monthly"/>
    <n v="1"/>
    <x v="1"/>
  </r>
  <r>
    <n v="281"/>
    <n v="45"/>
    <s v="Male"/>
    <s v="Sandals"/>
    <x v="1"/>
    <n v="69"/>
    <x v="6"/>
    <s v="S"/>
    <s v="Cyan"/>
    <x v="3"/>
    <n v="4.2"/>
    <s v="Yes"/>
    <s v="Debit Card"/>
    <s v="2-Day Shipping"/>
    <s v="Yes"/>
    <s v="Yes"/>
    <n v="21"/>
    <x v="1"/>
    <s v="Bi-Weekly"/>
    <n v="1"/>
    <x v="2"/>
  </r>
  <r>
    <n v="282"/>
    <n v="38"/>
    <s v="Male"/>
    <s v="Belt"/>
    <x v="3"/>
    <n v="61"/>
    <x v="19"/>
    <s v="XL"/>
    <s v="Charcoal"/>
    <x v="1"/>
    <n v="2.5"/>
    <s v="Yes"/>
    <s v="Bank Transfer"/>
    <s v="Standard"/>
    <s v="Yes"/>
    <s v="Yes"/>
    <n v="22"/>
    <x v="5"/>
    <s v="Bi-Weekly"/>
    <n v="1"/>
    <x v="2"/>
  </r>
  <r>
    <n v="283"/>
    <n v="21"/>
    <s v="Male"/>
    <s v="Skirt"/>
    <x v="0"/>
    <n v="94"/>
    <x v="46"/>
    <s v="M"/>
    <s v="Teal"/>
    <x v="2"/>
    <n v="3"/>
    <s v="Yes"/>
    <s v="Debit Card"/>
    <s v="2-Day Shipping"/>
    <s v="Yes"/>
    <s v="Yes"/>
    <n v="9"/>
    <x v="1"/>
    <s v="Monthly"/>
    <n v="1"/>
    <x v="1"/>
  </r>
  <r>
    <n v="284"/>
    <n v="32"/>
    <s v="Male"/>
    <s v="Sweater"/>
    <x v="0"/>
    <n v="30"/>
    <x v="6"/>
    <s v="S"/>
    <s v="Maroon"/>
    <x v="3"/>
    <n v="3.2"/>
    <s v="Yes"/>
    <s v="Debit Card"/>
    <s v="Next Day Air"/>
    <s v="Yes"/>
    <s v="Yes"/>
    <n v="16"/>
    <x v="0"/>
    <s v="Annually"/>
    <n v="1"/>
    <x v="3"/>
  </r>
  <r>
    <n v="285"/>
    <n v="63"/>
    <s v="Male"/>
    <s v="Skirt"/>
    <x v="0"/>
    <n v="45"/>
    <x v="31"/>
    <s v="M"/>
    <s v="Red"/>
    <x v="2"/>
    <n v="3.5"/>
    <s v="Yes"/>
    <s v="PayPal"/>
    <s v="Standard"/>
    <s v="Yes"/>
    <s v="Yes"/>
    <n v="4"/>
    <x v="3"/>
    <s v="Quarterly"/>
    <n v="1"/>
    <x v="0"/>
  </r>
  <r>
    <n v="286"/>
    <n v="29"/>
    <s v="Male"/>
    <s v="Handbag"/>
    <x v="3"/>
    <n v="39"/>
    <x v="0"/>
    <s v="XL"/>
    <s v="Yellow"/>
    <x v="2"/>
    <n v="4.8"/>
    <s v="Yes"/>
    <s v="Credit Card"/>
    <s v="Express"/>
    <s v="Yes"/>
    <s v="Yes"/>
    <n v="3"/>
    <x v="5"/>
    <s v="Bi-Weekly"/>
    <n v="1"/>
    <x v="3"/>
  </r>
  <r>
    <n v="287"/>
    <n v="27"/>
    <s v="Male"/>
    <s v="Jewelry"/>
    <x v="3"/>
    <n v="51"/>
    <x v="43"/>
    <s v="L"/>
    <s v="Gray"/>
    <x v="2"/>
    <n v="2.6"/>
    <s v="Yes"/>
    <s v="Cash"/>
    <s v="Store Pickup"/>
    <s v="Yes"/>
    <s v="Yes"/>
    <n v="6"/>
    <x v="5"/>
    <s v="Annually"/>
    <n v="1"/>
    <x v="3"/>
  </r>
  <r>
    <n v="288"/>
    <n v="56"/>
    <s v="Male"/>
    <s v="Scarf"/>
    <x v="3"/>
    <n v="37"/>
    <x v="12"/>
    <s v="L"/>
    <s v="Blue"/>
    <x v="1"/>
    <n v="3.4"/>
    <s v="Yes"/>
    <s v="Cash"/>
    <s v="2-Day Shipping"/>
    <s v="Yes"/>
    <s v="Yes"/>
    <n v="18"/>
    <x v="0"/>
    <s v="Fortnightly"/>
    <n v="1"/>
    <x v="0"/>
  </r>
  <r>
    <n v="289"/>
    <n v="30"/>
    <s v="Male"/>
    <s v="T-shirt"/>
    <x v="0"/>
    <n v="62"/>
    <x v="17"/>
    <s v="M"/>
    <s v="Lavender"/>
    <x v="0"/>
    <n v="3.7"/>
    <s v="Yes"/>
    <s v="Credit Card"/>
    <s v="2-Day Shipping"/>
    <s v="Yes"/>
    <s v="Yes"/>
    <n v="34"/>
    <x v="0"/>
    <s v="Bi-Weekly"/>
    <n v="1"/>
    <x v="3"/>
  </r>
  <r>
    <n v="290"/>
    <n v="49"/>
    <s v="Male"/>
    <s v="Coat"/>
    <x v="2"/>
    <n v="85"/>
    <x v="14"/>
    <s v="M"/>
    <s v="Yellow"/>
    <x v="3"/>
    <n v="4.5"/>
    <s v="Yes"/>
    <s v="Debit Card"/>
    <s v="2-Day Shipping"/>
    <s v="Yes"/>
    <s v="Yes"/>
    <n v="26"/>
    <x v="2"/>
    <s v="Monthly"/>
    <n v="1"/>
    <x v="0"/>
  </r>
  <r>
    <n v="291"/>
    <n v="58"/>
    <s v="Male"/>
    <s v="T-shirt"/>
    <x v="0"/>
    <n v="33"/>
    <x v="24"/>
    <s v="M"/>
    <s v="Indigo"/>
    <x v="0"/>
    <n v="3.7"/>
    <s v="Yes"/>
    <s v="Bank Transfer"/>
    <s v="Standard"/>
    <s v="Yes"/>
    <s v="Yes"/>
    <n v="50"/>
    <x v="3"/>
    <s v="Weekly"/>
    <n v="1"/>
    <x v="0"/>
  </r>
  <r>
    <n v="292"/>
    <n v="57"/>
    <s v="Male"/>
    <s v="Dress"/>
    <x v="0"/>
    <n v="26"/>
    <x v="12"/>
    <s v="XL"/>
    <s v="Violet"/>
    <x v="3"/>
    <n v="3.3"/>
    <s v="Yes"/>
    <s v="Credit Card"/>
    <s v="Next Day Air"/>
    <s v="Yes"/>
    <s v="Yes"/>
    <n v="40"/>
    <x v="4"/>
    <s v="Monthly"/>
    <n v="1"/>
    <x v="0"/>
  </r>
  <r>
    <n v="293"/>
    <n v="60"/>
    <s v="Male"/>
    <s v="Shoes"/>
    <x v="1"/>
    <n v="99"/>
    <x v="40"/>
    <s v="M"/>
    <s v="Green"/>
    <x v="1"/>
    <n v="4.7"/>
    <s v="Yes"/>
    <s v="Credit Card"/>
    <s v="Free Shipping"/>
    <s v="Yes"/>
    <s v="Yes"/>
    <n v="24"/>
    <x v="1"/>
    <s v="Quarterly"/>
    <n v="1"/>
    <x v="0"/>
  </r>
  <r>
    <n v="294"/>
    <n v="69"/>
    <s v="Male"/>
    <s v="Handbag"/>
    <x v="3"/>
    <n v="39"/>
    <x v="39"/>
    <s v="M"/>
    <s v="White"/>
    <x v="1"/>
    <n v="2.7"/>
    <s v="Yes"/>
    <s v="PayPal"/>
    <s v="Express"/>
    <s v="Yes"/>
    <s v="Yes"/>
    <n v="33"/>
    <x v="3"/>
    <s v="Annually"/>
    <n v="1"/>
    <x v="0"/>
  </r>
  <r>
    <n v="295"/>
    <n v="70"/>
    <s v="Male"/>
    <s v="Skirt"/>
    <x v="0"/>
    <n v="20"/>
    <x v="32"/>
    <s v="M"/>
    <s v="Gold"/>
    <x v="1"/>
    <n v="4.5999999999999996"/>
    <s v="Yes"/>
    <s v="Cash"/>
    <s v="Store Pickup"/>
    <s v="Yes"/>
    <s v="Yes"/>
    <n v="19"/>
    <x v="2"/>
    <s v="Every 3 Months"/>
    <n v="1"/>
    <x v="0"/>
  </r>
  <r>
    <n v="296"/>
    <n v="53"/>
    <s v="Male"/>
    <s v="Sunglasses"/>
    <x v="3"/>
    <n v="42"/>
    <x v="8"/>
    <s v="M"/>
    <s v="Indigo"/>
    <x v="0"/>
    <n v="2.7"/>
    <s v="Yes"/>
    <s v="Venmo"/>
    <s v="Store Pickup"/>
    <s v="Yes"/>
    <s v="Yes"/>
    <n v="24"/>
    <x v="2"/>
    <s v="Quarterly"/>
    <n v="1"/>
    <x v="0"/>
  </r>
  <r>
    <n v="297"/>
    <n v="25"/>
    <s v="Male"/>
    <s v="Sandals"/>
    <x v="1"/>
    <n v="74"/>
    <x v="27"/>
    <s v="S"/>
    <s v="Lavender"/>
    <x v="1"/>
    <n v="4.8"/>
    <s v="Yes"/>
    <s v="PayPal"/>
    <s v="2-Day Shipping"/>
    <s v="Yes"/>
    <s v="Yes"/>
    <n v="19"/>
    <x v="2"/>
    <s v="Weekly"/>
    <n v="1"/>
    <x v="1"/>
  </r>
  <r>
    <n v="298"/>
    <n v="48"/>
    <s v="Male"/>
    <s v="Shoes"/>
    <x v="1"/>
    <n v="26"/>
    <x v="12"/>
    <s v="XL"/>
    <s v="Purple"/>
    <x v="2"/>
    <n v="4.4000000000000004"/>
    <s v="Yes"/>
    <s v="Bank Transfer"/>
    <s v="Standard"/>
    <s v="Yes"/>
    <s v="Yes"/>
    <n v="4"/>
    <x v="2"/>
    <s v="Bi-Weekly"/>
    <n v="1"/>
    <x v="0"/>
  </r>
  <r>
    <n v="299"/>
    <n v="69"/>
    <s v="Male"/>
    <s v="T-shirt"/>
    <x v="0"/>
    <n v="53"/>
    <x v="33"/>
    <s v="M"/>
    <s v="Lavender"/>
    <x v="0"/>
    <n v="4"/>
    <s v="Yes"/>
    <s v="Cash"/>
    <s v="Standard"/>
    <s v="Yes"/>
    <s v="Yes"/>
    <n v="11"/>
    <x v="0"/>
    <s v="Every 3 Months"/>
    <n v="1"/>
    <x v="0"/>
  </r>
  <r>
    <n v="300"/>
    <n v="25"/>
    <s v="Male"/>
    <s v="Sneakers"/>
    <x v="1"/>
    <n v="80"/>
    <x v="38"/>
    <s v="M"/>
    <s v="Maroon"/>
    <x v="2"/>
    <n v="3.2"/>
    <s v="Yes"/>
    <s v="Credit Card"/>
    <s v="Next Day Air"/>
    <s v="Yes"/>
    <s v="Yes"/>
    <n v="28"/>
    <x v="3"/>
    <s v="Fortnightly"/>
    <n v="1"/>
    <x v="1"/>
  </r>
  <r>
    <n v="301"/>
    <n v="29"/>
    <s v="Male"/>
    <s v="Hat"/>
    <x v="3"/>
    <n v="98"/>
    <x v="44"/>
    <s v="M"/>
    <s v="Teal"/>
    <x v="1"/>
    <n v="4.4000000000000004"/>
    <s v="Yes"/>
    <s v="Cash"/>
    <s v="Store Pickup"/>
    <s v="Yes"/>
    <s v="Yes"/>
    <n v="24"/>
    <x v="3"/>
    <s v="Weekly"/>
    <n v="1"/>
    <x v="3"/>
  </r>
  <r>
    <n v="302"/>
    <n v="46"/>
    <s v="Male"/>
    <s v="Skirt"/>
    <x v="0"/>
    <n v="95"/>
    <x v="38"/>
    <s v="M"/>
    <s v="Green"/>
    <x v="1"/>
    <n v="3.8"/>
    <s v="Yes"/>
    <s v="Debit Card"/>
    <s v="Standard"/>
    <s v="Yes"/>
    <s v="Yes"/>
    <n v="25"/>
    <x v="2"/>
    <s v="Every 3 Months"/>
    <n v="1"/>
    <x v="0"/>
  </r>
  <r>
    <n v="303"/>
    <n v="37"/>
    <s v="Male"/>
    <s v="Sweater"/>
    <x v="0"/>
    <n v="44"/>
    <x v="12"/>
    <s v="L"/>
    <s v="Olive"/>
    <x v="2"/>
    <n v="3.6"/>
    <s v="Yes"/>
    <s v="Venmo"/>
    <s v="Express"/>
    <s v="Yes"/>
    <s v="Yes"/>
    <n v="27"/>
    <x v="4"/>
    <s v="Every 3 Months"/>
    <n v="1"/>
    <x v="2"/>
  </r>
  <r>
    <n v="304"/>
    <n v="20"/>
    <s v="Male"/>
    <s v="Sandals"/>
    <x v="1"/>
    <n v="60"/>
    <x v="4"/>
    <s v="M"/>
    <s v="Turquoise"/>
    <x v="2"/>
    <n v="3.3"/>
    <s v="Yes"/>
    <s v="Cash"/>
    <s v="Next Day Air"/>
    <s v="Yes"/>
    <s v="Yes"/>
    <n v="49"/>
    <x v="0"/>
    <s v="Weekly"/>
    <n v="1"/>
    <x v="1"/>
  </r>
  <r>
    <n v="305"/>
    <n v="40"/>
    <s v="Male"/>
    <s v="Dress"/>
    <x v="0"/>
    <n v="84"/>
    <x v="4"/>
    <s v="M"/>
    <s v="Green"/>
    <x v="0"/>
    <n v="3.4"/>
    <s v="Yes"/>
    <s v="Venmo"/>
    <s v="Next Day Air"/>
    <s v="Yes"/>
    <s v="Yes"/>
    <n v="45"/>
    <x v="2"/>
    <s v="Bi-Weekly"/>
    <n v="1"/>
    <x v="2"/>
  </r>
  <r>
    <n v="306"/>
    <n v="60"/>
    <s v="Male"/>
    <s v="Sweater"/>
    <x v="0"/>
    <n v="59"/>
    <x v="40"/>
    <s v="M"/>
    <s v="Teal"/>
    <x v="3"/>
    <n v="3.5"/>
    <s v="Yes"/>
    <s v="Debit Card"/>
    <s v="2-Day Shipping"/>
    <s v="Yes"/>
    <s v="Yes"/>
    <n v="26"/>
    <x v="3"/>
    <s v="Annually"/>
    <n v="1"/>
    <x v="0"/>
  </r>
  <r>
    <n v="307"/>
    <n v="26"/>
    <s v="Male"/>
    <s v="Jacket"/>
    <x v="2"/>
    <n v="49"/>
    <x v="25"/>
    <s v="S"/>
    <s v="White"/>
    <x v="2"/>
    <n v="3.6"/>
    <s v="Yes"/>
    <s v="Debit Card"/>
    <s v="Express"/>
    <s v="Yes"/>
    <s v="Yes"/>
    <n v="4"/>
    <x v="1"/>
    <s v="Annually"/>
    <n v="1"/>
    <x v="3"/>
  </r>
  <r>
    <n v="308"/>
    <n v="29"/>
    <s v="Male"/>
    <s v="Gloves"/>
    <x v="3"/>
    <n v="32"/>
    <x v="20"/>
    <s v="M"/>
    <s v="Orange"/>
    <x v="0"/>
    <n v="3.2"/>
    <s v="Yes"/>
    <s v="Cash"/>
    <s v="Free Shipping"/>
    <s v="Yes"/>
    <s v="Yes"/>
    <n v="3"/>
    <x v="2"/>
    <s v="Every 3 Months"/>
    <n v="1"/>
    <x v="3"/>
  </r>
  <r>
    <n v="309"/>
    <n v="66"/>
    <s v="Male"/>
    <s v="Handbag"/>
    <x v="3"/>
    <n v="29"/>
    <x v="33"/>
    <s v="M"/>
    <s v="Beige"/>
    <x v="3"/>
    <n v="3.7"/>
    <s v="Yes"/>
    <s v="Bank Transfer"/>
    <s v="Standard"/>
    <s v="Yes"/>
    <s v="Yes"/>
    <n v="45"/>
    <x v="0"/>
    <s v="Bi-Weekly"/>
    <n v="1"/>
    <x v="0"/>
  </r>
  <r>
    <n v="310"/>
    <n v="66"/>
    <s v="Male"/>
    <s v="Dress"/>
    <x v="0"/>
    <n v="22"/>
    <x v="46"/>
    <s v="M"/>
    <s v="Yellow"/>
    <x v="1"/>
    <n v="4.5"/>
    <s v="Yes"/>
    <s v="Bank Transfer"/>
    <s v="Standard"/>
    <s v="Yes"/>
    <s v="Yes"/>
    <n v="21"/>
    <x v="1"/>
    <s v="Fortnightly"/>
    <n v="1"/>
    <x v="0"/>
  </r>
  <r>
    <n v="311"/>
    <n v="56"/>
    <s v="Male"/>
    <s v="Pants"/>
    <x v="0"/>
    <n v="85"/>
    <x v="6"/>
    <s v="M"/>
    <s v="Charcoal"/>
    <x v="0"/>
    <n v="4.5999999999999996"/>
    <s v="Yes"/>
    <s v="Debit Card"/>
    <s v="Standard"/>
    <s v="Yes"/>
    <s v="Yes"/>
    <n v="50"/>
    <x v="1"/>
    <s v="Fortnightly"/>
    <n v="1"/>
    <x v="0"/>
  </r>
  <r>
    <n v="312"/>
    <n v="69"/>
    <s v="Male"/>
    <s v="Jeans"/>
    <x v="0"/>
    <n v="52"/>
    <x v="3"/>
    <s v="L"/>
    <s v="Silver"/>
    <x v="0"/>
    <n v="4.0999999999999996"/>
    <s v="Yes"/>
    <s v="Debit Card"/>
    <s v="Store Pickup"/>
    <s v="Yes"/>
    <s v="Yes"/>
    <n v="19"/>
    <x v="4"/>
    <s v="Monthly"/>
    <n v="1"/>
    <x v="0"/>
  </r>
  <r>
    <n v="313"/>
    <n v="38"/>
    <s v="Male"/>
    <s v="Pants"/>
    <x v="0"/>
    <n v="89"/>
    <x v="2"/>
    <s v="L"/>
    <s v="Green"/>
    <x v="1"/>
    <n v="3.4"/>
    <s v="Yes"/>
    <s v="Bank Transfer"/>
    <s v="Next Day Air"/>
    <s v="Yes"/>
    <s v="Yes"/>
    <n v="6"/>
    <x v="3"/>
    <s v="Annually"/>
    <n v="1"/>
    <x v="2"/>
  </r>
  <r>
    <n v="314"/>
    <n v="42"/>
    <s v="Male"/>
    <s v="Dress"/>
    <x v="0"/>
    <n v="77"/>
    <x v="34"/>
    <s v="M"/>
    <s v="Pink"/>
    <x v="1"/>
    <n v="3.7"/>
    <s v="Yes"/>
    <s v="PayPal"/>
    <s v="Express"/>
    <s v="Yes"/>
    <s v="Yes"/>
    <n v="50"/>
    <x v="2"/>
    <s v="Every 3 Months"/>
    <n v="1"/>
    <x v="2"/>
  </r>
  <r>
    <n v="315"/>
    <n v="30"/>
    <s v="Male"/>
    <s v="Pants"/>
    <x v="0"/>
    <n v="24"/>
    <x v="32"/>
    <s v="M"/>
    <s v="Purple"/>
    <x v="2"/>
    <n v="3.3"/>
    <s v="Yes"/>
    <s v="PayPal"/>
    <s v="Store Pickup"/>
    <s v="Yes"/>
    <s v="Yes"/>
    <n v="17"/>
    <x v="5"/>
    <s v="Every 3 Months"/>
    <n v="1"/>
    <x v="3"/>
  </r>
  <r>
    <n v="316"/>
    <n v="66"/>
    <s v="Male"/>
    <s v="Jewelry"/>
    <x v="3"/>
    <n v="24"/>
    <x v="48"/>
    <s v="XL"/>
    <s v="Orange"/>
    <x v="1"/>
    <n v="4.5"/>
    <s v="Yes"/>
    <s v="Venmo"/>
    <s v="Express"/>
    <s v="Yes"/>
    <s v="Yes"/>
    <n v="24"/>
    <x v="5"/>
    <s v="Annually"/>
    <n v="1"/>
    <x v="0"/>
  </r>
  <r>
    <n v="317"/>
    <n v="36"/>
    <s v="Male"/>
    <s v="Handbag"/>
    <x v="3"/>
    <n v="22"/>
    <x v="18"/>
    <s v="M"/>
    <s v="Charcoal"/>
    <x v="3"/>
    <n v="3.3"/>
    <s v="Yes"/>
    <s v="Bank Transfer"/>
    <s v="Free Shipping"/>
    <s v="Yes"/>
    <s v="Yes"/>
    <n v="46"/>
    <x v="0"/>
    <s v="Monthly"/>
    <n v="1"/>
    <x v="2"/>
  </r>
  <r>
    <n v="318"/>
    <n v="58"/>
    <s v="Male"/>
    <s v="Sweater"/>
    <x v="0"/>
    <n v="82"/>
    <x v="8"/>
    <s v="L"/>
    <s v="Teal"/>
    <x v="3"/>
    <n v="4.3"/>
    <s v="Yes"/>
    <s v="Bank Transfer"/>
    <s v="Standard"/>
    <s v="Yes"/>
    <s v="Yes"/>
    <n v="42"/>
    <x v="1"/>
    <s v="Every 3 Months"/>
    <n v="1"/>
    <x v="0"/>
  </r>
  <r>
    <n v="319"/>
    <n v="45"/>
    <s v="Male"/>
    <s v="Backpack"/>
    <x v="3"/>
    <n v="67"/>
    <x v="45"/>
    <s v="M"/>
    <s v="Beige"/>
    <x v="0"/>
    <n v="2.5"/>
    <s v="Yes"/>
    <s v="PayPal"/>
    <s v="Standard"/>
    <s v="Yes"/>
    <s v="Yes"/>
    <n v="10"/>
    <x v="1"/>
    <s v="Annually"/>
    <n v="1"/>
    <x v="2"/>
  </r>
  <r>
    <n v="320"/>
    <n v="47"/>
    <s v="Male"/>
    <s v="Shorts"/>
    <x v="0"/>
    <n v="74"/>
    <x v="1"/>
    <s v="XL"/>
    <s v="White"/>
    <x v="1"/>
    <n v="2.6"/>
    <s v="Yes"/>
    <s v="Venmo"/>
    <s v="Standard"/>
    <s v="Yes"/>
    <s v="Yes"/>
    <n v="1"/>
    <x v="1"/>
    <s v="Every 3 Months"/>
    <n v="1"/>
    <x v="0"/>
  </r>
  <r>
    <n v="321"/>
    <n v="66"/>
    <s v="Male"/>
    <s v="Jewelry"/>
    <x v="3"/>
    <n v="72"/>
    <x v="23"/>
    <s v="L"/>
    <s v="White"/>
    <x v="2"/>
    <n v="4.9000000000000004"/>
    <s v="Yes"/>
    <s v="PayPal"/>
    <s v="Standard"/>
    <s v="Yes"/>
    <s v="Yes"/>
    <n v="28"/>
    <x v="5"/>
    <s v="Quarterly"/>
    <n v="1"/>
    <x v="0"/>
  </r>
  <r>
    <n v="322"/>
    <n v="41"/>
    <s v="Male"/>
    <s v="Sneakers"/>
    <x v="1"/>
    <n v="36"/>
    <x v="34"/>
    <s v="L"/>
    <s v="Orange"/>
    <x v="2"/>
    <n v="4.7"/>
    <s v="Yes"/>
    <s v="Credit Card"/>
    <s v="Free Shipping"/>
    <s v="Yes"/>
    <s v="Yes"/>
    <n v="48"/>
    <x v="5"/>
    <s v="Quarterly"/>
    <n v="1"/>
    <x v="2"/>
  </r>
  <r>
    <n v="323"/>
    <n v="41"/>
    <s v="Male"/>
    <s v="Belt"/>
    <x v="3"/>
    <n v="95"/>
    <x v="30"/>
    <s v="S"/>
    <s v="Cyan"/>
    <x v="0"/>
    <n v="3"/>
    <s v="Yes"/>
    <s v="Credit Card"/>
    <s v="Standard"/>
    <s v="Yes"/>
    <s v="Yes"/>
    <n v="47"/>
    <x v="2"/>
    <s v="Monthly"/>
    <n v="1"/>
    <x v="2"/>
  </r>
  <r>
    <n v="324"/>
    <n v="66"/>
    <s v="Male"/>
    <s v="Hoodie"/>
    <x v="0"/>
    <n v="78"/>
    <x v="30"/>
    <s v="M"/>
    <s v="Orange"/>
    <x v="0"/>
    <n v="3.5"/>
    <s v="Yes"/>
    <s v="Venmo"/>
    <s v="Next Day Air"/>
    <s v="Yes"/>
    <s v="Yes"/>
    <n v="29"/>
    <x v="3"/>
    <s v="Bi-Weekly"/>
    <n v="1"/>
    <x v="0"/>
  </r>
  <r>
    <n v="325"/>
    <n v="37"/>
    <s v="Male"/>
    <s v="Shirt"/>
    <x v="0"/>
    <n v="82"/>
    <x v="5"/>
    <s v="M"/>
    <s v="Olive"/>
    <x v="2"/>
    <n v="4.8"/>
    <s v="Yes"/>
    <s v="Credit Card"/>
    <s v="Standard"/>
    <s v="Yes"/>
    <s v="Yes"/>
    <n v="37"/>
    <x v="0"/>
    <s v="Quarterly"/>
    <n v="1"/>
    <x v="2"/>
  </r>
  <r>
    <n v="326"/>
    <n v="70"/>
    <s v="Male"/>
    <s v="Pants"/>
    <x v="0"/>
    <n v="70"/>
    <x v="34"/>
    <s v="M"/>
    <s v="Charcoal"/>
    <x v="0"/>
    <n v="4.3"/>
    <s v="Yes"/>
    <s v="Debit Card"/>
    <s v="Free Shipping"/>
    <s v="Yes"/>
    <s v="Yes"/>
    <n v="38"/>
    <x v="5"/>
    <s v="Annually"/>
    <n v="1"/>
    <x v="0"/>
  </r>
  <r>
    <n v="327"/>
    <n v="62"/>
    <s v="Male"/>
    <s v="Scarf"/>
    <x v="3"/>
    <n v="41"/>
    <x v="32"/>
    <s v="M"/>
    <s v="White"/>
    <x v="3"/>
    <n v="3.2"/>
    <s v="Yes"/>
    <s v="Cash"/>
    <s v="Store Pickup"/>
    <s v="Yes"/>
    <s v="Yes"/>
    <n v="48"/>
    <x v="4"/>
    <s v="Weekly"/>
    <n v="1"/>
    <x v="0"/>
  </r>
  <r>
    <n v="328"/>
    <n v="61"/>
    <s v="Male"/>
    <s v="Coat"/>
    <x v="2"/>
    <n v="42"/>
    <x v="44"/>
    <s v="M"/>
    <s v="Teal"/>
    <x v="2"/>
    <n v="3.1"/>
    <s v="Yes"/>
    <s v="PayPal"/>
    <s v="Free Shipping"/>
    <s v="Yes"/>
    <s v="Yes"/>
    <n v="36"/>
    <x v="3"/>
    <s v="Weekly"/>
    <n v="1"/>
    <x v="0"/>
  </r>
  <r>
    <n v="329"/>
    <n v="48"/>
    <s v="Male"/>
    <s v="Coat"/>
    <x v="2"/>
    <n v="50"/>
    <x v="20"/>
    <s v="M"/>
    <s v="Yellow"/>
    <x v="3"/>
    <n v="2.8"/>
    <s v="Yes"/>
    <s v="Debit Card"/>
    <s v="Free Shipping"/>
    <s v="Yes"/>
    <s v="Yes"/>
    <n v="9"/>
    <x v="2"/>
    <s v="Weekly"/>
    <n v="1"/>
    <x v="0"/>
  </r>
  <r>
    <n v="330"/>
    <n v="70"/>
    <s v="Male"/>
    <s v="Socks"/>
    <x v="0"/>
    <n v="31"/>
    <x v="22"/>
    <s v="S"/>
    <s v="White"/>
    <x v="2"/>
    <n v="2.9"/>
    <s v="Yes"/>
    <s v="Debit Card"/>
    <s v="2-Day Shipping"/>
    <s v="Yes"/>
    <s v="Yes"/>
    <n v="34"/>
    <x v="4"/>
    <s v="Monthly"/>
    <n v="1"/>
    <x v="0"/>
  </r>
  <r>
    <n v="331"/>
    <n v="46"/>
    <s v="Male"/>
    <s v="Sweater"/>
    <x v="0"/>
    <n v="51"/>
    <x v="25"/>
    <s v="M"/>
    <s v="Beige"/>
    <x v="0"/>
    <n v="3.7"/>
    <s v="Yes"/>
    <s v="Bank Transfer"/>
    <s v="Express"/>
    <s v="Yes"/>
    <s v="Yes"/>
    <n v="43"/>
    <x v="0"/>
    <s v="Bi-Weekly"/>
    <n v="1"/>
    <x v="0"/>
  </r>
  <r>
    <n v="332"/>
    <n v="31"/>
    <s v="Male"/>
    <s v="Shirt"/>
    <x v="0"/>
    <n v="98"/>
    <x v="20"/>
    <s v="L"/>
    <s v="Beige"/>
    <x v="3"/>
    <n v="3.3"/>
    <s v="Yes"/>
    <s v="Credit Card"/>
    <s v="Store Pickup"/>
    <s v="Yes"/>
    <s v="Yes"/>
    <n v="46"/>
    <x v="3"/>
    <s v="Quarterly"/>
    <n v="1"/>
    <x v="3"/>
  </r>
  <r>
    <n v="333"/>
    <n v="19"/>
    <s v="Male"/>
    <s v="Shirt"/>
    <x v="0"/>
    <n v="86"/>
    <x v="14"/>
    <s v="M"/>
    <s v="Maroon"/>
    <x v="0"/>
    <n v="2.8"/>
    <s v="Yes"/>
    <s v="Cash"/>
    <s v="2-Day Shipping"/>
    <s v="Yes"/>
    <s v="Yes"/>
    <n v="5"/>
    <x v="2"/>
    <s v="Monthly"/>
    <n v="1"/>
    <x v="1"/>
  </r>
  <r>
    <n v="334"/>
    <n v="39"/>
    <s v="Male"/>
    <s v="Sweater"/>
    <x v="0"/>
    <n v="64"/>
    <x v="29"/>
    <s v="M"/>
    <s v="Teal"/>
    <x v="0"/>
    <n v="4.5"/>
    <s v="Yes"/>
    <s v="Cash"/>
    <s v="Standard"/>
    <s v="Yes"/>
    <s v="Yes"/>
    <n v="15"/>
    <x v="4"/>
    <s v="Bi-Weekly"/>
    <n v="1"/>
    <x v="2"/>
  </r>
  <r>
    <n v="335"/>
    <n v="41"/>
    <s v="Male"/>
    <s v="Blouse"/>
    <x v="0"/>
    <n v="46"/>
    <x v="23"/>
    <s v="M"/>
    <s v="Lavender"/>
    <x v="3"/>
    <n v="2.6"/>
    <s v="Yes"/>
    <s v="PayPal"/>
    <s v="Next Day Air"/>
    <s v="Yes"/>
    <s v="Yes"/>
    <n v="30"/>
    <x v="2"/>
    <s v="Annually"/>
    <n v="1"/>
    <x v="2"/>
  </r>
  <r>
    <n v="336"/>
    <n v="20"/>
    <s v="Male"/>
    <s v="Sweater"/>
    <x v="0"/>
    <n v="85"/>
    <x v="4"/>
    <s v="L"/>
    <s v="Maroon"/>
    <x v="1"/>
    <n v="3.7"/>
    <s v="Yes"/>
    <s v="Cash"/>
    <s v="Standard"/>
    <s v="Yes"/>
    <s v="Yes"/>
    <n v="44"/>
    <x v="0"/>
    <s v="Every 3 Months"/>
    <n v="1"/>
    <x v="1"/>
  </r>
  <r>
    <n v="337"/>
    <n v="36"/>
    <s v="Male"/>
    <s v="Hat"/>
    <x v="3"/>
    <n v="81"/>
    <x v="3"/>
    <s v="S"/>
    <s v="Orange"/>
    <x v="3"/>
    <n v="4.4000000000000004"/>
    <s v="Yes"/>
    <s v="Debit Card"/>
    <s v="Express"/>
    <s v="Yes"/>
    <s v="Yes"/>
    <n v="16"/>
    <x v="3"/>
    <s v="Annually"/>
    <n v="1"/>
    <x v="2"/>
  </r>
  <r>
    <n v="338"/>
    <n v="32"/>
    <s v="Male"/>
    <s v="Sweater"/>
    <x v="0"/>
    <n v="59"/>
    <x v="35"/>
    <s v="M"/>
    <s v="Cyan"/>
    <x v="0"/>
    <n v="4.3"/>
    <s v="Yes"/>
    <s v="Cash"/>
    <s v="2-Day Shipping"/>
    <s v="Yes"/>
    <s v="Yes"/>
    <n v="16"/>
    <x v="4"/>
    <s v="Annually"/>
    <n v="1"/>
    <x v="3"/>
  </r>
  <r>
    <n v="339"/>
    <n v="69"/>
    <s v="Male"/>
    <s v="Hoodie"/>
    <x v="0"/>
    <n v="79"/>
    <x v="2"/>
    <s v="M"/>
    <s v="Silver"/>
    <x v="0"/>
    <n v="3.5"/>
    <s v="Yes"/>
    <s v="Venmo"/>
    <s v="Express"/>
    <s v="Yes"/>
    <s v="Yes"/>
    <n v="16"/>
    <x v="1"/>
    <s v="Weekly"/>
    <n v="1"/>
    <x v="0"/>
  </r>
  <r>
    <n v="340"/>
    <n v="40"/>
    <s v="Male"/>
    <s v="Shorts"/>
    <x v="0"/>
    <n v="33"/>
    <x v="38"/>
    <s v="M"/>
    <s v="Teal"/>
    <x v="1"/>
    <n v="3.8"/>
    <s v="Yes"/>
    <s v="Credit Card"/>
    <s v="2-Day Shipping"/>
    <s v="Yes"/>
    <s v="Yes"/>
    <n v="21"/>
    <x v="2"/>
    <s v="Every 3 Months"/>
    <n v="1"/>
    <x v="2"/>
  </r>
  <r>
    <n v="341"/>
    <n v="40"/>
    <s v="Male"/>
    <s v="Shorts"/>
    <x v="0"/>
    <n v="47"/>
    <x v="32"/>
    <s v="L"/>
    <s v="Blue"/>
    <x v="2"/>
    <n v="3.5"/>
    <s v="Yes"/>
    <s v="Cash"/>
    <s v="Express"/>
    <s v="Yes"/>
    <s v="Yes"/>
    <n v="39"/>
    <x v="0"/>
    <s v="Every 3 Months"/>
    <n v="1"/>
    <x v="2"/>
  </r>
  <r>
    <n v="342"/>
    <n v="20"/>
    <s v="Male"/>
    <s v="Hat"/>
    <x v="3"/>
    <n v="20"/>
    <x v="40"/>
    <s v="S"/>
    <s v="Blue"/>
    <x v="2"/>
    <n v="4.5999999999999996"/>
    <s v="Yes"/>
    <s v="Credit Card"/>
    <s v="Store Pickup"/>
    <s v="Yes"/>
    <s v="Yes"/>
    <n v="40"/>
    <x v="5"/>
    <s v="Bi-Weekly"/>
    <n v="1"/>
    <x v="1"/>
  </r>
  <r>
    <n v="343"/>
    <n v="64"/>
    <s v="Male"/>
    <s v="Coat"/>
    <x v="2"/>
    <n v="36"/>
    <x v="0"/>
    <s v="M"/>
    <s v="Olive"/>
    <x v="1"/>
    <n v="2.6"/>
    <s v="Yes"/>
    <s v="Bank Transfer"/>
    <s v="Next Day Air"/>
    <s v="Yes"/>
    <s v="Yes"/>
    <n v="48"/>
    <x v="2"/>
    <s v="Every 3 Months"/>
    <n v="1"/>
    <x v="0"/>
  </r>
  <r>
    <n v="344"/>
    <n v="27"/>
    <s v="Male"/>
    <s v="Sandals"/>
    <x v="1"/>
    <n v="39"/>
    <x v="43"/>
    <s v="M"/>
    <s v="Purple"/>
    <x v="2"/>
    <n v="4.4000000000000004"/>
    <s v="Yes"/>
    <s v="Cash"/>
    <s v="Next Day Air"/>
    <s v="Yes"/>
    <s v="Yes"/>
    <n v="26"/>
    <x v="0"/>
    <s v="Monthly"/>
    <n v="1"/>
    <x v="3"/>
  </r>
  <r>
    <n v="345"/>
    <n v="24"/>
    <s v="Male"/>
    <s v="Skirt"/>
    <x v="0"/>
    <n v="71"/>
    <x v="41"/>
    <s v="M"/>
    <s v="Charcoal"/>
    <x v="0"/>
    <n v="4"/>
    <s v="Yes"/>
    <s v="PayPal"/>
    <s v="Standard"/>
    <s v="Yes"/>
    <s v="Yes"/>
    <n v="46"/>
    <x v="5"/>
    <s v="Monthly"/>
    <n v="1"/>
    <x v="1"/>
  </r>
  <r>
    <n v="346"/>
    <n v="48"/>
    <s v="Male"/>
    <s v="Shoes"/>
    <x v="1"/>
    <n v="59"/>
    <x v="5"/>
    <s v="S"/>
    <s v="Olive"/>
    <x v="0"/>
    <n v="4.4000000000000004"/>
    <s v="Yes"/>
    <s v="Cash"/>
    <s v="Next Day Air"/>
    <s v="Yes"/>
    <s v="Yes"/>
    <n v="27"/>
    <x v="4"/>
    <s v="Annually"/>
    <n v="1"/>
    <x v="0"/>
  </r>
  <r>
    <n v="347"/>
    <n v="49"/>
    <s v="Male"/>
    <s v="Jeans"/>
    <x v="0"/>
    <n v="50"/>
    <x v="35"/>
    <s v="L"/>
    <s v="Violet"/>
    <x v="1"/>
    <n v="4.7"/>
    <s v="Yes"/>
    <s v="Credit Card"/>
    <s v="Next Day Air"/>
    <s v="Yes"/>
    <s v="Yes"/>
    <n v="5"/>
    <x v="1"/>
    <s v="Weekly"/>
    <n v="1"/>
    <x v="0"/>
  </r>
  <r>
    <n v="348"/>
    <n v="36"/>
    <s v="Male"/>
    <s v="Sandals"/>
    <x v="1"/>
    <n v="41"/>
    <x v="4"/>
    <s v="L"/>
    <s v="Red"/>
    <x v="3"/>
    <n v="3.9"/>
    <s v="Yes"/>
    <s v="Credit Card"/>
    <s v="Store Pickup"/>
    <s v="Yes"/>
    <s v="Yes"/>
    <n v="43"/>
    <x v="3"/>
    <s v="Fortnightly"/>
    <n v="1"/>
    <x v="2"/>
  </r>
  <r>
    <n v="349"/>
    <n v="56"/>
    <s v="Male"/>
    <s v="Blouse"/>
    <x v="0"/>
    <n v="59"/>
    <x v="36"/>
    <s v="M"/>
    <s v="Beige"/>
    <x v="3"/>
    <n v="2.7"/>
    <s v="Yes"/>
    <s v="Bank Transfer"/>
    <s v="Free Shipping"/>
    <s v="Yes"/>
    <s v="Yes"/>
    <n v="17"/>
    <x v="3"/>
    <s v="Fortnightly"/>
    <n v="1"/>
    <x v="0"/>
  </r>
  <r>
    <n v="350"/>
    <n v="37"/>
    <s v="Male"/>
    <s v="Hat"/>
    <x v="3"/>
    <n v="87"/>
    <x v="28"/>
    <s v="M"/>
    <s v="Green"/>
    <x v="0"/>
    <n v="3.7"/>
    <s v="Yes"/>
    <s v="Cash"/>
    <s v="2-Day Shipping"/>
    <s v="Yes"/>
    <s v="Yes"/>
    <n v="3"/>
    <x v="4"/>
    <s v="Bi-Weekly"/>
    <n v="1"/>
    <x v="2"/>
  </r>
  <r>
    <n v="351"/>
    <n v="42"/>
    <s v="Male"/>
    <s v="Sweater"/>
    <x v="0"/>
    <n v="68"/>
    <x v="0"/>
    <s v="M"/>
    <s v="Violet"/>
    <x v="1"/>
    <n v="2.6"/>
    <s v="Yes"/>
    <s v="Venmo"/>
    <s v="2-Day Shipping"/>
    <s v="Yes"/>
    <s v="Yes"/>
    <n v="47"/>
    <x v="4"/>
    <s v="Fortnightly"/>
    <n v="1"/>
    <x v="2"/>
  </r>
  <r>
    <n v="352"/>
    <n v="28"/>
    <s v="Male"/>
    <s v="Skirt"/>
    <x v="0"/>
    <n v="90"/>
    <x v="14"/>
    <s v="M"/>
    <s v="Teal"/>
    <x v="0"/>
    <n v="3.9"/>
    <s v="Yes"/>
    <s v="Cash"/>
    <s v="Standard"/>
    <s v="Yes"/>
    <s v="Yes"/>
    <n v="24"/>
    <x v="5"/>
    <s v="Bi-Weekly"/>
    <n v="1"/>
    <x v="3"/>
  </r>
  <r>
    <n v="353"/>
    <n v="27"/>
    <s v="Male"/>
    <s v="Jeans"/>
    <x v="0"/>
    <n v="71"/>
    <x v="21"/>
    <s v="XL"/>
    <s v="Yellow"/>
    <x v="3"/>
    <n v="4.9000000000000004"/>
    <s v="Yes"/>
    <s v="Venmo"/>
    <s v="Next Day Air"/>
    <s v="Yes"/>
    <s v="Yes"/>
    <n v="12"/>
    <x v="1"/>
    <s v="Every 3 Months"/>
    <n v="1"/>
    <x v="3"/>
  </r>
  <r>
    <n v="354"/>
    <n v="63"/>
    <s v="Male"/>
    <s v="Sneakers"/>
    <x v="1"/>
    <n v="64"/>
    <x v="9"/>
    <s v="L"/>
    <s v="Yellow"/>
    <x v="3"/>
    <n v="4.0999999999999996"/>
    <s v="Yes"/>
    <s v="Credit Card"/>
    <s v="Store Pickup"/>
    <s v="Yes"/>
    <s v="Yes"/>
    <n v="35"/>
    <x v="5"/>
    <s v="Monthly"/>
    <n v="1"/>
    <x v="0"/>
  </r>
  <r>
    <n v="355"/>
    <n v="58"/>
    <s v="Male"/>
    <s v="Jewelry"/>
    <x v="3"/>
    <n v="76"/>
    <x v="38"/>
    <s v="S"/>
    <s v="Olive"/>
    <x v="3"/>
    <n v="3"/>
    <s v="Yes"/>
    <s v="PayPal"/>
    <s v="Free Shipping"/>
    <s v="Yes"/>
    <s v="Yes"/>
    <n v="42"/>
    <x v="0"/>
    <s v="Weekly"/>
    <n v="1"/>
    <x v="0"/>
  </r>
  <r>
    <n v="356"/>
    <n v="37"/>
    <s v="Male"/>
    <s v="Jewelry"/>
    <x v="3"/>
    <n v="42"/>
    <x v="4"/>
    <s v="XL"/>
    <s v="Magenta"/>
    <x v="3"/>
    <n v="4.0999999999999996"/>
    <s v="Yes"/>
    <s v="Credit Card"/>
    <s v="2-Day Shipping"/>
    <s v="Yes"/>
    <s v="Yes"/>
    <n v="1"/>
    <x v="3"/>
    <s v="Every 3 Months"/>
    <n v="1"/>
    <x v="2"/>
  </r>
  <r>
    <n v="357"/>
    <n v="56"/>
    <s v="Male"/>
    <s v="Pants"/>
    <x v="0"/>
    <n v="80"/>
    <x v="22"/>
    <s v="L"/>
    <s v="Black"/>
    <x v="1"/>
    <n v="3.8"/>
    <s v="Yes"/>
    <s v="Debit Card"/>
    <s v="Standard"/>
    <s v="Yes"/>
    <s v="Yes"/>
    <n v="27"/>
    <x v="1"/>
    <s v="Weekly"/>
    <n v="1"/>
    <x v="0"/>
  </r>
  <r>
    <n v="358"/>
    <n v="18"/>
    <s v="Male"/>
    <s v="Belt"/>
    <x v="3"/>
    <n v="56"/>
    <x v="10"/>
    <s v="M"/>
    <s v="Olive"/>
    <x v="1"/>
    <n v="4"/>
    <s v="Yes"/>
    <s v="Bank Transfer"/>
    <s v="Standard"/>
    <s v="Yes"/>
    <s v="Yes"/>
    <n v="16"/>
    <x v="2"/>
    <s v="Bi-Weekly"/>
    <n v="1"/>
    <x v="1"/>
  </r>
  <r>
    <n v="359"/>
    <n v="48"/>
    <s v="Male"/>
    <s v="Hat"/>
    <x v="3"/>
    <n v="25"/>
    <x v="46"/>
    <s v="XL"/>
    <s v="Magenta"/>
    <x v="2"/>
    <n v="3.6"/>
    <s v="Yes"/>
    <s v="Debit Card"/>
    <s v="Express"/>
    <s v="Yes"/>
    <s v="Yes"/>
    <n v="36"/>
    <x v="2"/>
    <s v="Every 3 Months"/>
    <n v="1"/>
    <x v="0"/>
  </r>
  <r>
    <n v="360"/>
    <n v="31"/>
    <s v="Male"/>
    <s v="Sneakers"/>
    <x v="1"/>
    <n v="74"/>
    <x v="42"/>
    <s v="M"/>
    <s v="Olive"/>
    <x v="0"/>
    <n v="3"/>
    <s v="Yes"/>
    <s v="Debit Card"/>
    <s v="Store Pickup"/>
    <s v="Yes"/>
    <s v="Yes"/>
    <n v="30"/>
    <x v="2"/>
    <s v="Every 3 Months"/>
    <n v="1"/>
    <x v="3"/>
  </r>
  <r>
    <n v="361"/>
    <n v="51"/>
    <s v="Male"/>
    <s v="Pants"/>
    <x v="0"/>
    <n v="30"/>
    <x v="3"/>
    <s v="M"/>
    <s v="Teal"/>
    <x v="2"/>
    <n v="3"/>
    <s v="Yes"/>
    <s v="Bank Transfer"/>
    <s v="Standard"/>
    <s v="Yes"/>
    <s v="Yes"/>
    <n v="18"/>
    <x v="5"/>
    <s v="Fortnightly"/>
    <n v="1"/>
    <x v="0"/>
  </r>
  <r>
    <n v="362"/>
    <n v="65"/>
    <s v="Male"/>
    <s v="T-shirt"/>
    <x v="0"/>
    <n v="96"/>
    <x v="22"/>
    <s v="M"/>
    <s v="White"/>
    <x v="1"/>
    <n v="2.6"/>
    <s v="Yes"/>
    <s v="Bank Transfer"/>
    <s v="Free Shipping"/>
    <s v="Yes"/>
    <s v="Yes"/>
    <n v="45"/>
    <x v="1"/>
    <s v="Annually"/>
    <n v="1"/>
    <x v="0"/>
  </r>
  <r>
    <n v="363"/>
    <n v="53"/>
    <s v="Male"/>
    <s v="Sneakers"/>
    <x v="1"/>
    <n v="64"/>
    <x v="21"/>
    <s v="M"/>
    <s v="Charcoal"/>
    <x v="3"/>
    <n v="3.4"/>
    <s v="Yes"/>
    <s v="Cash"/>
    <s v="Free Shipping"/>
    <s v="Yes"/>
    <s v="Yes"/>
    <n v="1"/>
    <x v="0"/>
    <s v="Fortnightly"/>
    <n v="1"/>
    <x v="0"/>
  </r>
  <r>
    <n v="364"/>
    <n v="55"/>
    <s v="Male"/>
    <s v="Shorts"/>
    <x v="0"/>
    <n v="88"/>
    <x v="20"/>
    <s v="L"/>
    <s v="Yellow"/>
    <x v="0"/>
    <n v="3.1"/>
    <s v="Yes"/>
    <s v="Cash"/>
    <s v="Free Shipping"/>
    <s v="Yes"/>
    <s v="Yes"/>
    <n v="42"/>
    <x v="4"/>
    <s v="Fortnightly"/>
    <n v="1"/>
    <x v="0"/>
  </r>
  <r>
    <n v="365"/>
    <n v="62"/>
    <s v="Male"/>
    <s v="Shoes"/>
    <x v="1"/>
    <n v="88"/>
    <x v="25"/>
    <s v="L"/>
    <s v="Charcoal"/>
    <x v="2"/>
    <n v="3"/>
    <s v="Yes"/>
    <s v="Debit Card"/>
    <s v="Free Shipping"/>
    <s v="Yes"/>
    <s v="Yes"/>
    <n v="7"/>
    <x v="0"/>
    <s v="Every 3 Months"/>
    <n v="1"/>
    <x v="0"/>
  </r>
  <r>
    <n v="366"/>
    <n v="55"/>
    <s v="Male"/>
    <s v="Gloves"/>
    <x v="3"/>
    <n v="88"/>
    <x v="8"/>
    <s v="XL"/>
    <s v="Gray"/>
    <x v="2"/>
    <n v="3.7"/>
    <s v="Yes"/>
    <s v="PayPal"/>
    <s v="Standard"/>
    <s v="Yes"/>
    <s v="Yes"/>
    <n v="50"/>
    <x v="3"/>
    <s v="Quarterly"/>
    <n v="1"/>
    <x v="0"/>
  </r>
  <r>
    <n v="367"/>
    <n v="64"/>
    <s v="Male"/>
    <s v="Socks"/>
    <x v="0"/>
    <n v="36"/>
    <x v="43"/>
    <s v="M"/>
    <s v="Turquoise"/>
    <x v="1"/>
    <n v="3.5"/>
    <s v="Yes"/>
    <s v="Bank Transfer"/>
    <s v="Store Pickup"/>
    <s v="Yes"/>
    <s v="Yes"/>
    <n v="37"/>
    <x v="0"/>
    <s v="Fortnightly"/>
    <n v="1"/>
    <x v="0"/>
  </r>
  <r>
    <n v="368"/>
    <n v="52"/>
    <s v="Male"/>
    <s v="Dress"/>
    <x v="0"/>
    <n v="40"/>
    <x v="30"/>
    <s v="XL"/>
    <s v="Cyan"/>
    <x v="1"/>
    <n v="2.8"/>
    <s v="Yes"/>
    <s v="Credit Card"/>
    <s v="Store Pickup"/>
    <s v="Yes"/>
    <s v="Yes"/>
    <n v="18"/>
    <x v="4"/>
    <s v="Monthly"/>
    <n v="1"/>
    <x v="0"/>
  </r>
  <r>
    <n v="369"/>
    <n v="24"/>
    <s v="Male"/>
    <s v="Handbag"/>
    <x v="3"/>
    <n v="39"/>
    <x v="19"/>
    <s v="M"/>
    <s v="Charcoal"/>
    <x v="1"/>
    <n v="4.5"/>
    <s v="Yes"/>
    <s v="Venmo"/>
    <s v="Standard"/>
    <s v="Yes"/>
    <s v="Yes"/>
    <n v="29"/>
    <x v="1"/>
    <s v="Monthly"/>
    <n v="1"/>
    <x v="1"/>
  </r>
  <r>
    <n v="370"/>
    <n v="38"/>
    <s v="Male"/>
    <s v="Belt"/>
    <x v="3"/>
    <n v="40"/>
    <x v="48"/>
    <s v="M"/>
    <s v="Silver"/>
    <x v="2"/>
    <n v="3.3"/>
    <s v="Yes"/>
    <s v="Cash"/>
    <s v="Store Pickup"/>
    <s v="Yes"/>
    <s v="Yes"/>
    <n v="45"/>
    <x v="3"/>
    <s v="Quarterly"/>
    <n v="1"/>
    <x v="2"/>
  </r>
  <r>
    <n v="371"/>
    <n v="59"/>
    <s v="Male"/>
    <s v="Scarf"/>
    <x v="3"/>
    <n v="34"/>
    <x v="4"/>
    <s v="M"/>
    <s v="Olive"/>
    <x v="0"/>
    <n v="3.4"/>
    <s v="Yes"/>
    <s v="Credit Card"/>
    <s v="Express"/>
    <s v="Yes"/>
    <s v="Yes"/>
    <n v="13"/>
    <x v="3"/>
    <s v="Weekly"/>
    <n v="1"/>
    <x v="0"/>
  </r>
  <r>
    <n v="372"/>
    <n v="27"/>
    <s v="Male"/>
    <s v="Sneakers"/>
    <x v="1"/>
    <n v="83"/>
    <x v="17"/>
    <s v="S"/>
    <s v="Pink"/>
    <x v="0"/>
    <n v="3.2"/>
    <s v="Yes"/>
    <s v="Bank Transfer"/>
    <s v="2-Day Shipping"/>
    <s v="Yes"/>
    <s v="Yes"/>
    <n v="47"/>
    <x v="3"/>
    <s v="Monthly"/>
    <n v="1"/>
    <x v="3"/>
  </r>
  <r>
    <n v="373"/>
    <n v="24"/>
    <s v="Male"/>
    <s v="Sweater"/>
    <x v="0"/>
    <n v="85"/>
    <x v="38"/>
    <s v="L"/>
    <s v="Orange"/>
    <x v="2"/>
    <n v="3.7"/>
    <s v="Yes"/>
    <s v="Credit Card"/>
    <s v="Standard"/>
    <s v="Yes"/>
    <s v="Yes"/>
    <n v="7"/>
    <x v="5"/>
    <s v="Weekly"/>
    <n v="1"/>
    <x v="1"/>
  </r>
  <r>
    <n v="374"/>
    <n v="23"/>
    <s v="Male"/>
    <s v="Coat"/>
    <x v="2"/>
    <n v="27"/>
    <x v="25"/>
    <s v="L"/>
    <s v="White"/>
    <x v="2"/>
    <n v="4.5999999999999996"/>
    <s v="Yes"/>
    <s v="Bank Transfer"/>
    <s v="Express"/>
    <s v="Yes"/>
    <s v="Yes"/>
    <n v="11"/>
    <x v="0"/>
    <s v="Bi-Weekly"/>
    <n v="1"/>
    <x v="1"/>
  </r>
  <r>
    <n v="375"/>
    <n v="69"/>
    <s v="Male"/>
    <s v="Jewelry"/>
    <x v="3"/>
    <n v="78"/>
    <x v="31"/>
    <s v="S"/>
    <s v="Purple"/>
    <x v="1"/>
    <n v="5"/>
    <s v="Yes"/>
    <s v="Bank Transfer"/>
    <s v="Store Pickup"/>
    <s v="Yes"/>
    <s v="Yes"/>
    <n v="39"/>
    <x v="4"/>
    <s v="Monthly"/>
    <n v="1"/>
    <x v="0"/>
  </r>
  <r>
    <n v="376"/>
    <n v="59"/>
    <s v="Male"/>
    <s v="Sunglasses"/>
    <x v="3"/>
    <n v="32"/>
    <x v="19"/>
    <s v="M"/>
    <s v="Olive"/>
    <x v="2"/>
    <n v="4.4000000000000004"/>
    <s v="Yes"/>
    <s v="Debit Card"/>
    <s v="Standard"/>
    <s v="Yes"/>
    <s v="Yes"/>
    <n v="6"/>
    <x v="5"/>
    <s v="Quarterly"/>
    <n v="1"/>
    <x v="0"/>
  </r>
  <r>
    <n v="377"/>
    <n v="51"/>
    <s v="Male"/>
    <s v="Shoes"/>
    <x v="1"/>
    <n v="51"/>
    <x v="36"/>
    <s v="S"/>
    <s v="Gray"/>
    <x v="3"/>
    <n v="4.9000000000000004"/>
    <s v="Yes"/>
    <s v="PayPal"/>
    <s v="Express"/>
    <s v="Yes"/>
    <s v="Yes"/>
    <n v="2"/>
    <x v="0"/>
    <s v="Bi-Weekly"/>
    <n v="1"/>
    <x v="0"/>
  </r>
  <r>
    <n v="378"/>
    <n v="63"/>
    <s v="Male"/>
    <s v="Scarf"/>
    <x v="3"/>
    <n v="32"/>
    <x v="1"/>
    <s v="M"/>
    <s v="Silver"/>
    <x v="1"/>
    <n v="4.0999999999999996"/>
    <s v="Yes"/>
    <s v="Debit Card"/>
    <s v="Standard"/>
    <s v="Yes"/>
    <s v="Yes"/>
    <n v="39"/>
    <x v="2"/>
    <s v="Every 3 Months"/>
    <n v="1"/>
    <x v="0"/>
  </r>
  <r>
    <n v="379"/>
    <n v="54"/>
    <s v="Male"/>
    <s v="Dress"/>
    <x v="0"/>
    <n v="62"/>
    <x v="22"/>
    <s v="L"/>
    <s v="Orange"/>
    <x v="0"/>
    <n v="4.9000000000000004"/>
    <s v="Yes"/>
    <s v="Cash"/>
    <s v="Next Day Air"/>
    <s v="Yes"/>
    <s v="Yes"/>
    <n v="23"/>
    <x v="2"/>
    <s v="Monthly"/>
    <n v="1"/>
    <x v="0"/>
  </r>
  <r>
    <n v="380"/>
    <n v="32"/>
    <s v="Male"/>
    <s v="T-shirt"/>
    <x v="0"/>
    <n v="29"/>
    <x v="6"/>
    <s v="S"/>
    <s v="Magenta"/>
    <x v="3"/>
    <n v="4.7"/>
    <s v="Yes"/>
    <s v="Debit Card"/>
    <s v="2-Day Shipping"/>
    <s v="Yes"/>
    <s v="Yes"/>
    <n v="46"/>
    <x v="5"/>
    <s v="Bi-Weekly"/>
    <n v="1"/>
    <x v="3"/>
  </r>
  <r>
    <n v="381"/>
    <n v="39"/>
    <s v="Male"/>
    <s v="Backpack"/>
    <x v="3"/>
    <n v="69"/>
    <x v="13"/>
    <s v="XL"/>
    <s v="Beige"/>
    <x v="3"/>
    <n v="3"/>
    <s v="Yes"/>
    <s v="PayPal"/>
    <s v="Store Pickup"/>
    <s v="Yes"/>
    <s v="Yes"/>
    <n v="19"/>
    <x v="4"/>
    <s v="Weekly"/>
    <n v="1"/>
    <x v="2"/>
  </r>
  <r>
    <n v="382"/>
    <n v="66"/>
    <s v="Male"/>
    <s v="Jewelry"/>
    <x v="3"/>
    <n v="25"/>
    <x v="1"/>
    <s v="L"/>
    <s v="Lavender"/>
    <x v="0"/>
    <n v="3.4"/>
    <s v="Yes"/>
    <s v="Debit Card"/>
    <s v="Store Pickup"/>
    <s v="Yes"/>
    <s v="Yes"/>
    <n v="3"/>
    <x v="2"/>
    <s v="Every 3 Months"/>
    <n v="1"/>
    <x v="0"/>
  </r>
  <r>
    <n v="383"/>
    <n v="28"/>
    <s v="Male"/>
    <s v="Jeans"/>
    <x v="0"/>
    <n v="76"/>
    <x v="18"/>
    <s v="M"/>
    <s v="Peach"/>
    <x v="0"/>
    <n v="3.2"/>
    <s v="Yes"/>
    <s v="PayPal"/>
    <s v="Store Pickup"/>
    <s v="Yes"/>
    <s v="Yes"/>
    <n v="47"/>
    <x v="3"/>
    <s v="Quarterly"/>
    <n v="1"/>
    <x v="3"/>
  </r>
  <r>
    <n v="384"/>
    <n v="50"/>
    <s v="Male"/>
    <s v="Sunglasses"/>
    <x v="3"/>
    <n v="77"/>
    <x v="8"/>
    <s v="S"/>
    <s v="Magenta"/>
    <x v="3"/>
    <n v="2.9"/>
    <s v="Yes"/>
    <s v="Credit Card"/>
    <s v="Standard"/>
    <s v="Yes"/>
    <s v="Yes"/>
    <n v="6"/>
    <x v="3"/>
    <s v="Quarterly"/>
    <n v="1"/>
    <x v="0"/>
  </r>
  <r>
    <n v="385"/>
    <n v="70"/>
    <s v="Male"/>
    <s v="Sweater"/>
    <x v="0"/>
    <n v="33"/>
    <x v="18"/>
    <s v="M"/>
    <s v="Beige"/>
    <x v="3"/>
    <n v="4.5"/>
    <s v="Yes"/>
    <s v="Credit Card"/>
    <s v="2-Day Shipping"/>
    <s v="Yes"/>
    <s v="Yes"/>
    <n v="6"/>
    <x v="0"/>
    <s v="Annually"/>
    <n v="1"/>
    <x v="0"/>
  </r>
  <r>
    <n v="386"/>
    <n v="67"/>
    <s v="Male"/>
    <s v="Shorts"/>
    <x v="0"/>
    <n v="93"/>
    <x v="8"/>
    <s v="S"/>
    <s v="Yellow"/>
    <x v="3"/>
    <n v="2.7"/>
    <s v="Yes"/>
    <s v="Credit Card"/>
    <s v="Next Day Air"/>
    <s v="Yes"/>
    <s v="Yes"/>
    <n v="12"/>
    <x v="2"/>
    <s v="Bi-Weekly"/>
    <n v="1"/>
    <x v="0"/>
  </r>
  <r>
    <n v="387"/>
    <n v="64"/>
    <s v="Male"/>
    <s v="Jewelry"/>
    <x v="3"/>
    <n v="39"/>
    <x v="7"/>
    <s v="L"/>
    <s v="Brown"/>
    <x v="1"/>
    <n v="3.4"/>
    <s v="Yes"/>
    <s v="Cash"/>
    <s v="Express"/>
    <s v="Yes"/>
    <s v="Yes"/>
    <n v="40"/>
    <x v="3"/>
    <s v="Quarterly"/>
    <n v="1"/>
    <x v="0"/>
  </r>
  <r>
    <n v="388"/>
    <n v="45"/>
    <s v="Male"/>
    <s v="Coat"/>
    <x v="2"/>
    <n v="93"/>
    <x v="42"/>
    <s v="L"/>
    <s v="Silver"/>
    <x v="2"/>
    <n v="4.5999999999999996"/>
    <s v="Yes"/>
    <s v="Cash"/>
    <s v="Store Pickup"/>
    <s v="Yes"/>
    <s v="Yes"/>
    <n v="38"/>
    <x v="3"/>
    <s v="Fortnightly"/>
    <n v="1"/>
    <x v="2"/>
  </r>
  <r>
    <n v="389"/>
    <n v="22"/>
    <s v="Male"/>
    <s v="Handbag"/>
    <x v="3"/>
    <n v="82"/>
    <x v="47"/>
    <s v="M"/>
    <s v="Orange"/>
    <x v="2"/>
    <n v="2.7"/>
    <s v="Yes"/>
    <s v="Credit Card"/>
    <s v="Store Pickup"/>
    <s v="Yes"/>
    <s v="Yes"/>
    <n v="10"/>
    <x v="3"/>
    <s v="Quarterly"/>
    <n v="1"/>
    <x v="1"/>
  </r>
  <r>
    <n v="390"/>
    <n v="27"/>
    <s v="Male"/>
    <s v="Boots"/>
    <x v="1"/>
    <n v="42"/>
    <x v="41"/>
    <s v="L"/>
    <s v="Purple"/>
    <x v="1"/>
    <n v="4.2"/>
    <s v="Yes"/>
    <s v="Venmo"/>
    <s v="Standard"/>
    <s v="Yes"/>
    <s v="Yes"/>
    <n v="28"/>
    <x v="4"/>
    <s v="Monthly"/>
    <n v="1"/>
    <x v="3"/>
  </r>
  <r>
    <n v="391"/>
    <n v="25"/>
    <s v="Male"/>
    <s v="Gloves"/>
    <x v="3"/>
    <n v="71"/>
    <x v="27"/>
    <s v="M"/>
    <s v="Indigo"/>
    <x v="0"/>
    <n v="3.2"/>
    <s v="Yes"/>
    <s v="Debit Card"/>
    <s v="2-Day Shipping"/>
    <s v="Yes"/>
    <s v="Yes"/>
    <n v="19"/>
    <x v="3"/>
    <s v="Annually"/>
    <n v="1"/>
    <x v="1"/>
  </r>
  <r>
    <n v="392"/>
    <n v="37"/>
    <s v="Male"/>
    <s v="Sweater"/>
    <x v="0"/>
    <n v="86"/>
    <x v="46"/>
    <s v="L"/>
    <s v="Gray"/>
    <x v="1"/>
    <n v="4.8"/>
    <s v="Yes"/>
    <s v="Cash"/>
    <s v="Standard"/>
    <s v="Yes"/>
    <s v="Yes"/>
    <n v="25"/>
    <x v="1"/>
    <s v="Fortnightly"/>
    <n v="1"/>
    <x v="2"/>
  </r>
  <r>
    <n v="393"/>
    <n v="26"/>
    <s v="Male"/>
    <s v="T-shirt"/>
    <x v="0"/>
    <n v="82"/>
    <x v="37"/>
    <s v="XL"/>
    <s v="Black"/>
    <x v="1"/>
    <n v="3.3"/>
    <s v="Yes"/>
    <s v="PayPal"/>
    <s v="Next Day Air"/>
    <s v="Yes"/>
    <s v="Yes"/>
    <n v="38"/>
    <x v="2"/>
    <s v="Annually"/>
    <n v="1"/>
    <x v="3"/>
  </r>
  <r>
    <n v="394"/>
    <n v="33"/>
    <s v="Male"/>
    <s v="Shoes"/>
    <x v="1"/>
    <n v="65"/>
    <x v="34"/>
    <s v="L"/>
    <s v="Maroon"/>
    <x v="3"/>
    <n v="4.2"/>
    <s v="Yes"/>
    <s v="Credit Card"/>
    <s v="Standard"/>
    <s v="Yes"/>
    <s v="Yes"/>
    <n v="6"/>
    <x v="3"/>
    <s v="Fortnightly"/>
    <n v="1"/>
    <x v="3"/>
  </r>
  <r>
    <n v="395"/>
    <n v="43"/>
    <s v="Male"/>
    <s v="Scarf"/>
    <x v="3"/>
    <n v="29"/>
    <x v="25"/>
    <s v="M"/>
    <s v="Beige"/>
    <x v="1"/>
    <n v="4.8"/>
    <s v="Yes"/>
    <s v="PayPal"/>
    <s v="Store Pickup"/>
    <s v="Yes"/>
    <s v="Yes"/>
    <n v="7"/>
    <x v="5"/>
    <s v="Bi-Weekly"/>
    <n v="1"/>
    <x v="2"/>
  </r>
  <r>
    <n v="396"/>
    <n v="37"/>
    <s v="Male"/>
    <s v="Sneakers"/>
    <x v="1"/>
    <n v="65"/>
    <x v="3"/>
    <s v="L"/>
    <s v="Brown"/>
    <x v="0"/>
    <n v="4.9000000000000004"/>
    <s v="Yes"/>
    <s v="Cash"/>
    <s v="Store Pickup"/>
    <s v="Yes"/>
    <s v="Yes"/>
    <n v="2"/>
    <x v="3"/>
    <s v="Annually"/>
    <n v="1"/>
    <x v="2"/>
  </r>
  <r>
    <n v="397"/>
    <n v="46"/>
    <s v="Male"/>
    <s v="Dress"/>
    <x v="0"/>
    <n v="88"/>
    <x v="36"/>
    <s v="S"/>
    <s v="Black"/>
    <x v="3"/>
    <n v="3.9"/>
    <s v="Yes"/>
    <s v="Bank Transfer"/>
    <s v="Standard"/>
    <s v="Yes"/>
    <s v="Yes"/>
    <n v="24"/>
    <x v="4"/>
    <s v="Annually"/>
    <n v="1"/>
    <x v="0"/>
  </r>
  <r>
    <n v="398"/>
    <n v="22"/>
    <s v="Male"/>
    <s v="Belt"/>
    <x v="3"/>
    <n v="46"/>
    <x v="16"/>
    <s v="M"/>
    <s v="Indigo"/>
    <x v="3"/>
    <n v="3"/>
    <s v="Yes"/>
    <s v="Venmo"/>
    <s v="Free Shipping"/>
    <s v="Yes"/>
    <s v="Yes"/>
    <n v="26"/>
    <x v="1"/>
    <s v="Annually"/>
    <n v="1"/>
    <x v="1"/>
  </r>
  <r>
    <n v="399"/>
    <n v="20"/>
    <s v="Male"/>
    <s v="Boots"/>
    <x v="1"/>
    <n v="67"/>
    <x v="6"/>
    <s v="S"/>
    <s v="Silver"/>
    <x v="0"/>
    <n v="4.5999999999999996"/>
    <s v="Yes"/>
    <s v="PayPal"/>
    <s v="Free Shipping"/>
    <s v="Yes"/>
    <s v="Yes"/>
    <n v="25"/>
    <x v="5"/>
    <s v="Every 3 Months"/>
    <n v="1"/>
    <x v="1"/>
  </r>
  <r>
    <n v="400"/>
    <n v="60"/>
    <s v="Male"/>
    <s v="Scarf"/>
    <x v="3"/>
    <n v="35"/>
    <x v="37"/>
    <s v="L"/>
    <s v="Blue"/>
    <x v="3"/>
    <n v="3.5"/>
    <s v="Yes"/>
    <s v="Credit Card"/>
    <s v="2-Day Shipping"/>
    <s v="Yes"/>
    <s v="Yes"/>
    <n v="10"/>
    <x v="5"/>
    <s v="Monthly"/>
    <n v="1"/>
    <x v="0"/>
  </r>
  <r>
    <n v="401"/>
    <n v="39"/>
    <s v="Male"/>
    <s v="Boots"/>
    <x v="1"/>
    <n v="66"/>
    <x v="40"/>
    <s v="M"/>
    <s v="Green"/>
    <x v="0"/>
    <n v="4.8"/>
    <s v="Yes"/>
    <s v="Venmo"/>
    <s v="Free Shipping"/>
    <s v="Yes"/>
    <s v="Yes"/>
    <n v="14"/>
    <x v="3"/>
    <s v="Fortnightly"/>
    <n v="1"/>
    <x v="2"/>
  </r>
  <r>
    <n v="402"/>
    <n v="43"/>
    <s v="Male"/>
    <s v="T-shirt"/>
    <x v="0"/>
    <n v="91"/>
    <x v="19"/>
    <s v="L"/>
    <s v="Orange"/>
    <x v="3"/>
    <n v="4.8"/>
    <s v="Yes"/>
    <s v="Bank Transfer"/>
    <s v="Standard"/>
    <s v="Yes"/>
    <s v="Yes"/>
    <n v="21"/>
    <x v="1"/>
    <s v="Quarterly"/>
    <n v="1"/>
    <x v="2"/>
  </r>
  <r>
    <n v="403"/>
    <n v="31"/>
    <s v="Male"/>
    <s v="Backpack"/>
    <x v="3"/>
    <n v="78"/>
    <x v="18"/>
    <s v="L"/>
    <s v="Cyan"/>
    <x v="3"/>
    <n v="3"/>
    <s v="Yes"/>
    <s v="PayPal"/>
    <s v="Express"/>
    <s v="Yes"/>
    <s v="Yes"/>
    <n v="26"/>
    <x v="3"/>
    <s v="Monthly"/>
    <n v="1"/>
    <x v="3"/>
  </r>
  <r>
    <n v="404"/>
    <n v="19"/>
    <s v="Male"/>
    <s v="Sneakers"/>
    <x v="1"/>
    <n v="45"/>
    <x v="22"/>
    <s v="M"/>
    <s v="Orange"/>
    <x v="0"/>
    <n v="4.5"/>
    <s v="Yes"/>
    <s v="Credit Card"/>
    <s v="Next Day Air"/>
    <s v="Yes"/>
    <s v="Yes"/>
    <n v="12"/>
    <x v="4"/>
    <s v="Annually"/>
    <n v="1"/>
    <x v="1"/>
  </r>
  <r>
    <n v="405"/>
    <n v="35"/>
    <s v="Male"/>
    <s v="T-shirt"/>
    <x v="0"/>
    <n v="93"/>
    <x v="12"/>
    <s v="M"/>
    <s v="Indigo"/>
    <x v="1"/>
    <n v="4.8"/>
    <s v="Yes"/>
    <s v="Credit Card"/>
    <s v="Store Pickup"/>
    <s v="Yes"/>
    <s v="Yes"/>
    <n v="11"/>
    <x v="2"/>
    <s v="Monthly"/>
    <n v="1"/>
    <x v="3"/>
  </r>
  <r>
    <n v="406"/>
    <n v="41"/>
    <s v="Male"/>
    <s v="Jeans"/>
    <x v="0"/>
    <n v="74"/>
    <x v="36"/>
    <s v="S"/>
    <s v="Silver"/>
    <x v="2"/>
    <n v="3.8"/>
    <s v="Yes"/>
    <s v="Debit Card"/>
    <s v="Standard"/>
    <s v="Yes"/>
    <s v="Yes"/>
    <n v="15"/>
    <x v="1"/>
    <s v="Annually"/>
    <n v="1"/>
    <x v="2"/>
  </r>
  <r>
    <n v="407"/>
    <n v="52"/>
    <s v="Male"/>
    <s v="Gloves"/>
    <x v="3"/>
    <n v="55"/>
    <x v="33"/>
    <s v="M"/>
    <s v="Peach"/>
    <x v="1"/>
    <n v="4.5999999999999996"/>
    <s v="Yes"/>
    <s v="Debit Card"/>
    <s v="Express"/>
    <s v="Yes"/>
    <s v="Yes"/>
    <n v="13"/>
    <x v="1"/>
    <s v="Monthly"/>
    <n v="1"/>
    <x v="0"/>
  </r>
  <r>
    <n v="408"/>
    <n v="45"/>
    <s v="Male"/>
    <s v="Hoodie"/>
    <x v="0"/>
    <n v="76"/>
    <x v="17"/>
    <s v="XL"/>
    <s v="Teal"/>
    <x v="1"/>
    <n v="3.1"/>
    <s v="Yes"/>
    <s v="Debit Card"/>
    <s v="Next Day Air"/>
    <s v="Yes"/>
    <s v="Yes"/>
    <n v="5"/>
    <x v="2"/>
    <s v="Bi-Weekly"/>
    <n v="1"/>
    <x v="2"/>
  </r>
  <r>
    <n v="409"/>
    <n v="34"/>
    <s v="Male"/>
    <s v="Sneakers"/>
    <x v="1"/>
    <n v="66"/>
    <x v="15"/>
    <s v="L"/>
    <s v="White"/>
    <x v="1"/>
    <n v="3.4"/>
    <s v="Yes"/>
    <s v="Credit Card"/>
    <s v="Express"/>
    <s v="Yes"/>
    <s v="Yes"/>
    <n v="36"/>
    <x v="1"/>
    <s v="Fortnightly"/>
    <n v="1"/>
    <x v="3"/>
  </r>
  <r>
    <n v="410"/>
    <n v="35"/>
    <s v="Male"/>
    <s v="Shorts"/>
    <x v="0"/>
    <n v="51"/>
    <x v="46"/>
    <s v="M"/>
    <s v="Brown"/>
    <x v="0"/>
    <n v="3.3"/>
    <s v="Yes"/>
    <s v="Debit Card"/>
    <s v="2-Day Shipping"/>
    <s v="Yes"/>
    <s v="Yes"/>
    <n v="32"/>
    <x v="4"/>
    <s v="Monthly"/>
    <n v="1"/>
    <x v="3"/>
  </r>
  <r>
    <n v="411"/>
    <n v="29"/>
    <s v="Male"/>
    <s v="Sweater"/>
    <x v="0"/>
    <n v="26"/>
    <x v="41"/>
    <s v="L"/>
    <s v="Lavender"/>
    <x v="1"/>
    <n v="4.8"/>
    <s v="Yes"/>
    <s v="Debit Card"/>
    <s v="2-Day Shipping"/>
    <s v="Yes"/>
    <s v="Yes"/>
    <n v="1"/>
    <x v="2"/>
    <s v="Quarterly"/>
    <n v="1"/>
    <x v="3"/>
  </r>
  <r>
    <n v="412"/>
    <n v="59"/>
    <s v="Male"/>
    <s v="Jeans"/>
    <x v="0"/>
    <n v="29"/>
    <x v="49"/>
    <s v="M"/>
    <s v="Indigo"/>
    <x v="2"/>
    <n v="2.8"/>
    <s v="Yes"/>
    <s v="Cash"/>
    <s v="Express"/>
    <s v="Yes"/>
    <s v="Yes"/>
    <n v="15"/>
    <x v="3"/>
    <s v="Annually"/>
    <n v="1"/>
    <x v="0"/>
  </r>
  <r>
    <n v="413"/>
    <n v="24"/>
    <s v="Male"/>
    <s v="Jacket"/>
    <x v="2"/>
    <n v="74"/>
    <x v="1"/>
    <s v="M"/>
    <s v="Yellow"/>
    <x v="2"/>
    <n v="3.1"/>
    <s v="Yes"/>
    <s v="Venmo"/>
    <s v="Store Pickup"/>
    <s v="Yes"/>
    <s v="Yes"/>
    <n v="3"/>
    <x v="4"/>
    <s v="Weekly"/>
    <n v="1"/>
    <x v="1"/>
  </r>
  <r>
    <n v="414"/>
    <n v="70"/>
    <s v="Male"/>
    <s v="Jewelry"/>
    <x v="3"/>
    <n v="99"/>
    <x v="22"/>
    <s v="S"/>
    <s v="White"/>
    <x v="2"/>
    <n v="4.5999999999999996"/>
    <s v="Yes"/>
    <s v="Debit Card"/>
    <s v="Free Shipping"/>
    <s v="Yes"/>
    <s v="Yes"/>
    <n v="48"/>
    <x v="1"/>
    <s v="Monthly"/>
    <n v="1"/>
    <x v="0"/>
  </r>
  <r>
    <n v="415"/>
    <n v="29"/>
    <s v="Male"/>
    <s v="Backpack"/>
    <x v="3"/>
    <n v="88"/>
    <x v="5"/>
    <s v="L"/>
    <s v="Violet"/>
    <x v="0"/>
    <n v="2.6"/>
    <s v="Yes"/>
    <s v="Bank Transfer"/>
    <s v="Store Pickup"/>
    <s v="Yes"/>
    <s v="Yes"/>
    <n v="30"/>
    <x v="5"/>
    <s v="Weekly"/>
    <n v="1"/>
    <x v="3"/>
  </r>
  <r>
    <n v="416"/>
    <n v="67"/>
    <s v="Male"/>
    <s v="Coat"/>
    <x v="2"/>
    <n v="31"/>
    <x v="39"/>
    <s v="M"/>
    <s v="Lavender"/>
    <x v="0"/>
    <n v="2.6"/>
    <s v="Yes"/>
    <s v="Venmo"/>
    <s v="Express"/>
    <s v="Yes"/>
    <s v="Yes"/>
    <n v="40"/>
    <x v="4"/>
    <s v="Monthly"/>
    <n v="1"/>
    <x v="0"/>
  </r>
  <r>
    <n v="417"/>
    <n v="36"/>
    <s v="Male"/>
    <s v="Belt"/>
    <x v="3"/>
    <n v="55"/>
    <x v="4"/>
    <s v="L"/>
    <s v="Olive"/>
    <x v="1"/>
    <n v="3.8"/>
    <s v="Yes"/>
    <s v="Bank Transfer"/>
    <s v="Free Shipping"/>
    <s v="Yes"/>
    <s v="Yes"/>
    <n v="24"/>
    <x v="4"/>
    <s v="Fortnightly"/>
    <n v="1"/>
    <x v="2"/>
  </r>
  <r>
    <n v="418"/>
    <n v="23"/>
    <s v="Male"/>
    <s v="Sandals"/>
    <x v="1"/>
    <n v="81"/>
    <x v="16"/>
    <s v="L"/>
    <s v="Beige"/>
    <x v="3"/>
    <n v="4.5"/>
    <s v="Yes"/>
    <s v="PayPal"/>
    <s v="Free Shipping"/>
    <s v="Yes"/>
    <s v="Yes"/>
    <n v="48"/>
    <x v="5"/>
    <s v="Quarterly"/>
    <n v="1"/>
    <x v="1"/>
  </r>
  <r>
    <n v="419"/>
    <n v="18"/>
    <s v="Male"/>
    <s v="Sweater"/>
    <x v="0"/>
    <n v="73"/>
    <x v="26"/>
    <s v="L"/>
    <s v="Purple"/>
    <x v="1"/>
    <n v="3"/>
    <s v="Yes"/>
    <s v="Cash"/>
    <s v="Standard"/>
    <s v="Yes"/>
    <s v="Yes"/>
    <n v="27"/>
    <x v="0"/>
    <s v="Bi-Weekly"/>
    <n v="1"/>
    <x v="1"/>
  </r>
  <r>
    <n v="420"/>
    <n v="53"/>
    <s v="Male"/>
    <s v="Shorts"/>
    <x v="0"/>
    <n v="91"/>
    <x v="40"/>
    <s v="S"/>
    <s v="Teal"/>
    <x v="0"/>
    <n v="3.5"/>
    <s v="Yes"/>
    <s v="Credit Card"/>
    <s v="Free Shipping"/>
    <s v="Yes"/>
    <s v="Yes"/>
    <n v="14"/>
    <x v="2"/>
    <s v="Every 3 Months"/>
    <n v="1"/>
    <x v="0"/>
  </r>
  <r>
    <n v="421"/>
    <n v="32"/>
    <s v="Male"/>
    <s v="Socks"/>
    <x v="0"/>
    <n v="54"/>
    <x v="17"/>
    <s v="S"/>
    <s v="Peach"/>
    <x v="1"/>
    <n v="3.8"/>
    <s v="Yes"/>
    <s v="Credit Card"/>
    <s v="Free Shipping"/>
    <s v="Yes"/>
    <s v="Yes"/>
    <n v="18"/>
    <x v="5"/>
    <s v="Bi-Weekly"/>
    <n v="1"/>
    <x v="3"/>
  </r>
  <r>
    <n v="422"/>
    <n v="38"/>
    <s v="Male"/>
    <s v="Shirt"/>
    <x v="0"/>
    <n v="40"/>
    <x v="0"/>
    <s v="M"/>
    <s v="Violet"/>
    <x v="0"/>
    <n v="3.5"/>
    <s v="Yes"/>
    <s v="Cash"/>
    <s v="Standard"/>
    <s v="Yes"/>
    <s v="Yes"/>
    <n v="48"/>
    <x v="1"/>
    <s v="Bi-Weekly"/>
    <n v="1"/>
    <x v="2"/>
  </r>
  <r>
    <n v="423"/>
    <n v="47"/>
    <s v="Male"/>
    <s v="Pants"/>
    <x v="0"/>
    <n v="59"/>
    <x v="46"/>
    <s v="M"/>
    <s v="Purple"/>
    <x v="3"/>
    <n v="3.1"/>
    <s v="Yes"/>
    <s v="Bank Transfer"/>
    <s v="Store Pickup"/>
    <s v="Yes"/>
    <s v="Yes"/>
    <n v="32"/>
    <x v="5"/>
    <s v="Annually"/>
    <n v="1"/>
    <x v="0"/>
  </r>
  <r>
    <n v="424"/>
    <n v="46"/>
    <s v="Male"/>
    <s v="Scarf"/>
    <x v="3"/>
    <n v="26"/>
    <x v="14"/>
    <s v="L"/>
    <s v="Teal"/>
    <x v="1"/>
    <n v="3"/>
    <s v="Yes"/>
    <s v="Bank Transfer"/>
    <s v="Store Pickup"/>
    <s v="Yes"/>
    <s v="Yes"/>
    <n v="21"/>
    <x v="2"/>
    <s v="Bi-Weekly"/>
    <n v="1"/>
    <x v="0"/>
  </r>
  <r>
    <n v="425"/>
    <n v="66"/>
    <s v="Male"/>
    <s v="Sweater"/>
    <x v="0"/>
    <n v="23"/>
    <x v="26"/>
    <s v="M"/>
    <s v="Gold"/>
    <x v="0"/>
    <n v="4.3"/>
    <s v="Yes"/>
    <s v="Credit Card"/>
    <s v="Standard"/>
    <s v="Yes"/>
    <s v="Yes"/>
    <n v="42"/>
    <x v="3"/>
    <s v="Fortnightly"/>
    <n v="1"/>
    <x v="0"/>
  </r>
  <r>
    <n v="426"/>
    <n v="40"/>
    <s v="Male"/>
    <s v="Jeans"/>
    <x v="0"/>
    <n v="87"/>
    <x v="25"/>
    <s v="S"/>
    <s v="Teal"/>
    <x v="0"/>
    <n v="3.3"/>
    <s v="Yes"/>
    <s v="Debit Card"/>
    <s v="Store Pickup"/>
    <s v="Yes"/>
    <s v="Yes"/>
    <n v="4"/>
    <x v="2"/>
    <s v="Quarterly"/>
    <n v="1"/>
    <x v="2"/>
  </r>
  <r>
    <n v="427"/>
    <n v="43"/>
    <s v="Male"/>
    <s v="Pants"/>
    <x v="0"/>
    <n v="71"/>
    <x v="7"/>
    <s v="M"/>
    <s v="Violet"/>
    <x v="0"/>
    <n v="4.7"/>
    <s v="Yes"/>
    <s v="Cash"/>
    <s v="Express"/>
    <s v="Yes"/>
    <s v="Yes"/>
    <n v="19"/>
    <x v="2"/>
    <s v="Quarterly"/>
    <n v="1"/>
    <x v="2"/>
  </r>
  <r>
    <n v="428"/>
    <n v="58"/>
    <s v="Male"/>
    <s v="Backpack"/>
    <x v="3"/>
    <n v="91"/>
    <x v="26"/>
    <s v="L"/>
    <s v="Black"/>
    <x v="0"/>
    <n v="4.5"/>
    <s v="Yes"/>
    <s v="Cash"/>
    <s v="Store Pickup"/>
    <s v="Yes"/>
    <s v="Yes"/>
    <n v="6"/>
    <x v="2"/>
    <s v="Quarterly"/>
    <n v="1"/>
    <x v="0"/>
  </r>
  <r>
    <n v="429"/>
    <n v="21"/>
    <s v="Male"/>
    <s v="Coat"/>
    <x v="2"/>
    <n v="64"/>
    <x v="5"/>
    <s v="XL"/>
    <s v="Gold"/>
    <x v="0"/>
    <n v="2.9"/>
    <s v="Yes"/>
    <s v="Venmo"/>
    <s v="Free Shipping"/>
    <s v="Yes"/>
    <s v="Yes"/>
    <n v="2"/>
    <x v="5"/>
    <s v="Fortnightly"/>
    <n v="1"/>
    <x v="1"/>
  </r>
  <r>
    <n v="430"/>
    <n v="42"/>
    <s v="Male"/>
    <s v="Sandals"/>
    <x v="1"/>
    <n v="94"/>
    <x v="47"/>
    <s v="M"/>
    <s v="Gold"/>
    <x v="0"/>
    <n v="4.0999999999999996"/>
    <s v="Yes"/>
    <s v="Venmo"/>
    <s v="2-Day Shipping"/>
    <s v="Yes"/>
    <s v="Yes"/>
    <n v="21"/>
    <x v="1"/>
    <s v="Fortnightly"/>
    <n v="1"/>
    <x v="2"/>
  </r>
  <r>
    <n v="431"/>
    <n v="24"/>
    <s v="Male"/>
    <s v="Shirt"/>
    <x v="0"/>
    <n v="40"/>
    <x v="21"/>
    <s v="M"/>
    <s v="Brown"/>
    <x v="2"/>
    <n v="3.5"/>
    <s v="Yes"/>
    <s v="Debit Card"/>
    <s v="Store Pickup"/>
    <s v="Yes"/>
    <s v="Yes"/>
    <n v="40"/>
    <x v="5"/>
    <s v="Annually"/>
    <n v="1"/>
    <x v="1"/>
  </r>
  <r>
    <n v="432"/>
    <n v="43"/>
    <s v="Male"/>
    <s v="Hat"/>
    <x v="3"/>
    <n v="76"/>
    <x v="13"/>
    <s v="L"/>
    <s v="Cyan"/>
    <x v="0"/>
    <n v="3.4"/>
    <s v="Yes"/>
    <s v="Credit Card"/>
    <s v="Store Pickup"/>
    <s v="Yes"/>
    <s v="Yes"/>
    <n v="33"/>
    <x v="1"/>
    <s v="Fortnightly"/>
    <n v="1"/>
    <x v="2"/>
  </r>
  <r>
    <n v="433"/>
    <n v="47"/>
    <s v="Male"/>
    <s v="Shirt"/>
    <x v="0"/>
    <n v="86"/>
    <x v="27"/>
    <s v="S"/>
    <s v="Indigo"/>
    <x v="3"/>
    <n v="3.3"/>
    <s v="Yes"/>
    <s v="Debit Card"/>
    <s v="Free Shipping"/>
    <s v="Yes"/>
    <s v="Yes"/>
    <n v="26"/>
    <x v="0"/>
    <s v="Weekly"/>
    <n v="1"/>
    <x v="0"/>
  </r>
  <r>
    <n v="434"/>
    <n v="49"/>
    <s v="Male"/>
    <s v="Skirt"/>
    <x v="0"/>
    <n v="92"/>
    <x v="15"/>
    <s v="M"/>
    <s v="Orange"/>
    <x v="3"/>
    <n v="3.2"/>
    <s v="Yes"/>
    <s v="Bank Transfer"/>
    <s v="Store Pickup"/>
    <s v="Yes"/>
    <s v="Yes"/>
    <n v="23"/>
    <x v="2"/>
    <s v="Fortnightly"/>
    <n v="1"/>
    <x v="0"/>
  </r>
  <r>
    <n v="435"/>
    <n v="50"/>
    <s v="Male"/>
    <s v="Shoes"/>
    <x v="1"/>
    <n v="52"/>
    <x v="19"/>
    <s v="L"/>
    <s v="Pink"/>
    <x v="1"/>
    <n v="4"/>
    <s v="Yes"/>
    <s v="Bank Transfer"/>
    <s v="Store Pickup"/>
    <s v="Yes"/>
    <s v="Yes"/>
    <n v="39"/>
    <x v="3"/>
    <s v="Every 3 Months"/>
    <n v="1"/>
    <x v="0"/>
  </r>
  <r>
    <n v="436"/>
    <n v="51"/>
    <s v="Male"/>
    <s v="Coat"/>
    <x v="2"/>
    <n v="28"/>
    <x v="6"/>
    <s v="XL"/>
    <s v="Olive"/>
    <x v="0"/>
    <n v="3.6"/>
    <s v="Yes"/>
    <s v="PayPal"/>
    <s v="Next Day Air"/>
    <s v="Yes"/>
    <s v="Yes"/>
    <n v="42"/>
    <x v="4"/>
    <s v="Monthly"/>
    <n v="1"/>
    <x v="0"/>
  </r>
  <r>
    <n v="437"/>
    <n v="40"/>
    <s v="Male"/>
    <s v="Pants"/>
    <x v="0"/>
    <n v="46"/>
    <x v="30"/>
    <s v="L"/>
    <s v="Cyan"/>
    <x v="2"/>
    <n v="4.5999999999999996"/>
    <s v="Yes"/>
    <s v="Cash"/>
    <s v="Free Shipping"/>
    <s v="Yes"/>
    <s v="Yes"/>
    <n v="41"/>
    <x v="4"/>
    <s v="Weekly"/>
    <n v="1"/>
    <x v="2"/>
  </r>
  <r>
    <n v="438"/>
    <n v="45"/>
    <s v="Male"/>
    <s v="Jewelry"/>
    <x v="3"/>
    <n v="50"/>
    <x v="35"/>
    <s v="M"/>
    <s v="Peach"/>
    <x v="2"/>
    <n v="2.6"/>
    <s v="Yes"/>
    <s v="Credit Card"/>
    <s v="Next Day Air"/>
    <s v="Yes"/>
    <s v="Yes"/>
    <n v="41"/>
    <x v="3"/>
    <s v="Annually"/>
    <n v="1"/>
    <x v="2"/>
  </r>
  <r>
    <n v="439"/>
    <n v="52"/>
    <s v="Male"/>
    <s v="Belt"/>
    <x v="3"/>
    <n v="23"/>
    <x v="44"/>
    <s v="M"/>
    <s v="Turquoise"/>
    <x v="0"/>
    <n v="4.3"/>
    <s v="Yes"/>
    <s v="Cash"/>
    <s v="Express"/>
    <s v="Yes"/>
    <s v="Yes"/>
    <n v="12"/>
    <x v="2"/>
    <s v="Fortnightly"/>
    <n v="1"/>
    <x v="0"/>
  </r>
  <r>
    <n v="440"/>
    <n v="62"/>
    <s v="Male"/>
    <s v="Jacket"/>
    <x v="2"/>
    <n v="50"/>
    <x v="37"/>
    <s v="M"/>
    <s v="Turquoise"/>
    <x v="2"/>
    <n v="3.4"/>
    <s v="Yes"/>
    <s v="PayPal"/>
    <s v="Free Shipping"/>
    <s v="Yes"/>
    <s v="Yes"/>
    <n v="31"/>
    <x v="1"/>
    <s v="Monthly"/>
    <n v="1"/>
    <x v="0"/>
  </r>
  <r>
    <n v="441"/>
    <n v="20"/>
    <s v="Male"/>
    <s v="Shirt"/>
    <x v="0"/>
    <n v="89"/>
    <x v="19"/>
    <s v="XL"/>
    <s v="Maroon"/>
    <x v="0"/>
    <n v="3.5"/>
    <s v="Yes"/>
    <s v="Debit Card"/>
    <s v="Store Pickup"/>
    <s v="Yes"/>
    <s v="Yes"/>
    <n v="34"/>
    <x v="5"/>
    <s v="Fortnightly"/>
    <n v="1"/>
    <x v="1"/>
  </r>
  <r>
    <n v="442"/>
    <n v="43"/>
    <s v="Male"/>
    <s v="Hoodie"/>
    <x v="0"/>
    <n v="81"/>
    <x v="20"/>
    <s v="M"/>
    <s v="Maroon"/>
    <x v="0"/>
    <n v="4.2"/>
    <s v="Yes"/>
    <s v="Bank Transfer"/>
    <s v="Standard"/>
    <s v="Yes"/>
    <s v="Yes"/>
    <n v="32"/>
    <x v="2"/>
    <s v="Annually"/>
    <n v="1"/>
    <x v="2"/>
  </r>
  <r>
    <n v="443"/>
    <n v="29"/>
    <s v="Male"/>
    <s v="Sunglasses"/>
    <x v="3"/>
    <n v="69"/>
    <x v="49"/>
    <s v="M"/>
    <s v="Olive"/>
    <x v="3"/>
    <n v="3.5"/>
    <s v="Yes"/>
    <s v="Bank Transfer"/>
    <s v="Store Pickup"/>
    <s v="Yes"/>
    <s v="Yes"/>
    <n v="31"/>
    <x v="2"/>
    <s v="Quarterly"/>
    <n v="1"/>
    <x v="3"/>
  </r>
  <r>
    <n v="444"/>
    <n v="22"/>
    <s v="Male"/>
    <s v="Sunglasses"/>
    <x v="3"/>
    <n v="67"/>
    <x v="11"/>
    <s v="M"/>
    <s v="Magenta"/>
    <x v="2"/>
    <n v="3.6"/>
    <s v="Yes"/>
    <s v="PayPal"/>
    <s v="Free Shipping"/>
    <s v="Yes"/>
    <s v="Yes"/>
    <n v="24"/>
    <x v="3"/>
    <s v="Annually"/>
    <n v="1"/>
    <x v="1"/>
  </r>
  <r>
    <n v="445"/>
    <n v="48"/>
    <s v="Male"/>
    <s v="Dress"/>
    <x v="0"/>
    <n v="20"/>
    <x v="18"/>
    <s v="M"/>
    <s v="Red"/>
    <x v="2"/>
    <n v="4.3"/>
    <s v="Yes"/>
    <s v="Debit Card"/>
    <s v="Store Pickup"/>
    <s v="Yes"/>
    <s v="Yes"/>
    <n v="31"/>
    <x v="5"/>
    <s v="Annually"/>
    <n v="1"/>
    <x v="0"/>
  </r>
  <r>
    <n v="446"/>
    <n v="42"/>
    <s v="Male"/>
    <s v="Boots"/>
    <x v="1"/>
    <n v="29"/>
    <x v="44"/>
    <s v="M"/>
    <s v="Olive"/>
    <x v="3"/>
    <n v="4.9000000000000004"/>
    <s v="Yes"/>
    <s v="Bank Transfer"/>
    <s v="Standard"/>
    <s v="Yes"/>
    <s v="Yes"/>
    <n v="18"/>
    <x v="0"/>
    <s v="Annually"/>
    <n v="1"/>
    <x v="2"/>
  </r>
  <r>
    <n v="447"/>
    <n v="19"/>
    <s v="Male"/>
    <s v="Shirt"/>
    <x v="0"/>
    <n v="74"/>
    <x v="8"/>
    <s v="M"/>
    <s v="Silver"/>
    <x v="2"/>
    <n v="4.0999999999999996"/>
    <s v="Yes"/>
    <s v="Bank Transfer"/>
    <s v="Store Pickup"/>
    <s v="Yes"/>
    <s v="Yes"/>
    <n v="15"/>
    <x v="0"/>
    <s v="Monthly"/>
    <n v="1"/>
    <x v="1"/>
  </r>
  <r>
    <n v="448"/>
    <n v="60"/>
    <s v="Male"/>
    <s v="Shorts"/>
    <x v="0"/>
    <n v="82"/>
    <x v="47"/>
    <s v="S"/>
    <s v="Turquoise"/>
    <x v="1"/>
    <n v="3.6"/>
    <s v="Yes"/>
    <s v="Venmo"/>
    <s v="Standard"/>
    <s v="Yes"/>
    <s v="Yes"/>
    <n v="7"/>
    <x v="4"/>
    <s v="Every 3 Months"/>
    <n v="1"/>
    <x v="0"/>
  </r>
  <r>
    <n v="449"/>
    <n v="32"/>
    <s v="Male"/>
    <s v="Gloves"/>
    <x v="3"/>
    <n v="23"/>
    <x v="9"/>
    <s v="M"/>
    <s v="Yellow"/>
    <x v="2"/>
    <n v="3.4"/>
    <s v="Yes"/>
    <s v="Credit Card"/>
    <s v="Next Day Air"/>
    <s v="Yes"/>
    <s v="Yes"/>
    <n v="35"/>
    <x v="4"/>
    <s v="Fortnightly"/>
    <n v="1"/>
    <x v="3"/>
  </r>
  <r>
    <n v="450"/>
    <n v="26"/>
    <s v="Male"/>
    <s v="Jewelry"/>
    <x v="3"/>
    <n v="45"/>
    <x v="14"/>
    <s v="L"/>
    <s v="Peach"/>
    <x v="2"/>
    <n v="2.9"/>
    <s v="Yes"/>
    <s v="PayPal"/>
    <s v="2-Day Shipping"/>
    <s v="Yes"/>
    <s v="Yes"/>
    <n v="35"/>
    <x v="4"/>
    <s v="Monthly"/>
    <n v="1"/>
    <x v="3"/>
  </r>
  <r>
    <n v="451"/>
    <n v="25"/>
    <s v="Male"/>
    <s v="Boots"/>
    <x v="1"/>
    <n v="21"/>
    <x v="39"/>
    <s v="L"/>
    <s v="Beige"/>
    <x v="2"/>
    <n v="2.7"/>
    <s v="Yes"/>
    <s v="Venmo"/>
    <s v="Store Pickup"/>
    <s v="Yes"/>
    <s v="Yes"/>
    <n v="19"/>
    <x v="2"/>
    <s v="Monthly"/>
    <n v="1"/>
    <x v="1"/>
  </r>
  <r>
    <n v="452"/>
    <n v="66"/>
    <s v="Male"/>
    <s v="Jewelry"/>
    <x v="3"/>
    <n v="31"/>
    <x v="41"/>
    <s v="M"/>
    <s v="Pink"/>
    <x v="2"/>
    <n v="4.3"/>
    <s v="Yes"/>
    <s v="Cash"/>
    <s v="Express"/>
    <s v="Yes"/>
    <s v="Yes"/>
    <n v="26"/>
    <x v="2"/>
    <s v="Fortnightly"/>
    <n v="1"/>
    <x v="0"/>
  </r>
  <r>
    <n v="453"/>
    <n v="45"/>
    <s v="Male"/>
    <s v="Pants"/>
    <x v="0"/>
    <n v="45"/>
    <x v="9"/>
    <s v="M"/>
    <s v="Violet"/>
    <x v="2"/>
    <n v="3.3"/>
    <s v="Yes"/>
    <s v="Debit Card"/>
    <s v="Express"/>
    <s v="Yes"/>
    <s v="Yes"/>
    <n v="39"/>
    <x v="3"/>
    <s v="Fortnightly"/>
    <n v="1"/>
    <x v="2"/>
  </r>
  <r>
    <n v="454"/>
    <n v="54"/>
    <s v="Male"/>
    <s v="Jewelry"/>
    <x v="3"/>
    <n v="56"/>
    <x v="43"/>
    <s v="XL"/>
    <s v="Peach"/>
    <x v="0"/>
    <n v="2.8"/>
    <s v="Yes"/>
    <s v="Cash"/>
    <s v="Next Day Air"/>
    <s v="Yes"/>
    <s v="Yes"/>
    <n v="22"/>
    <x v="2"/>
    <s v="Weekly"/>
    <n v="1"/>
    <x v="0"/>
  </r>
  <r>
    <n v="455"/>
    <n v="37"/>
    <s v="Male"/>
    <s v="Jacket"/>
    <x v="2"/>
    <n v="97"/>
    <x v="32"/>
    <s v="S"/>
    <s v="Gold"/>
    <x v="2"/>
    <n v="3.2"/>
    <s v="Yes"/>
    <s v="Debit Card"/>
    <s v="Next Day Air"/>
    <s v="Yes"/>
    <s v="Yes"/>
    <n v="14"/>
    <x v="1"/>
    <s v="Bi-Weekly"/>
    <n v="1"/>
    <x v="2"/>
  </r>
  <r>
    <n v="456"/>
    <n v="54"/>
    <s v="Male"/>
    <s v="Blouse"/>
    <x v="0"/>
    <n v="100"/>
    <x v="40"/>
    <s v="XL"/>
    <s v="Gold"/>
    <x v="3"/>
    <n v="3.6"/>
    <s v="Yes"/>
    <s v="Credit Card"/>
    <s v="Store Pickup"/>
    <s v="Yes"/>
    <s v="Yes"/>
    <n v="50"/>
    <x v="5"/>
    <s v="Fortnightly"/>
    <n v="1"/>
    <x v="0"/>
  </r>
  <r>
    <n v="457"/>
    <n v="50"/>
    <s v="Male"/>
    <s v="Blouse"/>
    <x v="0"/>
    <n v="96"/>
    <x v="17"/>
    <s v="S"/>
    <s v="Indigo"/>
    <x v="3"/>
    <n v="4"/>
    <s v="Yes"/>
    <s v="Bank Transfer"/>
    <s v="2-Day Shipping"/>
    <s v="Yes"/>
    <s v="Yes"/>
    <n v="33"/>
    <x v="2"/>
    <s v="Quarterly"/>
    <n v="1"/>
    <x v="0"/>
  </r>
  <r>
    <n v="458"/>
    <n v="25"/>
    <s v="Male"/>
    <s v="Gloves"/>
    <x v="3"/>
    <n v="99"/>
    <x v="3"/>
    <s v="M"/>
    <s v="Blue"/>
    <x v="1"/>
    <n v="4.9000000000000004"/>
    <s v="Yes"/>
    <s v="Credit Card"/>
    <s v="Next Day Air"/>
    <s v="Yes"/>
    <s v="Yes"/>
    <n v="48"/>
    <x v="5"/>
    <s v="Every 3 Months"/>
    <n v="1"/>
    <x v="1"/>
  </r>
  <r>
    <n v="459"/>
    <n v="47"/>
    <s v="Male"/>
    <s v="Shorts"/>
    <x v="0"/>
    <n v="91"/>
    <x v="10"/>
    <s v="L"/>
    <s v="Black"/>
    <x v="0"/>
    <n v="4"/>
    <s v="Yes"/>
    <s v="Debit Card"/>
    <s v="2-Day Shipping"/>
    <s v="Yes"/>
    <s v="Yes"/>
    <n v="48"/>
    <x v="3"/>
    <s v="Monthly"/>
    <n v="1"/>
    <x v="0"/>
  </r>
  <r>
    <n v="460"/>
    <n v="63"/>
    <s v="Male"/>
    <s v="Hat"/>
    <x v="3"/>
    <n v="30"/>
    <x v="33"/>
    <s v="L"/>
    <s v="Black"/>
    <x v="0"/>
    <n v="3.8"/>
    <s v="Yes"/>
    <s v="Debit Card"/>
    <s v="Standard"/>
    <s v="Yes"/>
    <s v="Yes"/>
    <n v="27"/>
    <x v="3"/>
    <s v="Fortnightly"/>
    <n v="1"/>
    <x v="0"/>
  </r>
  <r>
    <n v="461"/>
    <n v="64"/>
    <s v="Male"/>
    <s v="Shoes"/>
    <x v="1"/>
    <n v="65"/>
    <x v="36"/>
    <s v="L"/>
    <s v="Teal"/>
    <x v="2"/>
    <n v="3.7"/>
    <s v="Yes"/>
    <s v="Venmo"/>
    <s v="Store Pickup"/>
    <s v="Yes"/>
    <s v="Yes"/>
    <n v="27"/>
    <x v="4"/>
    <s v="Weekly"/>
    <n v="1"/>
    <x v="0"/>
  </r>
  <r>
    <n v="462"/>
    <n v="18"/>
    <s v="Male"/>
    <s v="Boots"/>
    <x v="1"/>
    <n v="93"/>
    <x v="31"/>
    <s v="M"/>
    <s v="Yellow"/>
    <x v="0"/>
    <n v="3.9"/>
    <s v="Yes"/>
    <s v="Cash"/>
    <s v="Express"/>
    <s v="Yes"/>
    <s v="Yes"/>
    <n v="20"/>
    <x v="0"/>
    <s v="Weekly"/>
    <n v="1"/>
    <x v="1"/>
  </r>
  <r>
    <n v="463"/>
    <n v="59"/>
    <s v="Male"/>
    <s v="Jacket"/>
    <x v="2"/>
    <n v="81"/>
    <x v="26"/>
    <s v="M"/>
    <s v="White"/>
    <x v="3"/>
    <n v="3.3"/>
    <s v="Yes"/>
    <s v="Debit Card"/>
    <s v="Express"/>
    <s v="Yes"/>
    <s v="Yes"/>
    <n v="48"/>
    <x v="0"/>
    <s v="Every 3 Months"/>
    <n v="1"/>
    <x v="0"/>
  </r>
  <r>
    <n v="464"/>
    <n v="37"/>
    <s v="Male"/>
    <s v="Jewelry"/>
    <x v="3"/>
    <n v="81"/>
    <x v="42"/>
    <s v="S"/>
    <s v="Orange"/>
    <x v="2"/>
    <n v="2.7"/>
    <s v="Yes"/>
    <s v="Venmo"/>
    <s v="Standard"/>
    <s v="Yes"/>
    <s v="Yes"/>
    <n v="29"/>
    <x v="0"/>
    <s v="Weekly"/>
    <n v="1"/>
    <x v="2"/>
  </r>
  <r>
    <n v="465"/>
    <n v="23"/>
    <s v="Male"/>
    <s v="Sunglasses"/>
    <x v="3"/>
    <n v="52"/>
    <x v="15"/>
    <s v="M"/>
    <s v="Silver"/>
    <x v="0"/>
    <n v="4.7"/>
    <s v="Yes"/>
    <s v="PayPal"/>
    <s v="Next Day Air"/>
    <s v="Yes"/>
    <s v="Yes"/>
    <n v="45"/>
    <x v="3"/>
    <s v="Monthly"/>
    <n v="1"/>
    <x v="1"/>
  </r>
  <r>
    <n v="466"/>
    <n v="54"/>
    <s v="Male"/>
    <s v="Skirt"/>
    <x v="0"/>
    <n v="88"/>
    <x v="19"/>
    <s v="M"/>
    <s v="Pink"/>
    <x v="2"/>
    <n v="2.8"/>
    <s v="Yes"/>
    <s v="Cash"/>
    <s v="Next Day Air"/>
    <s v="Yes"/>
    <s v="Yes"/>
    <n v="25"/>
    <x v="1"/>
    <s v="Quarterly"/>
    <n v="1"/>
    <x v="0"/>
  </r>
  <r>
    <n v="467"/>
    <n v="38"/>
    <s v="Male"/>
    <s v="Jeans"/>
    <x v="0"/>
    <n v="24"/>
    <x v="34"/>
    <s v="L"/>
    <s v="Turquoise"/>
    <x v="0"/>
    <n v="4.5999999999999996"/>
    <s v="Yes"/>
    <s v="Credit Card"/>
    <s v="Free Shipping"/>
    <s v="Yes"/>
    <s v="Yes"/>
    <n v="25"/>
    <x v="3"/>
    <s v="Weekly"/>
    <n v="1"/>
    <x v="2"/>
  </r>
  <r>
    <n v="468"/>
    <n v="19"/>
    <s v="Male"/>
    <s v="Backpack"/>
    <x v="3"/>
    <n v="51"/>
    <x v="43"/>
    <s v="S"/>
    <s v="Orange"/>
    <x v="1"/>
    <n v="4.5"/>
    <s v="Yes"/>
    <s v="Credit Card"/>
    <s v="2-Day Shipping"/>
    <s v="Yes"/>
    <s v="Yes"/>
    <n v="37"/>
    <x v="5"/>
    <s v="Every 3 Months"/>
    <n v="1"/>
    <x v="1"/>
  </r>
  <r>
    <n v="469"/>
    <n v="34"/>
    <s v="Male"/>
    <s v="Backpack"/>
    <x v="3"/>
    <n v="38"/>
    <x v="42"/>
    <s v="S"/>
    <s v="Peach"/>
    <x v="3"/>
    <n v="5"/>
    <s v="Yes"/>
    <s v="Bank Transfer"/>
    <s v="Free Shipping"/>
    <s v="Yes"/>
    <s v="Yes"/>
    <n v="16"/>
    <x v="1"/>
    <s v="Quarterly"/>
    <n v="1"/>
    <x v="3"/>
  </r>
  <r>
    <n v="470"/>
    <n v="21"/>
    <s v="Male"/>
    <s v="Shorts"/>
    <x v="0"/>
    <n v="46"/>
    <x v="15"/>
    <s v="L"/>
    <s v="Pink"/>
    <x v="3"/>
    <n v="4.0999999999999996"/>
    <s v="Yes"/>
    <s v="Debit Card"/>
    <s v="2-Day Shipping"/>
    <s v="Yes"/>
    <s v="Yes"/>
    <n v="30"/>
    <x v="5"/>
    <s v="Bi-Weekly"/>
    <n v="1"/>
    <x v="1"/>
  </r>
  <r>
    <n v="471"/>
    <n v="50"/>
    <s v="Male"/>
    <s v="Dress"/>
    <x v="0"/>
    <n v="63"/>
    <x v="46"/>
    <s v="L"/>
    <s v="Teal"/>
    <x v="2"/>
    <n v="4.5999999999999996"/>
    <s v="Yes"/>
    <s v="Cash"/>
    <s v="Express"/>
    <s v="Yes"/>
    <s v="Yes"/>
    <n v="6"/>
    <x v="1"/>
    <s v="Every 3 Months"/>
    <n v="1"/>
    <x v="0"/>
  </r>
  <r>
    <n v="472"/>
    <n v="55"/>
    <s v="Male"/>
    <s v="Scarf"/>
    <x v="3"/>
    <n v="72"/>
    <x v="9"/>
    <s v="XL"/>
    <s v="White"/>
    <x v="0"/>
    <n v="4.9000000000000004"/>
    <s v="Yes"/>
    <s v="Credit Card"/>
    <s v="2-Day Shipping"/>
    <s v="Yes"/>
    <s v="Yes"/>
    <n v="36"/>
    <x v="4"/>
    <s v="Quarterly"/>
    <n v="1"/>
    <x v="0"/>
  </r>
  <r>
    <n v="473"/>
    <n v="20"/>
    <s v="Male"/>
    <s v="Jeans"/>
    <x v="0"/>
    <n v="39"/>
    <x v="42"/>
    <s v="L"/>
    <s v="Gray"/>
    <x v="0"/>
    <n v="3.9"/>
    <s v="Yes"/>
    <s v="Cash"/>
    <s v="Free Shipping"/>
    <s v="Yes"/>
    <s v="Yes"/>
    <n v="3"/>
    <x v="4"/>
    <s v="Quarterly"/>
    <n v="1"/>
    <x v="1"/>
  </r>
  <r>
    <n v="474"/>
    <n v="34"/>
    <s v="Male"/>
    <s v="Coat"/>
    <x v="2"/>
    <n v="42"/>
    <x v="8"/>
    <s v="L"/>
    <s v="Olive"/>
    <x v="1"/>
    <n v="3.9"/>
    <s v="Yes"/>
    <s v="Venmo"/>
    <s v="Store Pickup"/>
    <s v="Yes"/>
    <s v="Yes"/>
    <n v="29"/>
    <x v="3"/>
    <s v="Every 3 Months"/>
    <n v="1"/>
    <x v="3"/>
  </r>
  <r>
    <n v="475"/>
    <n v="62"/>
    <s v="Male"/>
    <s v="Sweater"/>
    <x v="0"/>
    <n v="76"/>
    <x v="10"/>
    <s v="XL"/>
    <s v="Maroon"/>
    <x v="2"/>
    <n v="2.6"/>
    <s v="Yes"/>
    <s v="Debit Card"/>
    <s v="2-Day Shipping"/>
    <s v="Yes"/>
    <s v="Yes"/>
    <n v="15"/>
    <x v="1"/>
    <s v="Quarterly"/>
    <n v="1"/>
    <x v="0"/>
  </r>
  <r>
    <n v="476"/>
    <n v="21"/>
    <s v="Male"/>
    <s v="Sneakers"/>
    <x v="1"/>
    <n v="66"/>
    <x v="31"/>
    <s v="L"/>
    <s v="Magenta"/>
    <x v="2"/>
    <n v="2.7"/>
    <s v="Yes"/>
    <s v="Cash"/>
    <s v="Free Shipping"/>
    <s v="Yes"/>
    <s v="Yes"/>
    <n v="18"/>
    <x v="5"/>
    <s v="Annually"/>
    <n v="1"/>
    <x v="1"/>
  </r>
  <r>
    <n v="477"/>
    <n v="21"/>
    <s v="Male"/>
    <s v="Scarf"/>
    <x v="3"/>
    <n v="90"/>
    <x v="39"/>
    <s v="M"/>
    <s v="Magenta"/>
    <x v="1"/>
    <n v="3.5"/>
    <s v="Yes"/>
    <s v="Venmo"/>
    <s v="Free Shipping"/>
    <s v="Yes"/>
    <s v="Yes"/>
    <n v="2"/>
    <x v="5"/>
    <s v="Fortnightly"/>
    <n v="1"/>
    <x v="1"/>
  </r>
  <r>
    <n v="478"/>
    <n v="42"/>
    <s v="Male"/>
    <s v="Sweater"/>
    <x v="0"/>
    <n v="56"/>
    <x v="25"/>
    <s v="M"/>
    <s v="Green"/>
    <x v="2"/>
    <n v="3.7"/>
    <s v="Yes"/>
    <s v="Credit Card"/>
    <s v="Free Shipping"/>
    <s v="Yes"/>
    <s v="Yes"/>
    <n v="49"/>
    <x v="5"/>
    <s v="Weekly"/>
    <n v="1"/>
    <x v="2"/>
  </r>
  <r>
    <n v="479"/>
    <n v="35"/>
    <s v="Male"/>
    <s v="Jewelry"/>
    <x v="3"/>
    <n v="43"/>
    <x v="23"/>
    <s v="XL"/>
    <s v="Turquoise"/>
    <x v="0"/>
    <n v="3.2"/>
    <s v="Yes"/>
    <s v="Debit Card"/>
    <s v="Free Shipping"/>
    <s v="Yes"/>
    <s v="Yes"/>
    <n v="48"/>
    <x v="0"/>
    <s v="Annually"/>
    <n v="1"/>
    <x v="3"/>
  </r>
  <r>
    <n v="480"/>
    <n v="39"/>
    <s v="Male"/>
    <s v="Handbag"/>
    <x v="3"/>
    <n v="84"/>
    <x v="44"/>
    <s v="L"/>
    <s v="Yellow"/>
    <x v="0"/>
    <n v="3.3"/>
    <s v="Yes"/>
    <s v="Bank Transfer"/>
    <s v="Store Pickup"/>
    <s v="Yes"/>
    <s v="Yes"/>
    <n v="43"/>
    <x v="0"/>
    <s v="Monthly"/>
    <n v="1"/>
    <x v="2"/>
  </r>
  <r>
    <n v="481"/>
    <n v="68"/>
    <s v="Male"/>
    <s v="Hoodie"/>
    <x v="0"/>
    <n v="88"/>
    <x v="34"/>
    <s v="M"/>
    <s v="Gray"/>
    <x v="2"/>
    <n v="4.8"/>
    <s v="Yes"/>
    <s v="Credit Card"/>
    <s v="Standard"/>
    <s v="Yes"/>
    <s v="Yes"/>
    <n v="30"/>
    <x v="5"/>
    <s v="Bi-Weekly"/>
    <n v="1"/>
    <x v="0"/>
  </r>
  <r>
    <n v="482"/>
    <n v="46"/>
    <s v="Male"/>
    <s v="Hat"/>
    <x v="3"/>
    <n v="88"/>
    <x v="48"/>
    <s v="L"/>
    <s v="Peach"/>
    <x v="3"/>
    <n v="3.2"/>
    <s v="Yes"/>
    <s v="PayPal"/>
    <s v="2-Day Shipping"/>
    <s v="Yes"/>
    <s v="Yes"/>
    <n v="10"/>
    <x v="3"/>
    <s v="Fortnightly"/>
    <n v="1"/>
    <x v="0"/>
  </r>
  <r>
    <n v="483"/>
    <n v="41"/>
    <s v="Male"/>
    <s v="Belt"/>
    <x v="3"/>
    <n v="42"/>
    <x v="39"/>
    <s v="M"/>
    <s v="Yellow"/>
    <x v="0"/>
    <n v="2.5"/>
    <s v="Yes"/>
    <s v="PayPal"/>
    <s v="2-Day Shipping"/>
    <s v="Yes"/>
    <s v="Yes"/>
    <n v="11"/>
    <x v="0"/>
    <s v="Annually"/>
    <n v="1"/>
    <x v="2"/>
  </r>
  <r>
    <n v="484"/>
    <n v="23"/>
    <s v="Male"/>
    <s v="Hoodie"/>
    <x v="0"/>
    <n v="73"/>
    <x v="19"/>
    <s v="M"/>
    <s v="White"/>
    <x v="3"/>
    <n v="3.9"/>
    <s v="Yes"/>
    <s v="Venmo"/>
    <s v="Store Pickup"/>
    <s v="Yes"/>
    <s v="Yes"/>
    <n v="12"/>
    <x v="5"/>
    <s v="Weekly"/>
    <n v="1"/>
    <x v="1"/>
  </r>
  <r>
    <n v="485"/>
    <n v="68"/>
    <s v="Male"/>
    <s v="Hat"/>
    <x v="3"/>
    <n v="73"/>
    <x v="9"/>
    <s v="L"/>
    <s v="Lavender"/>
    <x v="2"/>
    <n v="4.7"/>
    <s v="Yes"/>
    <s v="Credit Card"/>
    <s v="Free Shipping"/>
    <s v="Yes"/>
    <s v="Yes"/>
    <n v="28"/>
    <x v="4"/>
    <s v="Quarterly"/>
    <n v="1"/>
    <x v="0"/>
  </r>
  <r>
    <n v="486"/>
    <n v="48"/>
    <s v="Male"/>
    <s v="Shoes"/>
    <x v="1"/>
    <n v="44"/>
    <x v="30"/>
    <s v="S"/>
    <s v="Blue"/>
    <x v="1"/>
    <n v="2.6"/>
    <s v="Yes"/>
    <s v="Debit Card"/>
    <s v="Next Day Air"/>
    <s v="Yes"/>
    <s v="Yes"/>
    <n v="36"/>
    <x v="5"/>
    <s v="Fortnightly"/>
    <n v="1"/>
    <x v="0"/>
  </r>
  <r>
    <n v="487"/>
    <n v="38"/>
    <s v="Male"/>
    <s v="Sandals"/>
    <x v="1"/>
    <n v="63"/>
    <x v="35"/>
    <s v="M"/>
    <s v="Charcoal"/>
    <x v="3"/>
    <n v="2.8"/>
    <s v="Yes"/>
    <s v="Debit Card"/>
    <s v="Store Pickup"/>
    <s v="Yes"/>
    <s v="Yes"/>
    <n v="37"/>
    <x v="0"/>
    <s v="Every 3 Months"/>
    <n v="1"/>
    <x v="2"/>
  </r>
  <r>
    <n v="488"/>
    <n v="41"/>
    <s v="Male"/>
    <s v="Jacket"/>
    <x v="2"/>
    <n v="68"/>
    <x v="44"/>
    <s v="L"/>
    <s v="Red"/>
    <x v="0"/>
    <n v="4.4000000000000004"/>
    <s v="Yes"/>
    <s v="Credit Card"/>
    <s v="Store Pickup"/>
    <s v="Yes"/>
    <s v="Yes"/>
    <n v="22"/>
    <x v="2"/>
    <s v="Quarterly"/>
    <n v="1"/>
    <x v="2"/>
  </r>
  <r>
    <n v="489"/>
    <n v="58"/>
    <s v="Male"/>
    <s v="Sweater"/>
    <x v="0"/>
    <n v="29"/>
    <x v="1"/>
    <s v="L"/>
    <s v="Olive"/>
    <x v="1"/>
    <n v="4.5999999999999996"/>
    <s v="Yes"/>
    <s v="Venmo"/>
    <s v="Standard"/>
    <s v="Yes"/>
    <s v="Yes"/>
    <n v="32"/>
    <x v="0"/>
    <s v="Weekly"/>
    <n v="1"/>
    <x v="0"/>
  </r>
  <r>
    <n v="490"/>
    <n v="49"/>
    <s v="Male"/>
    <s v="Socks"/>
    <x v="0"/>
    <n v="85"/>
    <x v="45"/>
    <s v="M"/>
    <s v="Green"/>
    <x v="2"/>
    <n v="3.2"/>
    <s v="Yes"/>
    <s v="Venmo"/>
    <s v="Standard"/>
    <s v="Yes"/>
    <s v="Yes"/>
    <n v="40"/>
    <x v="3"/>
    <s v="Annually"/>
    <n v="1"/>
    <x v="0"/>
  </r>
  <r>
    <n v="491"/>
    <n v="57"/>
    <s v="Male"/>
    <s v="Sneakers"/>
    <x v="1"/>
    <n v="42"/>
    <x v="24"/>
    <s v="M"/>
    <s v="Silver"/>
    <x v="0"/>
    <n v="4.2"/>
    <s v="Yes"/>
    <s v="PayPal"/>
    <s v="2-Day Shipping"/>
    <s v="Yes"/>
    <s v="Yes"/>
    <n v="47"/>
    <x v="1"/>
    <s v="Monthly"/>
    <n v="1"/>
    <x v="0"/>
  </r>
  <r>
    <n v="492"/>
    <n v="49"/>
    <s v="Male"/>
    <s v="Coat"/>
    <x v="2"/>
    <n v="69"/>
    <x v="34"/>
    <s v="M"/>
    <s v="Silver"/>
    <x v="2"/>
    <n v="3.7"/>
    <s v="Yes"/>
    <s v="Bank Transfer"/>
    <s v="2-Day Shipping"/>
    <s v="Yes"/>
    <s v="Yes"/>
    <n v="24"/>
    <x v="2"/>
    <s v="Bi-Weekly"/>
    <n v="1"/>
    <x v="0"/>
  </r>
  <r>
    <n v="493"/>
    <n v="50"/>
    <s v="Male"/>
    <s v="Shirt"/>
    <x v="0"/>
    <n v="62"/>
    <x v="49"/>
    <s v="M"/>
    <s v="Black"/>
    <x v="3"/>
    <n v="3.9"/>
    <s v="Yes"/>
    <s v="PayPal"/>
    <s v="Standard"/>
    <s v="Yes"/>
    <s v="Yes"/>
    <n v="11"/>
    <x v="5"/>
    <s v="Weekly"/>
    <n v="1"/>
    <x v="0"/>
  </r>
  <r>
    <n v="494"/>
    <n v="28"/>
    <s v="Male"/>
    <s v="Backpack"/>
    <x v="3"/>
    <n v="48"/>
    <x v="22"/>
    <s v="XL"/>
    <s v="Red"/>
    <x v="2"/>
    <n v="4.7"/>
    <s v="Yes"/>
    <s v="Debit Card"/>
    <s v="Store Pickup"/>
    <s v="Yes"/>
    <s v="Yes"/>
    <n v="19"/>
    <x v="1"/>
    <s v="Bi-Weekly"/>
    <n v="1"/>
    <x v="3"/>
  </r>
  <r>
    <n v="495"/>
    <n v="38"/>
    <s v="Male"/>
    <s v="Boots"/>
    <x v="1"/>
    <n v="68"/>
    <x v="27"/>
    <s v="M"/>
    <s v="Indigo"/>
    <x v="0"/>
    <n v="4.5"/>
    <s v="Yes"/>
    <s v="PayPal"/>
    <s v="Express"/>
    <s v="Yes"/>
    <s v="Yes"/>
    <n v="42"/>
    <x v="5"/>
    <s v="Weekly"/>
    <n v="1"/>
    <x v="2"/>
  </r>
  <r>
    <n v="496"/>
    <n v="33"/>
    <s v="Male"/>
    <s v="Handbag"/>
    <x v="3"/>
    <n v="36"/>
    <x v="49"/>
    <s v="XL"/>
    <s v="Cyan"/>
    <x v="3"/>
    <n v="3.3"/>
    <s v="Yes"/>
    <s v="Credit Card"/>
    <s v="Free Shipping"/>
    <s v="Yes"/>
    <s v="Yes"/>
    <n v="6"/>
    <x v="5"/>
    <s v="Fortnightly"/>
    <n v="1"/>
    <x v="3"/>
  </r>
  <r>
    <n v="497"/>
    <n v="30"/>
    <s v="Male"/>
    <s v="Dress"/>
    <x v="0"/>
    <n v="63"/>
    <x v="18"/>
    <s v="S"/>
    <s v="Maroon"/>
    <x v="3"/>
    <n v="3.3"/>
    <s v="Yes"/>
    <s v="Venmo"/>
    <s v="Express"/>
    <s v="Yes"/>
    <s v="Yes"/>
    <n v="31"/>
    <x v="0"/>
    <s v="Fortnightly"/>
    <n v="1"/>
    <x v="3"/>
  </r>
  <r>
    <n v="498"/>
    <n v="43"/>
    <s v="Male"/>
    <s v="Sneakers"/>
    <x v="1"/>
    <n v="39"/>
    <x v="19"/>
    <s v="S"/>
    <s v="Silver"/>
    <x v="0"/>
    <n v="4.5999999999999996"/>
    <s v="Yes"/>
    <s v="Bank Transfer"/>
    <s v="Free Shipping"/>
    <s v="Yes"/>
    <s v="Yes"/>
    <n v="31"/>
    <x v="1"/>
    <s v="Weekly"/>
    <n v="1"/>
    <x v="2"/>
  </r>
  <r>
    <n v="499"/>
    <n v="43"/>
    <s v="Male"/>
    <s v="Boots"/>
    <x v="1"/>
    <n v="78"/>
    <x v="44"/>
    <s v="M"/>
    <s v="Lavender"/>
    <x v="1"/>
    <n v="3.6"/>
    <s v="Yes"/>
    <s v="PayPal"/>
    <s v="Free Shipping"/>
    <s v="Yes"/>
    <s v="Yes"/>
    <n v="27"/>
    <x v="4"/>
    <s v="Monthly"/>
    <n v="1"/>
    <x v="2"/>
  </r>
  <r>
    <n v="500"/>
    <n v="36"/>
    <s v="Male"/>
    <s v="Shoes"/>
    <x v="1"/>
    <n v="99"/>
    <x v="3"/>
    <s v="L"/>
    <s v="Silver"/>
    <x v="0"/>
    <n v="4.8"/>
    <s v="Yes"/>
    <s v="Credit Card"/>
    <s v="Express"/>
    <s v="Yes"/>
    <s v="Yes"/>
    <n v="24"/>
    <x v="3"/>
    <s v="Monthly"/>
    <n v="1"/>
    <x v="2"/>
  </r>
  <r>
    <n v="501"/>
    <n v="36"/>
    <s v="Male"/>
    <s v="T-shirt"/>
    <x v="0"/>
    <n v="31"/>
    <x v="47"/>
    <s v="L"/>
    <s v="Purple"/>
    <x v="3"/>
    <n v="4.8"/>
    <s v="Yes"/>
    <s v="Bank Transfer"/>
    <s v="Next Day Air"/>
    <s v="Yes"/>
    <s v="Yes"/>
    <n v="35"/>
    <x v="0"/>
    <s v="Every 3 Months"/>
    <n v="1"/>
    <x v="2"/>
  </r>
  <r>
    <n v="502"/>
    <n v="64"/>
    <s v="Male"/>
    <s v="Boots"/>
    <x v="1"/>
    <n v="45"/>
    <x v="20"/>
    <s v="M"/>
    <s v="Cyan"/>
    <x v="1"/>
    <n v="2.9"/>
    <s v="Yes"/>
    <s v="Debit Card"/>
    <s v="Next Day Air"/>
    <s v="Yes"/>
    <s v="Yes"/>
    <n v="21"/>
    <x v="0"/>
    <s v="Annually"/>
    <n v="1"/>
    <x v="0"/>
  </r>
  <r>
    <n v="503"/>
    <n v="59"/>
    <s v="Male"/>
    <s v="Pants"/>
    <x v="0"/>
    <n v="30"/>
    <x v="36"/>
    <s v="S"/>
    <s v="Cyan"/>
    <x v="3"/>
    <n v="2.8"/>
    <s v="Yes"/>
    <s v="Cash"/>
    <s v="Express"/>
    <s v="Yes"/>
    <s v="Yes"/>
    <n v="8"/>
    <x v="3"/>
    <s v="Fortnightly"/>
    <n v="1"/>
    <x v="0"/>
  </r>
  <r>
    <n v="504"/>
    <n v="55"/>
    <s v="Male"/>
    <s v="Shoes"/>
    <x v="1"/>
    <n v="24"/>
    <x v="8"/>
    <s v="M"/>
    <s v="Lavender"/>
    <x v="2"/>
    <n v="3.2"/>
    <s v="Yes"/>
    <s v="Credit Card"/>
    <s v="Next Day Air"/>
    <s v="Yes"/>
    <s v="Yes"/>
    <n v="26"/>
    <x v="4"/>
    <s v="Quarterly"/>
    <n v="1"/>
    <x v="0"/>
  </r>
  <r>
    <n v="505"/>
    <n v="42"/>
    <s v="Male"/>
    <s v="Shoes"/>
    <x v="1"/>
    <n v="22"/>
    <x v="9"/>
    <s v="M"/>
    <s v="Maroon"/>
    <x v="0"/>
    <n v="3.9"/>
    <s v="Yes"/>
    <s v="Bank Transfer"/>
    <s v="Free Shipping"/>
    <s v="Yes"/>
    <s v="Yes"/>
    <n v="26"/>
    <x v="3"/>
    <s v="Annually"/>
    <n v="1"/>
    <x v="2"/>
  </r>
  <r>
    <n v="506"/>
    <n v="61"/>
    <s v="Male"/>
    <s v="T-shirt"/>
    <x v="0"/>
    <n v="63"/>
    <x v="1"/>
    <s v="L"/>
    <s v="Gray"/>
    <x v="1"/>
    <n v="4.3"/>
    <s v="Yes"/>
    <s v="Credit Card"/>
    <s v="Express"/>
    <s v="Yes"/>
    <s v="Yes"/>
    <n v="9"/>
    <x v="1"/>
    <s v="Bi-Weekly"/>
    <n v="1"/>
    <x v="0"/>
  </r>
  <r>
    <n v="507"/>
    <n v="28"/>
    <s v="Male"/>
    <s v="Scarf"/>
    <x v="3"/>
    <n v="40"/>
    <x v="42"/>
    <s v="M"/>
    <s v="Olive"/>
    <x v="3"/>
    <n v="2.7"/>
    <s v="Yes"/>
    <s v="Cash"/>
    <s v="2-Day Shipping"/>
    <s v="Yes"/>
    <s v="Yes"/>
    <n v="48"/>
    <x v="5"/>
    <s v="Annually"/>
    <n v="1"/>
    <x v="3"/>
  </r>
  <r>
    <n v="508"/>
    <n v="65"/>
    <s v="Male"/>
    <s v="Shorts"/>
    <x v="0"/>
    <n v="20"/>
    <x v="1"/>
    <s v="M"/>
    <s v="Magenta"/>
    <x v="1"/>
    <n v="5"/>
    <s v="Yes"/>
    <s v="Bank Transfer"/>
    <s v="Store Pickup"/>
    <s v="Yes"/>
    <s v="Yes"/>
    <n v="33"/>
    <x v="5"/>
    <s v="Fortnightly"/>
    <n v="1"/>
    <x v="0"/>
  </r>
  <r>
    <n v="509"/>
    <n v="27"/>
    <s v="Male"/>
    <s v="Jewelry"/>
    <x v="3"/>
    <n v="20"/>
    <x v="26"/>
    <s v="S"/>
    <s v="Yellow"/>
    <x v="0"/>
    <n v="3.7"/>
    <s v="Yes"/>
    <s v="Cash"/>
    <s v="Store Pickup"/>
    <s v="Yes"/>
    <s v="Yes"/>
    <n v="31"/>
    <x v="3"/>
    <s v="Quarterly"/>
    <n v="1"/>
    <x v="3"/>
  </r>
  <r>
    <n v="510"/>
    <n v="41"/>
    <s v="Male"/>
    <s v="T-shirt"/>
    <x v="0"/>
    <n v="80"/>
    <x v="12"/>
    <s v="L"/>
    <s v="Cyan"/>
    <x v="2"/>
    <n v="3.9"/>
    <s v="Yes"/>
    <s v="Bank Transfer"/>
    <s v="Free Shipping"/>
    <s v="Yes"/>
    <s v="Yes"/>
    <n v="17"/>
    <x v="5"/>
    <s v="Weekly"/>
    <n v="1"/>
    <x v="2"/>
  </r>
  <r>
    <n v="511"/>
    <n v="21"/>
    <s v="Male"/>
    <s v="Shirt"/>
    <x v="0"/>
    <n v="87"/>
    <x v="8"/>
    <s v="M"/>
    <s v="Teal"/>
    <x v="3"/>
    <n v="3.9"/>
    <s v="Yes"/>
    <s v="Credit Card"/>
    <s v="2-Day Shipping"/>
    <s v="Yes"/>
    <s v="Yes"/>
    <n v="22"/>
    <x v="0"/>
    <s v="Annually"/>
    <n v="1"/>
    <x v="1"/>
  </r>
  <r>
    <n v="512"/>
    <n v="61"/>
    <s v="Male"/>
    <s v="Shirt"/>
    <x v="0"/>
    <n v="46"/>
    <x v="11"/>
    <s v="L"/>
    <s v="Yellow"/>
    <x v="3"/>
    <n v="3.1"/>
    <s v="Yes"/>
    <s v="Debit Card"/>
    <s v="Free Shipping"/>
    <s v="Yes"/>
    <s v="Yes"/>
    <n v="8"/>
    <x v="3"/>
    <s v="Annually"/>
    <n v="1"/>
    <x v="0"/>
  </r>
  <r>
    <n v="513"/>
    <n v="19"/>
    <s v="Male"/>
    <s v="Gloves"/>
    <x v="3"/>
    <n v="49"/>
    <x v="14"/>
    <s v="L"/>
    <s v="Peach"/>
    <x v="0"/>
    <n v="3.3"/>
    <s v="Yes"/>
    <s v="Credit Card"/>
    <s v="Next Day Air"/>
    <s v="Yes"/>
    <s v="Yes"/>
    <n v="2"/>
    <x v="4"/>
    <s v="Monthly"/>
    <n v="1"/>
    <x v="1"/>
  </r>
  <r>
    <n v="514"/>
    <n v="22"/>
    <s v="Male"/>
    <s v="Scarf"/>
    <x v="3"/>
    <n v="65"/>
    <x v="35"/>
    <s v="M"/>
    <s v="Peach"/>
    <x v="3"/>
    <n v="3.6"/>
    <s v="Yes"/>
    <s v="PayPal"/>
    <s v="Store Pickup"/>
    <s v="Yes"/>
    <s v="Yes"/>
    <n v="45"/>
    <x v="0"/>
    <s v="Annually"/>
    <n v="1"/>
    <x v="1"/>
  </r>
  <r>
    <n v="515"/>
    <n v="64"/>
    <s v="Male"/>
    <s v="Skirt"/>
    <x v="0"/>
    <n v="62"/>
    <x v="27"/>
    <s v="S"/>
    <s v="Olive"/>
    <x v="0"/>
    <n v="4.3"/>
    <s v="Yes"/>
    <s v="Debit Card"/>
    <s v="Standard"/>
    <s v="Yes"/>
    <s v="Yes"/>
    <n v="47"/>
    <x v="3"/>
    <s v="Quarterly"/>
    <n v="1"/>
    <x v="0"/>
  </r>
  <r>
    <n v="516"/>
    <n v="28"/>
    <s v="Male"/>
    <s v="Hat"/>
    <x v="3"/>
    <n v="67"/>
    <x v="0"/>
    <s v="L"/>
    <s v="Charcoal"/>
    <x v="1"/>
    <n v="4.5"/>
    <s v="Yes"/>
    <s v="Credit Card"/>
    <s v="Next Day Air"/>
    <s v="Yes"/>
    <s v="Yes"/>
    <n v="7"/>
    <x v="1"/>
    <s v="Monthly"/>
    <n v="1"/>
    <x v="3"/>
  </r>
  <r>
    <n v="517"/>
    <n v="34"/>
    <s v="Male"/>
    <s v="Hoodie"/>
    <x v="0"/>
    <n v="41"/>
    <x v="8"/>
    <s v="L"/>
    <s v="Indigo"/>
    <x v="3"/>
    <n v="2.8"/>
    <s v="Yes"/>
    <s v="Cash"/>
    <s v="2-Day Shipping"/>
    <s v="Yes"/>
    <s v="Yes"/>
    <n v="19"/>
    <x v="5"/>
    <s v="Bi-Weekly"/>
    <n v="1"/>
    <x v="3"/>
  </r>
  <r>
    <n v="518"/>
    <n v="61"/>
    <s v="Male"/>
    <s v="Boots"/>
    <x v="1"/>
    <n v="49"/>
    <x v="25"/>
    <s v="L"/>
    <s v="Silver"/>
    <x v="3"/>
    <n v="2.7"/>
    <s v="Yes"/>
    <s v="Debit Card"/>
    <s v="Free Shipping"/>
    <s v="Yes"/>
    <s v="Yes"/>
    <n v="44"/>
    <x v="1"/>
    <s v="Every 3 Months"/>
    <n v="1"/>
    <x v="0"/>
  </r>
  <r>
    <n v="519"/>
    <n v="24"/>
    <s v="Male"/>
    <s v="Blouse"/>
    <x v="0"/>
    <n v="100"/>
    <x v="4"/>
    <s v="M"/>
    <s v="Beige"/>
    <x v="3"/>
    <n v="2.9"/>
    <s v="Yes"/>
    <s v="PayPal"/>
    <s v="Next Day Air"/>
    <s v="Yes"/>
    <s v="Yes"/>
    <n v="16"/>
    <x v="0"/>
    <s v="Every 3 Months"/>
    <n v="1"/>
    <x v="1"/>
  </r>
  <r>
    <n v="520"/>
    <n v="19"/>
    <s v="Male"/>
    <s v="Belt"/>
    <x v="3"/>
    <n v="54"/>
    <x v="46"/>
    <s v="L"/>
    <s v="Blue"/>
    <x v="2"/>
    <n v="4.4000000000000004"/>
    <s v="Yes"/>
    <s v="Cash"/>
    <s v="2-Day Shipping"/>
    <s v="Yes"/>
    <s v="Yes"/>
    <n v="17"/>
    <x v="4"/>
    <s v="Quarterly"/>
    <n v="1"/>
    <x v="1"/>
  </r>
  <r>
    <n v="521"/>
    <n v="51"/>
    <s v="Male"/>
    <s v="Sunglasses"/>
    <x v="3"/>
    <n v="84"/>
    <x v="36"/>
    <s v="M"/>
    <s v="White"/>
    <x v="1"/>
    <n v="3.9"/>
    <s v="Yes"/>
    <s v="Bank Transfer"/>
    <s v="Free Shipping"/>
    <s v="Yes"/>
    <s v="Yes"/>
    <n v="20"/>
    <x v="5"/>
    <s v="Quarterly"/>
    <n v="1"/>
    <x v="0"/>
  </r>
  <r>
    <n v="522"/>
    <n v="36"/>
    <s v="Male"/>
    <s v="Shorts"/>
    <x v="0"/>
    <n v="41"/>
    <x v="34"/>
    <s v="L"/>
    <s v="Gold"/>
    <x v="0"/>
    <n v="3.5"/>
    <s v="Yes"/>
    <s v="Credit Card"/>
    <s v="Standard"/>
    <s v="Yes"/>
    <s v="Yes"/>
    <n v="50"/>
    <x v="4"/>
    <s v="Annually"/>
    <n v="1"/>
    <x v="2"/>
  </r>
  <r>
    <n v="523"/>
    <n v="65"/>
    <s v="Male"/>
    <s v="Gloves"/>
    <x v="3"/>
    <n v="88"/>
    <x v="46"/>
    <s v="M"/>
    <s v="Blue"/>
    <x v="1"/>
    <n v="2.5"/>
    <s v="Yes"/>
    <s v="PayPal"/>
    <s v="Store Pickup"/>
    <s v="Yes"/>
    <s v="Yes"/>
    <n v="37"/>
    <x v="1"/>
    <s v="Quarterly"/>
    <n v="1"/>
    <x v="0"/>
  </r>
  <r>
    <n v="524"/>
    <n v="46"/>
    <s v="Male"/>
    <s v="Sandals"/>
    <x v="1"/>
    <n v="40"/>
    <x v="12"/>
    <s v="M"/>
    <s v="Orange"/>
    <x v="1"/>
    <n v="4.9000000000000004"/>
    <s v="Yes"/>
    <s v="Cash"/>
    <s v="Express"/>
    <s v="Yes"/>
    <s v="Yes"/>
    <n v="5"/>
    <x v="3"/>
    <s v="Quarterly"/>
    <n v="1"/>
    <x v="0"/>
  </r>
  <r>
    <n v="525"/>
    <n v="59"/>
    <s v="Male"/>
    <s v="Shirt"/>
    <x v="0"/>
    <n v="39"/>
    <x v="38"/>
    <s v="M"/>
    <s v="Gold"/>
    <x v="2"/>
    <n v="4.8"/>
    <s v="Yes"/>
    <s v="Venmo"/>
    <s v="Free Shipping"/>
    <s v="Yes"/>
    <s v="Yes"/>
    <n v="44"/>
    <x v="3"/>
    <s v="Annually"/>
    <n v="1"/>
    <x v="0"/>
  </r>
  <r>
    <n v="526"/>
    <n v="51"/>
    <s v="Male"/>
    <s v="Coat"/>
    <x v="2"/>
    <n v="37"/>
    <x v="44"/>
    <s v="M"/>
    <s v="Cyan"/>
    <x v="1"/>
    <n v="3.2"/>
    <s v="Yes"/>
    <s v="Credit Card"/>
    <s v="Next Day Air"/>
    <s v="Yes"/>
    <s v="Yes"/>
    <n v="41"/>
    <x v="5"/>
    <s v="Monthly"/>
    <n v="1"/>
    <x v="0"/>
  </r>
  <r>
    <n v="527"/>
    <n v="51"/>
    <s v="Male"/>
    <s v="Pants"/>
    <x v="0"/>
    <n v="52"/>
    <x v="32"/>
    <s v="S"/>
    <s v="Red"/>
    <x v="0"/>
    <n v="4.9000000000000004"/>
    <s v="Yes"/>
    <s v="Cash"/>
    <s v="Standard"/>
    <s v="Yes"/>
    <s v="Yes"/>
    <n v="19"/>
    <x v="1"/>
    <s v="Monthly"/>
    <n v="1"/>
    <x v="0"/>
  </r>
  <r>
    <n v="528"/>
    <n v="21"/>
    <s v="Male"/>
    <s v="T-shirt"/>
    <x v="0"/>
    <n v="23"/>
    <x v="36"/>
    <s v="L"/>
    <s v="Yellow"/>
    <x v="0"/>
    <n v="4.3"/>
    <s v="Yes"/>
    <s v="Bank Transfer"/>
    <s v="Next Day Air"/>
    <s v="Yes"/>
    <s v="Yes"/>
    <n v="47"/>
    <x v="4"/>
    <s v="Every 3 Months"/>
    <n v="1"/>
    <x v="1"/>
  </r>
  <r>
    <n v="529"/>
    <n v="34"/>
    <s v="Male"/>
    <s v="Sneakers"/>
    <x v="1"/>
    <n v="88"/>
    <x v="33"/>
    <s v="S"/>
    <s v="Beige"/>
    <x v="0"/>
    <n v="3.2"/>
    <s v="Yes"/>
    <s v="Venmo"/>
    <s v="Express"/>
    <s v="Yes"/>
    <s v="Yes"/>
    <n v="40"/>
    <x v="1"/>
    <s v="Annually"/>
    <n v="1"/>
    <x v="3"/>
  </r>
  <r>
    <n v="530"/>
    <n v="32"/>
    <s v="Male"/>
    <s v="Shorts"/>
    <x v="0"/>
    <n v="84"/>
    <x v="18"/>
    <s v="M"/>
    <s v="Orange"/>
    <x v="3"/>
    <n v="3.7"/>
    <s v="Yes"/>
    <s v="Cash"/>
    <s v="Standard"/>
    <s v="Yes"/>
    <s v="Yes"/>
    <n v="6"/>
    <x v="2"/>
    <s v="Monthly"/>
    <n v="1"/>
    <x v="3"/>
  </r>
  <r>
    <n v="531"/>
    <n v="48"/>
    <s v="Male"/>
    <s v="Coat"/>
    <x v="2"/>
    <n v="37"/>
    <x v="6"/>
    <s v="XL"/>
    <s v="Magenta"/>
    <x v="0"/>
    <n v="3.2"/>
    <s v="Yes"/>
    <s v="Venmo"/>
    <s v="Store Pickup"/>
    <s v="Yes"/>
    <s v="Yes"/>
    <n v="25"/>
    <x v="2"/>
    <s v="Bi-Weekly"/>
    <n v="1"/>
    <x v="0"/>
  </r>
  <r>
    <n v="532"/>
    <n v="50"/>
    <s v="Male"/>
    <s v="Sandals"/>
    <x v="1"/>
    <n v="51"/>
    <x v="34"/>
    <s v="L"/>
    <s v="Purple"/>
    <x v="3"/>
    <n v="3.4"/>
    <s v="Yes"/>
    <s v="Bank Transfer"/>
    <s v="Next Day Air"/>
    <s v="Yes"/>
    <s v="Yes"/>
    <n v="42"/>
    <x v="1"/>
    <s v="Weekly"/>
    <n v="1"/>
    <x v="0"/>
  </r>
  <r>
    <n v="533"/>
    <n v="26"/>
    <s v="Male"/>
    <s v="Pants"/>
    <x v="0"/>
    <n v="76"/>
    <x v="21"/>
    <s v="L"/>
    <s v="Black"/>
    <x v="0"/>
    <n v="4.0999999999999996"/>
    <s v="Yes"/>
    <s v="Bank Transfer"/>
    <s v="Express"/>
    <s v="Yes"/>
    <s v="Yes"/>
    <n v="35"/>
    <x v="4"/>
    <s v="Every 3 Months"/>
    <n v="1"/>
    <x v="3"/>
  </r>
  <r>
    <n v="534"/>
    <n v="57"/>
    <s v="Male"/>
    <s v="Sandals"/>
    <x v="1"/>
    <n v="60"/>
    <x v="17"/>
    <s v="L"/>
    <s v="Pink"/>
    <x v="1"/>
    <n v="4.5"/>
    <s v="Yes"/>
    <s v="PayPal"/>
    <s v="Next Day Air"/>
    <s v="Yes"/>
    <s v="Yes"/>
    <n v="17"/>
    <x v="5"/>
    <s v="Weekly"/>
    <n v="1"/>
    <x v="0"/>
  </r>
  <r>
    <n v="535"/>
    <n v="65"/>
    <s v="Male"/>
    <s v="Gloves"/>
    <x v="3"/>
    <n v="72"/>
    <x v="20"/>
    <s v="L"/>
    <s v="Pink"/>
    <x v="3"/>
    <n v="4.5"/>
    <s v="Yes"/>
    <s v="Bank Transfer"/>
    <s v="Next Day Air"/>
    <s v="Yes"/>
    <s v="Yes"/>
    <n v="4"/>
    <x v="3"/>
    <s v="Quarterly"/>
    <n v="1"/>
    <x v="0"/>
  </r>
  <r>
    <n v="536"/>
    <n v="56"/>
    <s v="Male"/>
    <s v="T-shirt"/>
    <x v="0"/>
    <n v="45"/>
    <x v="8"/>
    <s v="L"/>
    <s v="Maroon"/>
    <x v="1"/>
    <n v="3.2"/>
    <s v="Yes"/>
    <s v="Credit Card"/>
    <s v="Free Shipping"/>
    <s v="Yes"/>
    <s v="Yes"/>
    <n v="24"/>
    <x v="4"/>
    <s v="Weekly"/>
    <n v="1"/>
    <x v="0"/>
  </r>
  <r>
    <n v="537"/>
    <n v="44"/>
    <s v="Male"/>
    <s v="Jacket"/>
    <x v="2"/>
    <n v="84"/>
    <x v="26"/>
    <s v="S"/>
    <s v="Maroon"/>
    <x v="3"/>
    <n v="4.4000000000000004"/>
    <s v="Yes"/>
    <s v="Debit Card"/>
    <s v="Store Pickup"/>
    <s v="Yes"/>
    <s v="Yes"/>
    <n v="16"/>
    <x v="5"/>
    <s v="Every 3 Months"/>
    <n v="1"/>
    <x v="2"/>
  </r>
  <r>
    <n v="538"/>
    <n v="50"/>
    <s v="Male"/>
    <s v="Blouse"/>
    <x v="0"/>
    <n v="49"/>
    <x v="41"/>
    <s v="S"/>
    <s v="Turquoise"/>
    <x v="2"/>
    <n v="3"/>
    <s v="Yes"/>
    <s v="Credit Card"/>
    <s v="Store Pickup"/>
    <s v="Yes"/>
    <s v="Yes"/>
    <n v="14"/>
    <x v="5"/>
    <s v="Annually"/>
    <n v="1"/>
    <x v="0"/>
  </r>
  <r>
    <n v="539"/>
    <n v="27"/>
    <s v="Male"/>
    <s v="Socks"/>
    <x v="0"/>
    <n v="22"/>
    <x v="41"/>
    <s v="XL"/>
    <s v="Green"/>
    <x v="1"/>
    <n v="3.2"/>
    <s v="Yes"/>
    <s v="PayPal"/>
    <s v="Free Shipping"/>
    <s v="Yes"/>
    <s v="Yes"/>
    <n v="43"/>
    <x v="1"/>
    <s v="Weekly"/>
    <n v="1"/>
    <x v="3"/>
  </r>
  <r>
    <n v="540"/>
    <n v="49"/>
    <s v="Male"/>
    <s v="Coat"/>
    <x v="2"/>
    <n v="48"/>
    <x v="5"/>
    <s v="M"/>
    <s v="Violet"/>
    <x v="0"/>
    <n v="4"/>
    <s v="Yes"/>
    <s v="Cash"/>
    <s v="Store Pickup"/>
    <s v="Yes"/>
    <s v="Yes"/>
    <n v="49"/>
    <x v="5"/>
    <s v="Weekly"/>
    <n v="1"/>
    <x v="0"/>
  </r>
  <r>
    <n v="541"/>
    <n v="49"/>
    <s v="Male"/>
    <s v="Dress"/>
    <x v="0"/>
    <n v="37"/>
    <x v="36"/>
    <s v="M"/>
    <s v="Lavender"/>
    <x v="1"/>
    <n v="3.1"/>
    <s v="Yes"/>
    <s v="Venmo"/>
    <s v="Next Day Air"/>
    <s v="Yes"/>
    <s v="Yes"/>
    <n v="33"/>
    <x v="1"/>
    <s v="Every 3 Months"/>
    <n v="1"/>
    <x v="0"/>
  </r>
  <r>
    <n v="542"/>
    <n v="52"/>
    <s v="Male"/>
    <s v="Jacket"/>
    <x v="2"/>
    <n v="27"/>
    <x v="39"/>
    <s v="L"/>
    <s v="Gray"/>
    <x v="3"/>
    <n v="2.8"/>
    <s v="Yes"/>
    <s v="Bank Transfer"/>
    <s v="Next Day Air"/>
    <s v="Yes"/>
    <s v="Yes"/>
    <n v="45"/>
    <x v="1"/>
    <s v="Bi-Weekly"/>
    <n v="1"/>
    <x v="0"/>
  </r>
  <r>
    <n v="543"/>
    <n v="27"/>
    <s v="Male"/>
    <s v="Boots"/>
    <x v="1"/>
    <n v="79"/>
    <x v="26"/>
    <s v="XL"/>
    <s v="Teal"/>
    <x v="1"/>
    <n v="4.5999999999999996"/>
    <s v="Yes"/>
    <s v="Venmo"/>
    <s v="Next Day Air"/>
    <s v="Yes"/>
    <s v="Yes"/>
    <n v="35"/>
    <x v="1"/>
    <s v="Bi-Weekly"/>
    <n v="1"/>
    <x v="3"/>
  </r>
  <r>
    <n v="544"/>
    <n v="53"/>
    <s v="Male"/>
    <s v="Skirt"/>
    <x v="0"/>
    <n v="98"/>
    <x v="15"/>
    <s v="S"/>
    <s v="Red"/>
    <x v="1"/>
    <n v="4.3"/>
    <s v="Yes"/>
    <s v="Debit Card"/>
    <s v="Express"/>
    <s v="Yes"/>
    <s v="Yes"/>
    <n v="11"/>
    <x v="2"/>
    <s v="Monthly"/>
    <n v="1"/>
    <x v="0"/>
  </r>
  <r>
    <n v="545"/>
    <n v="34"/>
    <s v="Male"/>
    <s v="Sandals"/>
    <x v="1"/>
    <n v="64"/>
    <x v="47"/>
    <s v="S"/>
    <s v="Yellow"/>
    <x v="2"/>
    <n v="3.3"/>
    <s v="Yes"/>
    <s v="Cash"/>
    <s v="Standard"/>
    <s v="Yes"/>
    <s v="Yes"/>
    <n v="30"/>
    <x v="4"/>
    <s v="Every 3 Months"/>
    <n v="1"/>
    <x v="3"/>
  </r>
  <r>
    <n v="546"/>
    <n v="33"/>
    <s v="Male"/>
    <s v="Coat"/>
    <x v="2"/>
    <n v="32"/>
    <x v="15"/>
    <s v="L"/>
    <s v="Magenta"/>
    <x v="2"/>
    <n v="3.5"/>
    <s v="Yes"/>
    <s v="Bank Transfer"/>
    <s v="2-Day Shipping"/>
    <s v="Yes"/>
    <s v="Yes"/>
    <n v="48"/>
    <x v="5"/>
    <s v="Annually"/>
    <n v="1"/>
    <x v="3"/>
  </r>
  <r>
    <n v="547"/>
    <n v="62"/>
    <s v="Male"/>
    <s v="Hoodie"/>
    <x v="0"/>
    <n v="74"/>
    <x v="35"/>
    <s v="M"/>
    <s v="Brown"/>
    <x v="0"/>
    <n v="3.4"/>
    <s v="Yes"/>
    <s v="Cash"/>
    <s v="Free Shipping"/>
    <s v="Yes"/>
    <s v="Yes"/>
    <n v="45"/>
    <x v="0"/>
    <s v="Bi-Weekly"/>
    <n v="1"/>
    <x v="0"/>
  </r>
  <r>
    <n v="548"/>
    <n v="38"/>
    <s v="Male"/>
    <s v="Jacket"/>
    <x v="2"/>
    <n v="50"/>
    <x v="22"/>
    <s v="M"/>
    <s v="Blue"/>
    <x v="0"/>
    <n v="2.8"/>
    <s v="Yes"/>
    <s v="Debit Card"/>
    <s v="Free Shipping"/>
    <s v="Yes"/>
    <s v="Yes"/>
    <n v="26"/>
    <x v="0"/>
    <s v="Weekly"/>
    <n v="1"/>
    <x v="2"/>
  </r>
  <r>
    <n v="549"/>
    <n v="36"/>
    <s v="Male"/>
    <s v="Backpack"/>
    <x v="3"/>
    <n v="64"/>
    <x v="43"/>
    <s v="M"/>
    <s v="Black"/>
    <x v="0"/>
    <n v="4.5999999999999996"/>
    <s v="Yes"/>
    <s v="PayPal"/>
    <s v="Store Pickup"/>
    <s v="Yes"/>
    <s v="Yes"/>
    <n v="41"/>
    <x v="5"/>
    <s v="Every 3 Months"/>
    <n v="1"/>
    <x v="2"/>
  </r>
  <r>
    <n v="550"/>
    <n v="31"/>
    <s v="Male"/>
    <s v="Backpack"/>
    <x v="3"/>
    <n v="29"/>
    <x v="28"/>
    <s v="S"/>
    <s v="Olive"/>
    <x v="3"/>
    <n v="3.6"/>
    <s v="Yes"/>
    <s v="Cash"/>
    <s v="Express"/>
    <s v="Yes"/>
    <s v="Yes"/>
    <n v="37"/>
    <x v="0"/>
    <s v="Bi-Weekly"/>
    <n v="1"/>
    <x v="3"/>
  </r>
  <r>
    <n v="551"/>
    <n v="62"/>
    <s v="Male"/>
    <s v="Belt"/>
    <x v="3"/>
    <n v="62"/>
    <x v="42"/>
    <s v="M"/>
    <s v="Olive"/>
    <x v="2"/>
    <n v="3.3"/>
    <s v="Yes"/>
    <s v="Cash"/>
    <s v="Store Pickup"/>
    <s v="Yes"/>
    <s v="Yes"/>
    <n v="12"/>
    <x v="3"/>
    <s v="Weekly"/>
    <n v="1"/>
    <x v="0"/>
  </r>
  <r>
    <n v="552"/>
    <n v="29"/>
    <s v="Male"/>
    <s v="Coat"/>
    <x v="2"/>
    <n v="78"/>
    <x v="37"/>
    <s v="XL"/>
    <s v="Green"/>
    <x v="3"/>
    <n v="3.1"/>
    <s v="Yes"/>
    <s v="Venmo"/>
    <s v="2-Day Shipping"/>
    <s v="Yes"/>
    <s v="Yes"/>
    <n v="27"/>
    <x v="1"/>
    <s v="Bi-Weekly"/>
    <n v="1"/>
    <x v="3"/>
  </r>
  <r>
    <n v="553"/>
    <n v="24"/>
    <s v="Male"/>
    <s v="T-shirt"/>
    <x v="0"/>
    <n v="94"/>
    <x v="9"/>
    <s v="M"/>
    <s v="Peach"/>
    <x v="3"/>
    <n v="3.5"/>
    <s v="Yes"/>
    <s v="Bank Transfer"/>
    <s v="Express"/>
    <s v="Yes"/>
    <s v="Yes"/>
    <n v="18"/>
    <x v="4"/>
    <s v="Weekly"/>
    <n v="1"/>
    <x v="1"/>
  </r>
  <r>
    <n v="554"/>
    <n v="63"/>
    <s v="Male"/>
    <s v="Sunglasses"/>
    <x v="3"/>
    <n v="59"/>
    <x v="20"/>
    <s v="M"/>
    <s v="White"/>
    <x v="0"/>
    <n v="3.2"/>
    <s v="Yes"/>
    <s v="Venmo"/>
    <s v="Express"/>
    <s v="Yes"/>
    <s v="Yes"/>
    <n v="15"/>
    <x v="2"/>
    <s v="Quarterly"/>
    <n v="1"/>
    <x v="0"/>
  </r>
  <r>
    <n v="555"/>
    <n v="56"/>
    <s v="Male"/>
    <s v="Sneakers"/>
    <x v="1"/>
    <n v="47"/>
    <x v="46"/>
    <s v="M"/>
    <s v="Red"/>
    <x v="2"/>
    <n v="3"/>
    <s v="Yes"/>
    <s v="PayPal"/>
    <s v="Express"/>
    <s v="Yes"/>
    <s v="Yes"/>
    <n v="34"/>
    <x v="4"/>
    <s v="Weekly"/>
    <n v="1"/>
    <x v="0"/>
  </r>
  <r>
    <n v="556"/>
    <n v="63"/>
    <s v="Male"/>
    <s v="Gloves"/>
    <x v="3"/>
    <n v="57"/>
    <x v="1"/>
    <s v="M"/>
    <s v="White"/>
    <x v="3"/>
    <n v="4.8"/>
    <s v="Yes"/>
    <s v="Bank Transfer"/>
    <s v="Express"/>
    <s v="Yes"/>
    <s v="Yes"/>
    <n v="37"/>
    <x v="0"/>
    <s v="Annually"/>
    <n v="1"/>
    <x v="0"/>
  </r>
  <r>
    <n v="557"/>
    <n v="40"/>
    <s v="Male"/>
    <s v="Coat"/>
    <x v="2"/>
    <n v="90"/>
    <x v="6"/>
    <s v="L"/>
    <s v="Indigo"/>
    <x v="0"/>
    <n v="5"/>
    <s v="Yes"/>
    <s v="Credit Card"/>
    <s v="Store Pickup"/>
    <s v="Yes"/>
    <s v="Yes"/>
    <n v="21"/>
    <x v="1"/>
    <s v="Fortnightly"/>
    <n v="1"/>
    <x v="2"/>
  </r>
  <r>
    <n v="558"/>
    <n v="18"/>
    <s v="Male"/>
    <s v="Shirt"/>
    <x v="0"/>
    <n v="60"/>
    <x v="29"/>
    <s v="M"/>
    <s v="White"/>
    <x v="1"/>
    <n v="2.9"/>
    <s v="Yes"/>
    <s v="PayPal"/>
    <s v="Free Shipping"/>
    <s v="Yes"/>
    <s v="Yes"/>
    <n v="31"/>
    <x v="5"/>
    <s v="Weekly"/>
    <n v="1"/>
    <x v="1"/>
  </r>
  <r>
    <n v="559"/>
    <n v="50"/>
    <s v="Male"/>
    <s v="Sneakers"/>
    <x v="1"/>
    <n v="77"/>
    <x v="44"/>
    <s v="L"/>
    <s v="Teal"/>
    <x v="3"/>
    <n v="3.2"/>
    <s v="Yes"/>
    <s v="Venmo"/>
    <s v="Express"/>
    <s v="Yes"/>
    <s v="Yes"/>
    <n v="43"/>
    <x v="5"/>
    <s v="Every 3 Months"/>
    <n v="1"/>
    <x v="0"/>
  </r>
  <r>
    <n v="560"/>
    <n v="66"/>
    <s v="Male"/>
    <s v="Scarf"/>
    <x v="3"/>
    <n v="41"/>
    <x v="28"/>
    <s v="M"/>
    <s v="Indigo"/>
    <x v="3"/>
    <n v="2.9"/>
    <s v="Yes"/>
    <s v="Bank Transfer"/>
    <s v="Store Pickup"/>
    <s v="Yes"/>
    <s v="Yes"/>
    <n v="22"/>
    <x v="4"/>
    <s v="Monthly"/>
    <n v="1"/>
    <x v="0"/>
  </r>
  <r>
    <n v="561"/>
    <n v="25"/>
    <s v="Male"/>
    <s v="Jewelry"/>
    <x v="3"/>
    <n v="48"/>
    <x v="7"/>
    <s v="L"/>
    <s v="Red"/>
    <x v="3"/>
    <n v="3.3"/>
    <s v="Yes"/>
    <s v="PayPal"/>
    <s v="Free Shipping"/>
    <s v="Yes"/>
    <s v="Yes"/>
    <n v="12"/>
    <x v="5"/>
    <s v="Annually"/>
    <n v="1"/>
    <x v="1"/>
  </r>
  <r>
    <n v="562"/>
    <n v="65"/>
    <s v="Male"/>
    <s v="Jacket"/>
    <x v="2"/>
    <n v="65"/>
    <x v="15"/>
    <s v="M"/>
    <s v="Blue"/>
    <x v="3"/>
    <n v="2.6"/>
    <s v="Yes"/>
    <s v="Credit Card"/>
    <s v="Next Day Air"/>
    <s v="Yes"/>
    <s v="Yes"/>
    <n v="25"/>
    <x v="3"/>
    <s v="Fortnightly"/>
    <n v="1"/>
    <x v="0"/>
  </r>
  <r>
    <n v="563"/>
    <n v="53"/>
    <s v="Male"/>
    <s v="Jeans"/>
    <x v="0"/>
    <n v="62"/>
    <x v="9"/>
    <s v="M"/>
    <s v="Blue"/>
    <x v="2"/>
    <n v="3.5"/>
    <s v="Yes"/>
    <s v="PayPal"/>
    <s v="Standard"/>
    <s v="Yes"/>
    <s v="Yes"/>
    <n v="40"/>
    <x v="5"/>
    <s v="Annually"/>
    <n v="1"/>
    <x v="0"/>
  </r>
  <r>
    <n v="564"/>
    <n v="61"/>
    <s v="Male"/>
    <s v="Shoes"/>
    <x v="1"/>
    <n v="99"/>
    <x v="37"/>
    <s v="M"/>
    <s v="Black"/>
    <x v="3"/>
    <n v="4.4000000000000004"/>
    <s v="Yes"/>
    <s v="PayPal"/>
    <s v="Standard"/>
    <s v="Yes"/>
    <s v="Yes"/>
    <n v="16"/>
    <x v="5"/>
    <s v="Quarterly"/>
    <n v="1"/>
    <x v="0"/>
  </r>
  <r>
    <n v="565"/>
    <n v="67"/>
    <s v="Male"/>
    <s v="Hoodie"/>
    <x v="0"/>
    <n v="58"/>
    <x v="20"/>
    <s v="M"/>
    <s v="Olive"/>
    <x v="0"/>
    <n v="3.4"/>
    <s v="Yes"/>
    <s v="Cash"/>
    <s v="Next Day Air"/>
    <s v="Yes"/>
    <s v="Yes"/>
    <n v="30"/>
    <x v="4"/>
    <s v="Weekly"/>
    <n v="1"/>
    <x v="0"/>
  </r>
  <r>
    <n v="566"/>
    <n v="59"/>
    <s v="Male"/>
    <s v="Backpack"/>
    <x v="3"/>
    <n v="43"/>
    <x v="37"/>
    <s v="L"/>
    <s v="Lavender"/>
    <x v="3"/>
    <n v="4.2"/>
    <s v="Yes"/>
    <s v="Bank Transfer"/>
    <s v="Store Pickup"/>
    <s v="Yes"/>
    <s v="Yes"/>
    <n v="10"/>
    <x v="0"/>
    <s v="Weekly"/>
    <n v="1"/>
    <x v="0"/>
  </r>
  <r>
    <n v="567"/>
    <n v="55"/>
    <s v="Male"/>
    <s v="Sneakers"/>
    <x v="1"/>
    <n v="93"/>
    <x v="15"/>
    <s v="M"/>
    <s v="Indigo"/>
    <x v="1"/>
    <n v="3.6"/>
    <s v="Yes"/>
    <s v="PayPal"/>
    <s v="Store Pickup"/>
    <s v="Yes"/>
    <s v="Yes"/>
    <n v="1"/>
    <x v="5"/>
    <s v="Fortnightly"/>
    <n v="1"/>
    <x v="0"/>
  </r>
  <r>
    <n v="568"/>
    <n v="21"/>
    <s v="Male"/>
    <s v="Blouse"/>
    <x v="0"/>
    <n v="50"/>
    <x v="13"/>
    <s v="S"/>
    <s v="Red"/>
    <x v="0"/>
    <n v="3"/>
    <s v="Yes"/>
    <s v="Venmo"/>
    <s v="Next Day Air"/>
    <s v="Yes"/>
    <s v="Yes"/>
    <n v="24"/>
    <x v="0"/>
    <s v="Fortnightly"/>
    <n v="1"/>
    <x v="1"/>
  </r>
  <r>
    <n v="569"/>
    <n v="44"/>
    <s v="Male"/>
    <s v="Pants"/>
    <x v="0"/>
    <n v="88"/>
    <x v="40"/>
    <s v="L"/>
    <s v="Red"/>
    <x v="2"/>
    <n v="4"/>
    <s v="Yes"/>
    <s v="Bank Transfer"/>
    <s v="Free Shipping"/>
    <s v="Yes"/>
    <s v="Yes"/>
    <n v="36"/>
    <x v="3"/>
    <s v="Monthly"/>
    <n v="1"/>
    <x v="2"/>
  </r>
  <r>
    <n v="570"/>
    <n v="65"/>
    <s v="Male"/>
    <s v="Skirt"/>
    <x v="0"/>
    <n v="33"/>
    <x v="15"/>
    <s v="M"/>
    <s v="Pink"/>
    <x v="3"/>
    <n v="4.4000000000000004"/>
    <s v="Yes"/>
    <s v="PayPal"/>
    <s v="Express"/>
    <s v="Yes"/>
    <s v="Yes"/>
    <n v="46"/>
    <x v="2"/>
    <s v="Every 3 Months"/>
    <n v="1"/>
    <x v="0"/>
  </r>
  <r>
    <n v="571"/>
    <n v="65"/>
    <s v="Male"/>
    <s v="T-shirt"/>
    <x v="0"/>
    <n v="99"/>
    <x v="44"/>
    <s v="XL"/>
    <s v="Purple"/>
    <x v="3"/>
    <n v="4.0999999999999996"/>
    <s v="Yes"/>
    <s v="Credit Card"/>
    <s v="Standard"/>
    <s v="Yes"/>
    <s v="Yes"/>
    <n v="20"/>
    <x v="1"/>
    <s v="Annually"/>
    <n v="1"/>
    <x v="0"/>
  </r>
  <r>
    <n v="572"/>
    <n v="54"/>
    <s v="Male"/>
    <s v="Jacket"/>
    <x v="2"/>
    <n v="76"/>
    <x v="0"/>
    <s v="XL"/>
    <s v="Cyan"/>
    <x v="1"/>
    <n v="3.6"/>
    <s v="Yes"/>
    <s v="Venmo"/>
    <s v="Free Shipping"/>
    <s v="Yes"/>
    <s v="Yes"/>
    <n v="37"/>
    <x v="0"/>
    <s v="Weekly"/>
    <n v="1"/>
    <x v="0"/>
  </r>
  <r>
    <n v="573"/>
    <n v="56"/>
    <s v="Male"/>
    <s v="Scarf"/>
    <x v="3"/>
    <n v="97"/>
    <x v="36"/>
    <s v="XL"/>
    <s v="Cyan"/>
    <x v="2"/>
    <n v="4.5999999999999996"/>
    <s v="Yes"/>
    <s v="Credit Card"/>
    <s v="Next Day Air"/>
    <s v="Yes"/>
    <s v="Yes"/>
    <n v="26"/>
    <x v="4"/>
    <s v="Annually"/>
    <n v="1"/>
    <x v="0"/>
  </r>
  <r>
    <n v="574"/>
    <n v="58"/>
    <s v="Male"/>
    <s v="Pants"/>
    <x v="0"/>
    <n v="68"/>
    <x v="18"/>
    <s v="M"/>
    <s v="Charcoal"/>
    <x v="2"/>
    <n v="3.2"/>
    <s v="Yes"/>
    <s v="Cash"/>
    <s v="2-Day Shipping"/>
    <s v="Yes"/>
    <s v="Yes"/>
    <n v="23"/>
    <x v="2"/>
    <s v="Bi-Weekly"/>
    <n v="1"/>
    <x v="0"/>
  </r>
  <r>
    <n v="575"/>
    <n v="54"/>
    <s v="Male"/>
    <s v="Sneakers"/>
    <x v="1"/>
    <n v="79"/>
    <x v="1"/>
    <s v="L"/>
    <s v="Red"/>
    <x v="3"/>
    <n v="4.8"/>
    <s v="Yes"/>
    <s v="PayPal"/>
    <s v="Free Shipping"/>
    <s v="Yes"/>
    <s v="Yes"/>
    <n v="20"/>
    <x v="4"/>
    <s v="Bi-Weekly"/>
    <n v="1"/>
    <x v="0"/>
  </r>
  <r>
    <n v="576"/>
    <n v="58"/>
    <s v="Male"/>
    <s v="Jeans"/>
    <x v="0"/>
    <n v="86"/>
    <x v="43"/>
    <s v="M"/>
    <s v="Peach"/>
    <x v="3"/>
    <n v="4.8"/>
    <s v="Yes"/>
    <s v="Venmo"/>
    <s v="Express"/>
    <s v="Yes"/>
    <s v="Yes"/>
    <n v="38"/>
    <x v="3"/>
    <s v="Monthly"/>
    <n v="1"/>
    <x v="0"/>
  </r>
  <r>
    <n v="577"/>
    <n v="48"/>
    <s v="Male"/>
    <s v="Hat"/>
    <x v="3"/>
    <n v="68"/>
    <x v="47"/>
    <s v="M"/>
    <s v="Black"/>
    <x v="0"/>
    <n v="5"/>
    <s v="Yes"/>
    <s v="Venmo"/>
    <s v="2-Day Shipping"/>
    <s v="Yes"/>
    <s v="Yes"/>
    <n v="5"/>
    <x v="2"/>
    <s v="Every 3 Months"/>
    <n v="1"/>
    <x v="0"/>
  </r>
  <r>
    <n v="578"/>
    <n v="19"/>
    <s v="Male"/>
    <s v="Skirt"/>
    <x v="0"/>
    <n v="52"/>
    <x v="15"/>
    <s v="M"/>
    <s v="Black"/>
    <x v="3"/>
    <n v="3.7"/>
    <s v="Yes"/>
    <s v="PayPal"/>
    <s v="Store Pickup"/>
    <s v="Yes"/>
    <s v="Yes"/>
    <n v="41"/>
    <x v="0"/>
    <s v="Annually"/>
    <n v="1"/>
    <x v="1"/>
  </r>
  <r>
    <n v="579"/>
    <n v="69"/>
    <s v="Male"/>
    <s v="Sandals"/>
    <x v="1"/>
    <n v="90"/>
    <x v="1"/>
    <s v="M"/>
    <s v="Purple"/>
    <x v="3"/>
    <n v="4.5999999999999996"/>
    <s v="Yes"/>
    <s v="Debit Card"/>
    <s v="Next Day Air"/>
    <s v="Yes"/>
    <s v="Yes"/>
    <n v="22"/>
    <x v="2"/>
    <s v="Fortnightly"/>
    <n v="1"/>
    <x v="0"/>
  </r>
  <r>
    <n v="580"/>
    <n v="58"/>
    <s v="Male"/>
    <s v="Sandals"/>
    <x v="1"/>
    <n v="41"/>
    <x v="18"/>
    <s v="M"/>
    <s v="Violet"/>
    <x v="0"/>
    <n v="3.7"/>
    <s v="Yes"/>
    <s v="Debit Card"/>
    <s v="Free Shipping"/>
    <s v="Yes"/>
    <s v="Yes"/>
    <n v="48"/>
    <x v="2"/>
    <s v="Annually"/>
    <n v="1"/>
    <x v="0"/>
  </r>
  <r>
    <n v="581"/>
    <n v="49"/>
    <s v="Male"/>
    <s v="Sweater"/>
    <x v="0"/>
    <n v="80"/>
    <x v="44"/>
    <s v="M"/>
    <s v="Orange"/>
    <x v="1"/>
    <n v="4.0999999999999996"/>
    <s v="Yes"/>
    <s v="PayPal"/>
    <s v="Free Shipping"/>
    <s v="Yes"/>
    <s v="Yes"/>
    <n v="10"/>
    <x v="3"/>
    <s v="Weekly"/>
    <n v="1"/>
    <x v="0"/>
  </r>
  <r>
    <n v="582"/>
    <n v="32"/>
    <s v="Male"/>
    <s v="Sweater"/>
    <x v="0"/>
    <n v="100"/>
    <x v="44"/>
    <s v="XL"/>
    <s v="Charcoal"/>
    <x v="0"/>
    <n v="2.7"/>
    <s v="Yes"/>
    <s v="Credit Card"/>
    <s v="Store Pickup"/>
    <s v="Yes"/>
    <s v="Yes"/>
    <n v="12"/>
    <x v="4"/>
    <s v="Every 3 Months"/>
    <n v="1"/>
    <x v="3"/>
  </r>
  <r>
    <n v="583"/>
    <n v="40"/>
    <s v="Male"/>
    <s v="Jacket"/>
    <x v="2"/>
    <n v="77"/>
    <x v="24"/>
    <s v="L"/>
    <s v="Turquoise"/>
    <x v="1"/>
    <n v="4.9000000000000004"/>
    <s v="Yes"/>
    <s v="Debit Card"/>
    <s v="Store Pickup"/>
    <s v="Yes"/>
    <s v="Yes"/>
    <n v="2"/>
    <x v="4"/>
    <s v="Quarterly"/>
    <n v="1"/>
    <x v="2"/>
  </r>
  <r>
    <n v="584"/>
    <n v="25"/>
    <s v="Male"/>
    <s v="Shorts"/>
    <x v="0"/>
    <n v="78"/>
    <x v="18"/>
    <s v="L"/>
    <s v="Yellow"/>
    <x v="1"/>
    <n v="4"/>
    <s v="Yes"/>
    <s v="PayPal"/>
    <s v="Store Pickup"/>
    <s v="Yes"/>
    <s v="Yes"/>
    <n v="38"/>
    <x v="3"/>
    <s v="Monthly"/>
    <n v="1"/>
    <x v="1"/>
  </r>
  <r>
    <n v="585"/>
    <n v="70"/>
    <s v="Male"/>
    <s v="Socks"/>
    <x v="0"/>
    <n v="94"/>
    <x v="27"/>
    <s v="M"/>
    <s v="White"/>
    <x v="1"/>
    <n v="4.7"/>
    <s v="Yes"/>
    <s v="PayPal"/>
    <s v="Free Shipping"/>
    <s v="Yes"/>
    <s v="Yes"/>
    <n v="20"/>
    <x v="5"/>
    <s v="Monthly"/>
    <n v="1"/>
    <x v="0"/>
  </r>
  <r>
    <n v="586"/>
    <n v="69"/>
    <s v="Male"/>
    <s v="Socks"/>
    <x v="0"/>
    <n v="23"/>
    <x v="36"/>
    <s v="M"/>
    <s v="Gray"/>
    <x v="3"/>
    <n v="2.8"/>
    <s v="Yes"/>
    <s v="Credit Card"/>
    <s v="Next Day Air"/>
    <s v="Yes"/>
    <s v="Yes"/>
    <n v="5"/>
    <x v="1"/>
    <s v="Every 3 Months"/>
    <n v="1"/>
    <x v="0"/>
  </r>
  <r>
    <n v="587"/>
    <n v="45"/>
    <s v="Male"/>
    <s v="Hoodie"/>
    <x v="0"/>
    <n v="20"/>
    <x v="48"/>
    <s v="S"/>
    <s v="Blue"/>
    <x v="0"/>
    <n v="4.9000000000000004"/>
    <s v="Yes"/>
    <s v="Venmo"/>
    <s v="2-Day Shipping"/>
    <s v="Yes"/>
    <s v="Yes"/>
    <n v="9"/>
    <x v="0"/>
    <s v="Annually"/>
    <n v="1"/>
    <x v="2"/>
  </r>
  <r>
    <n v="588"/>
    <n v="29"/>
    <s v="Male"/>
    <s v="Socks"/>
    <x v="0"/>
    <n v="86"/>
    <x v="47"/>
    <s v="S"/>
    <s v="Maroon"/>
    <x v="3"/>
    <n v="4.2"/>
    <s v="Yes"/>
    <s v="PayPal"/>
    <s v="Express"/>
    <s v="Yes"/>
    <s v="Yes"/>
    <n v="48"/>
    <x v="5"/>
    <s v="Every 3 Months"/>
    <n v="1"/>
    <x v="3"/>
  </r>
  <r>
    <n v="589"/>
    <n v="47"/>
    <s v="Male"/>
    <s v="Boots"/>
    <x v="1"/>
    <n v="60"/>
    <x v="45"/>
    <s v="M"/>
    <s v="Violet"/>
    <x v="3"/>
    <n v="3"/>
    <s v="Yes"/>
    <s v="Debit Card"/>
    <s v="Standard"/>
    <s v="Yes"/>
    <s v="Yes"/>
    <n v="9"/>
    <x v="5"/>
    <s v="Quarterly"/>
    <n v="1"/>
    <x v="0"/>
  </r>
  <r>
    <n v="590"/>
    <n v="28"/>
    <s v="Male"/>
    <s v="Shirt"/>
    <x v="0"/>
    <n v="70"/>
    <x v="46"/>
    <s v="M"/>
    <s v="Orange"/>
    <x v="3"/>
    <n v="3.4"/>
    <s v="Yes"/>
    <s v="Debit Card"/>
    <s v="2-Day Shipping"/>
    <s v="Yes"/>
    <s v="Yes"/>
    <n v="40"/>
    <x v="3"/>
    <s v="Annually"/>
    <n v="1"/>
    <x v="3"/>
  </r>
  <r>
    <n v="591"/>
    <n v="64"/>
    <s v="Male"/>
    <s v="Belt"/>
    <x v="3"/>
    <n v="39"/>
    <x v="29"/>
    <s v="S"/>
    <s v="Turquoise"/>
    <x v="3"/>
    <n v="4.5999999999999996"/>
    <s v="Yes"/>
    <s v="Credit Card"/>
    <s v="Standard"/>
    <s v="Yes"/>
    <s v="Yes"/>
    <n v="30"/>
    <x v="0"/>
    <s v="Fortnightly"/>
    <n v="1"/>
    <x v="0"/>
  </r>
  <r>
    <n v="592"/>
    <n v="47"/>
    <s v="Male"/>
    <s v="Backpack"/>
    <x v="3"/>
    <n v="37"/>
    <x v="0"/>
    <s v="L"/>
    <s v="Olive"/>
    <x v="3"/>
    <n v="4.2"/>
    <s v="Yes"/>
    <s v="Credit Card"/>
    <s v="Store Pickup"/>
    <s v="Yes"/>
    <s v="Yes"/>
    <n v="6"/>
    <x v="5"/>
    <s v="Bi-Weekly"/>
    <n v="1"/>
    <x v="0"/>
  </r>
  <r>
    <n v="593"/>
    <n v="60"/>
    <s v="Male"/>
    <s v="Boots"/>
    <x v="1"/>
    <n v="29"/>
    <x v="25"/>
    <s v="M"/>
    <s v="Brown"/>
    <x v="3"/>
    <n v="3.2"/>
    <s v="Yes"/>
    <s v="Venmo"/>
    <s v="Free Shipping"/>
    <s v="Yes"/>
    <s v="Yes"/>
    <n v="42"/>
    <x v="0"/>
    <s v="Every 3 Months"/>
    <n v="1"/>
    <x v="0"/>
  </r>
  <r>
    <n v="594"/>
    <n v="67"/>
    <s v="Male"/>
    <s v="Coat"/>
    <x v="2"/>
    <n v="35"/>
    <x v="29"/>
    <s v="S"/>
    <s v="Green"/>
    <x v="0"/>
    <n v="4.4000000000000004"/>
    <s v="Yes"/>
    <s v="Cash"/>
    <s v="Store Pickup"/>
    <s v="Yes"/>
    <s v="Yes"/>
    <n v="9"/>
    <x v="3"/>
    <s v="Every 3 Months"/>
    <n v="1"/>
    <x v="0"/>
  </r>
  <r>
    <n v="595"/>
    <n v="35"/>
    <s v="Male"/>
    <s v="Hoodie"/>
    <x v="0"/>
    <n v="83"/>
    <x v="19"/>
    <s v="S"/>
    <s v="Brown"/>
    <x v="0"/>
    <n v="2.5"/>
    <s v="Yes"/>
    <s v="Cash"/>
    <s v="Next Day Air"/>
    <s v="Yes"/>
    <s v="Yes"/>
    <n v="6"/>
    <x v="5"/>
    <s v="Monthly"/>
    <n v="1"/>
    <x v="3"/>
  </r>
  <r>
    <n v="596"/>
    <n v="30"/>
    <s v="Male"/>
    <s v="Shoes"/>
    <x v="1"/>
    <n v="77"/>
    <x v="12"/>
    <s v="M"/>
    <s v="Silver"/>
    <x v="2"/>
    <n v="3.6"/>
    <s v="Yes"/>
    <s v="Credit Card"/>
    <s v="Next Day Air"/>
    <s v="Yes"/>
    <s v="Yes"/>
    <n v="47"/>
    <x v="3"/>
    <s v="Quarterly"/>
    <n v="1"/>
    <x v="3"/>
  </r>
  <r>
    <n v="597"/>
    <n v="23"/>
    <s v="Male"/>
    <s v="Shoes"/>
    <x v="1"/>
    <n v="37"/>
    <x v="6"/>
    <s v="XL"/>
    <s v="White"/>
    <x v="2"/>
    <n v="4.5"/>
    <s v="Yes"/>
    <s v="PayPal"/>
    <s v="Store Pickup"/>
    <s v="Yes"/>
    <s v="Yes"/>
    <n v="36"/>
    <x v="0"/>
    <s v="Annually"/>
    <n v="1"/>
    <x v="1"/>
  </r>
  <r>
    <n v="598"/>
    <n v="70"/>
    <s v="Male"/>
    <s v="Jewelry"/>
    <x v="3"/>
    <n v="69"/>
    <x v="29"/>
    <s v="L"/>
    <s v="Gold"/>
    <x v="2"/>
    <n v="3.4"/>
    <s v="Yes"/>
    <s v="Bank Transfer"/>
    <s v="Standard"/>
    <s v="Yes"/>
    <s v="Yes"/>
    <n v="19"/>
    <x v="4"/>
    <s v="Fortnightly"/>
    <n v="1"/>
    <x v="0"/>
  </r>
  <r>
    <n v="599"/>
    <n v="21"/>
    <s v="Male"/>
    <s v="Dress"/>
    <x v="0"/>
    <n v="66"/>
    <x v="18"/>
    <s v="L"/>
    <s v="Green"/>
    <x v="0"/>
    <n v="3.2"/>
    <s v="Yes"/>
    <s v="Credit Card"/>
    <s v="2-Day Shipping"/>
    <s v="Yes"/>
    <s v="Yes"/>
    <n v="30"/>
    <x v="1"/>
    <s v="Every 3 Months"/>
    <n v="1"/>
    <x v="1"/>
  </r>
  <r>
    <n v="600"/>
    <n v="51"/>
    <s v="Male"/>
    <s v="Boots"/>
    <x v="1"/>
    <n v="26"/>
    <x v="2"/>
    <s v="L"/>
    <s v="Teal"/>
    <x v="1"/>
    <n v="4.2"/>
    <s v="Yes"/>
    <s v="Cash"/>
    <s v="Standard"/>
    <s v="Yes"/>
    <s v="Yes"/>
    <n v="27"/>
    <x v="5"/>
    <s v="Every 3 Months"/>
    <n v="1"/>
    <x v="0"/>
  </r>
  <r>
    <n v="601"/>
    <n v="22"/>
    <s v="Male"/>
    <s v="Hat"/>
    <x v="3"/>
    <n v="63"/>
    <x v="36"/>
    <s v="M"/>
    <s v="Charcoal"/>
    <x v="1"/>
    <n v="5"/>
    <s v="Yes"/>
    <s v="Debit Card"/>
    <s v="2-Day Shipping"/>
    <s v="Yes"/>
    <s v="Yes"/>
    <n v="25"/>
    <x v="0"/>
    <s v="Monthly"/>
    <n v="1"/>
    <x v="1"/>
  </r>
  <r>
    <n v="602"/>
    <n v="32"/>
    <s v="Male"/>
    <s v="Backpack"/>
    <x v="3"/>
    <n v="38"/>
    <x v="8"/>
    <s v="M"/>
    <s v="Maroon"/>
    <x v="2"/>
    <n v="4.7"/>
    <s v="Yes"/>
    <s v="Cash"/>
    <s v="Store Pickup"/>
    <s v="Yes"/>
    <s v="Yes"/>
    <n v="5"/>
    <x v="1"/>
    <s v="Fortnightly"/>
    <n v="1"/>
    <x v="3"/>
  </r>
  <r>
    <n v="603"/>
    <n v="37"/>
    <s v="Male"/>
    <s v="Shoes"/>
    <x v="1"/>
    <n v="58"/>
    <x v="4"/>
    <s v="L"/>
    <s v="Lavender"/>
    <x v="2"/>
    <n v="4.2"/>
    <s v="Yes"/>
    <s v="Venmo"/>
    <s v="Next Day Air"/>
    <s v="Yes"/>
    <s v="Yes"/>
    <n v="10"/>
    <x v="1"/>
    <s v="Every 3 Months"/>
    <n v="1"/>
    <x v="2"/>
  </r>
  <r>
    <n v="604"/>
    <n v="31"/>
    <s v="Male"/>
    <s v="Handbag"/>
    <x v="3"/>
    <n v="46"/>
    <x v="2"/>
    <s v="L"/>
    <s v="Green"/>
    <x v="0"/>
    <n v="3.4"/>
    <s v="Yes"/>
    <s v="Debit Card"/>
    <s v="2-Day Shipping"/>
    <s v="Yes"/>
    <s v="Yes"/>
    <n v="26"/>
    <x v="3"/>
    <s v="Every 3 Months"/>
    <n v="1"/>
    <x v="3"/>
  </r>
  <r>
    <n v="605"/>
    <n v="44"/>
    <s v="Male"/>
    <s v="Sunglasses"/>
    <x v="3"/>
    <n v="92"/>
    <x v="8"/>
    <s v="S"/>
    <s v="Pink"/>
    <x v="3"/>
    <n v="4.4000000000000004"/>
    <s v="Yes"/>
    <s v="Bank Transfer"/>
    <s v="Store Pickup"/>
    <s v="Yes"/>
    <s v="Yes"/>
    <n v="11"/>
    <x v="2"/>
    <s v="Every 3 Months"/>
    <n v="1"/>
    <x v="2"/>
  </r>
  <r>
    <n v="606"/>
    <n v="40"/>
    <s v="Male"/>
    <s v="Hat"/>
    <x v="3"/>
    <n v="32"/>
    <x v="18"/>
    <s v="XL"/>
    <s v="Charcoal"/>
    <x v="0"/>
    <n v="4.2"/>
    <s v="Yes"/>
    <s v="Debit Card"/>
    <s v="Standard"/>
    <s v="Yes"/>
    <s v="Yes"/>
    <n v="17"/>
    <x v="4"/>
    <s v="Weekly"/>
    <n v="1"/>
    <x v="2"/>
  </r>
  <r>
    <n v="607"/>
    <n v="27"/>
    <s v="Male"/>
    <s v="Scarf"/>
    <x v="3"/>
    <n v="90"/>
    <x v="24"/>
    <s v="M"/>
    <s v="Blue"/>
    <x v="1"/>
    <n v="4.5"/>
    <s v="Yes"/>
    <s v="Credit Card"/>
    <s v="Standard"/>
    <s v="Yes"/>
    <s v="Yes"/>
    <n v="44"/>
    <x v="3"/>
    <s v="Monthly"/>
    <n v="1"/>
    <x v="3"/>
  </r>
  <r>
    <n v="608"/>
    <n v="47"/>
    <s v="Male"/>
    <s v="Hoodie"/>
    <x v="0"/>
    <n v="23"/>
    <x v="27"/>
    <s v="L"/>
    <s v="Purple"/>
    <x v="3"/>
    <n v="2.8"/>
    <s v="Yes"/>
    <s v="PayPal"/>
    <s v="Next Day Air"/>
    <s v="Yes"/>
    <s v="Yes"/>
    <n v="44"/>
    <x v="1"/>
    <s v="Monthly"/>
    <n v="1"/>
    <x v="0"/>
  </r>
  <r>
    <n v="609"/>
    <n v="41"/>
    <s v="Male"/>
    <s v="Backpack"/>
    <x v="3"/>
    <n v="25"/>
    <x v="12"/>
    <s v="S"/>
    <s v="Gold"/>
    <x v="3"/>
    <n v="3.3"/>
    <s v="Yes"/>
    <s v="Debit Card"/>
    <s v="Next Day Air"/>
    <s v="Yes"/>
    <s v="Yes"/>
    <n v="21"/>
    <x v="0"/>
    <s v="Every 3 Months"/>
    <n v="1"/>
    <x v="2"/>
  </r>
  <r>
    <n v="610"/>
    <n v="51"/>
    <s v="Male"/>
    <s v="Sweater"/>
    <x v="0"/>
    <n v="54"/>
    <x v="31"/>
    <s v="L"/>
    <s v="Purple"/>
    <x v="3"/>
    <n v="4.5999999999999996"/>
    <s v="Yes"/>
    <s v="Cash"/>
    <s v="Next Day Air"/>
    <s v="Yes"/>
    <s v="Yes"/>
    <n v="49"/>
    <x v="2"/>
    <s v="Fortnightly"/>
    <n v="1"/>
    <x v="0"/>
  </r>
  <r>
    <n v="611"/>
    <n v="53"/>
    <s v="Male"/>
    <s v="Shorts"/>
    <x v="0"/>
    <n v="72"/>
    <x v="19"/>
    <s v="M"/>
    <s v="Charcoal"/>
    <x v="2"/>
    <n v="2.5"/>
    <s v="Yes"/>
    <s v="Debit Card"/>
    <s v="Free Shipping"/>
    <s v="Yes"/>
    <s v="Yes"/>
    <n v="27"/>
    <x v="4"/>
    <s v="Every 3 Months"/>
    <n v="1"/>
    <x v="0"/>
  </r>
  <r>
    <n v="612"/>
    <n v="43"/>
    <s v="Male"/>
    <s v="Scarf"/>
    <x v="3"/>
    <n v="33"/>
    <x v="18"/>
    <s v="M"/>
    <s v="Black"/>
    <x v="0"/>
    <n v="4.7"/>
    <s v="Yes"/>
    <s v="Credit Card"/>
    <s v="Store Pickup"/>
    <s v="Yes"/>
    <s v="Yes"/>
    <n v="19"/>
    <x v="1"/>
    <s v="Monthly"/>
    <n v="1"/>
    <x v="2"/>
  </r>
  <r>
    <n v="613"/>
    <n v="67"/>
    <s v="Male"/>
    <s v="Hat"/>
    <x v="3"/>
    <n v="43"/>
    <x v="13"/>
    <s v="L"/>
    <s v="Lavender"/>
    <x v="3"/>
    <n v="4.5999999999999996"/>
    <s v="Yes"/>
    <s v="PayPal"/>
    <s v="Express"/>
    <s v="Yes"/>
    <s v="Yes"/>
    <n v="33"/>
    <x v="2"/>
    <s v="Quarterly"/>
    <n v="1"/>
    <x v="0"/>
  </r>
  <r>
    <n v="614"/>
    <n v="61"/>
    <s v="Male"/>
    <s v="Coat"/>
    <x v="2"/>
    <n v="51"/>
    <x v="38"/>
    <s v="L"/>
    <s v="Lavender"/>
    <x v="3"/>
    <n v="2.6"/>
    <s v="Yes"/>
    <s v="Cash"/>
    <s v="Standard"/>
    <s v="Yes"/>
    <s v="Yes"/>
    <n v="46"/>
    <x v="1"/>
    <s v="Bi-Weekly"/>
    <n v="1"/>
    <x v="0"/>
  </r>
  <r>
    <n v="615"/>
    <n v="68"/>
    <s v="Male"/>
    <s v="Jewelry"/>
    <x v="3"/>
    <n v="85"/>
    <x v="37"/>
    <s v="M"/>
    <s v="Lavender"/>
    <x v="0"/>
    <n v="4"/>
    <s v="Yes"/>
    <s v="Cash"/>
    <s v="Standard"/>
    <s v="Yes"/>
    <s v="Yes"/>
    <n v="21"/>
    <x v="2"/>
    <s v="Bi-Weekly"/>
    <n v="1"/>
    <x v="0"/>
  </r>
  <r>
    <n v="616"/>
    <n v="67"/>
    <s v="Male"/>
    <s v="Sandals"/>
    <x v="1"/>
    <n v="100"/>
    <x v="33"/>
    <s v="L"/>
    <s v="Olive"/>
    <x v="2"/>
    <n v="2.6"/>
    <s v="Yes"/>
    <s v="Debit Card"/>
    <s v="Next Day Air"/>
    <s v="Yes"/>
    <s v="Yes"/>
    <n v="23"/>
    <x v="0"/>
    <s v="Annually"/>
    <n v="1"/>
    <x v="0"/>
  </r>
  <r>
    <n v="617"/>
    <n v="29"/>
    <s v="Male"/>
    <s v="Gloves"/>
    <x v="3"/>
    <n v="72"/>
    <x v="38"/>
    <s v="L"/>
    <s v="Teal"/>
    <x v="1"/>
    <n v="4.5999999999999996"/>
    <s v="Yes"/>
    <s v="Cash"/>
    <s v="Free Shipping"/>
    <s v="Yes"/>
    <s v="Yes"/>
    <n v="38"/>
    <x v="2"/>
    <s v="Every 3 Months"/>
    <n v="1"/>
    <x v="3"/>
  </r>
  <r>
    <n v="618"/>
    <n v="50"/>
    <s v="Male"/>
    <s v="Backpack"/>
    <x v="3"/>
    <n v="57"/>
    <x v="24"/>
    <s v="M"/>
    <s v="Maroon"/>
    <x v="3"/>
    <n v="2.6"/>
    <s v="Yes"/>
    <s v="Debit Card"/>
    <s v="Standard"/>
    <s v="Yes"/>
    <s v="Yes"/>
    <n v="2"/>
    <x v="4"/>
    <s v="Quarterly"/>
    <n v="1"/>
    <x v="0"/>
  </r>
  <r>
    <n v="619"/>
    <n v="61"/>
    <s v="Male"/>
    <s v="Jacket"/>
    <x v="2"/>
    <n v="94"/>
    <x v="27"/>
    <s v="L"/>
    <s v="Cyan"/>
    <x v="1"/>
    <n v="4"/>
    <s v="Yes"/>
    <s v="Credit Card"/>
    <s v="Express"/>
    <s v="Yes"/>
    <s v="Yes"/>
    <n v="21"/>
    <x v="5"/>
    <s v="Bi-Weekly"/>
    <n v="1"/>
    <x v="0"/>
  </r>
  <r>
    <n v="620"/>
    <n v="19"/>
    <s v="Male"/>
    <s v="Backpack"/>
    <x v="3"/>
    <n v="34"/>
    <x v="43"/>
    <s v="M"/>
    <s v="Charcoal"/>
    <x v="2"/>
    <n v="4.5999999999999996"/>
    <s v="Yes"/>
    <s v="Debit Card"/>
    <s v="Store Pickup"/>
    <s v="Yes"/>
    <s v="Yes"/>
    <n v="1"/>
    <x v="5"/>
    <s v="Every 3 Months"/>
    <n v="1"/>
    <x v="1"/>
  </r>
  <r>
    <n v="621"/>
    <n v="33"/>
    <s v="Male"/>
    <s v="Backpack"/>
    <x v="3"/>
    <n v="89"/>
    <x v="3"/>
    <s v="M"/>
    <s v="Black"/>
    <x v="3"/>
    <n v="3.7"/>
    <s v="Yes"/>
    <s v="PayPal"/>
    <s v="2-Day Shipping"/>
    <s v="Yes"/>
    <s v="Yes"/>
    <n v="10"/>
    <x v="0"/>
    <s v="Every 3 Months"/>
    <n v="1"/>
    <x v="3"/>
  </r>
  <r>
    <n v="622"/>
    <n v="51"/>
    <s v="Male"/>
    <s v="Sunglasses"/>
    <x v="3"/>
    <n v="27"/>
    <x v="23"/>
    <s v="S"/>
    <s v="Red"/>
    <x v="3"/>
    <n v="4.4000000000000004"/>
    <s v="Yes"/>
    <s v="Debit Card"/>
    <s v="Store Pickup"/>
    <s v="Yes"/>
    <s v="Yes"/>
    <n v="45"/>
    <x v="2"/>
    <s v="Weekly"/>
    <n v="1"/>
    <x v="0"/>
  </r>
  <r>
    <n v="623"/>
    <n v="69"/>
    <s v="Male"/>
    <s v="Socks"/>
    <x v="0"/>
    <n v="63"/>
    <x v="42"/>
    <s v="S"/>
    <s v="Peach"/>
    <x v="1"/>
    <n v="4"/>
    <s v="Yes"/>
    <s v="Credit Card"/>
    <s v="Next Day Air"/>
    <s v="Yes"/>
    <s v="Yes"/>
    <n v="44"/>
    <x v="4"/>
    <s v="Fortnightly"/>
    <n v="1"/>
    <x v="0"/>
  </r>
  <r>
    <n v="624"/>
    <n v="19"/>
    <s v="Male"/>
    <s v="Shoes"/>
    <x v="1"/>
    <n v="70"/>
    <x v="22"/>
    <s v="M"/>
    <s v="White"/>
    <x v="3"/>
    <n v="4.7"/>
    <s v="Yes"/>
    <s v="Bank Transfer"/>
    <s v="Standard"/>
    <s v="Yes"/>
    <s v="Yes"/>
    <n v="48"/>
    <x v="3"/>
    <s v="Bi-Weekly"/>
    <n v="1"/>
    <x v="1"/>
  </r>
  <r>
    <n v="625"/>
    <n v="55"/>
    <s v="Male"/>
    <s v="Pants"/>
    <x v="0"/>
    <n v="87"/>
    <x v="36"/>
    <s v="XL"/>
    <s v="Pink"/>
    <x v="3"/>
    <n v="3.4"/>
    <s v="Yes"/>
    <s v="Venmo"/>
    <s v="Express"/>
    <s v="Yes"/>
    <s v="Yes"/>
    <n v="21"/>
    <x v="3"/>
    <s v="Annually"/>
    <n v="1"/>
    <x v="0"/>
  </r>
  <r>
    <n v="626"/>
    <n v="49"/>
    <s v="Male"/>
    <s v="Jewelry"/>
    <x v="3"/>
    <n v="79"/>
    <x v="12"/>
    <s v="M"/>
    <s v="Red"/>
    <x v="3"/>
    <n v="4"/>
    <s v="Yes"/>
    <s v="Venmo"/>
    <s v="Next Day Air"/>
    <s v="Yes"/>
    <s v="Yes"/>
    <n v="1"/>
    <x v="0"/>
    <s v="Weekly"/>
    <n v="1"/>
    <x v="0"/>
  </r>
  <r>
    <n v="627"/>
    <n v="31"/>
    <s v="Male"/>
    <s v="Sunglasses"/>
    <x v="3"/>
    <n v="79"/>
    <x v="13"/>
    <s v="M"/>
    <s v="Indigo"/>
    <x v="1"/>
    <n v="3.9"/>
    <s v="Yes"/>
    <s v="Credit Card"/>
    <s v="Standard"/>
    <s v="Yes"/>
    <s v="Yes"/>
    <n v="10"/>
    <x v="0"/>
    <s v="Annually"/>
    <n v="1"/>
    <x v="3"/>
  </r>
  <r>
    <n v="628"/>
    <n v="42"/>
    <s v="Male"/>
    <s v="Sandals"/>
    <x v="1"/>
    <n v="44"/>
    <x v="4"/>
    <s v="L"/>
    <s v="Black"/>
    <x v="0"/>
    <n v="4.0999999999999996"/>
    <s v="Yes"/>
    <s v="Venmo"/>
    <s v="Express"/>
    <s v="Yes"/>
    <s v="Yes"/>
    <n v="24"/>
    <x v="3"/>
    <s v="Monthly"/>
    <n v="1"/>
    <x v="2"/>
  </r>
  <r>
    <n v="629"/>
    <n v="69"/>
    <s v="Male"/>
    <s v="Sweater"/>
    <x v="0"/>
    <n v="85"/>
    <x v="2"/>
    <s v="M"/>
    <s v="White"/>
    <x v="3"/>
    <n v="3.7"/>
    <s v="Yes"/>
    <s v="Venmo"/>
    <s v="2-Day Shipping"/>
    <s v="Yes"/>
    <s v="Yes"/>
    <n v="29"/>
    <x v="2"/>
    <s v="Monthly"/>
    <n v="1"/>
    <x v="0"/>
  </r>
  <r>
    <n v="630"/>
    <n v="26"/>
    <s v="Male"/>
    <s v="Shoes"/>
    <x v="1"/>
    <n v="90"/>
    <x v="34"/>
    <s v="L"/>
    <s v="Beige"/>
    <x v="1"/>
    <n v="4.7"/>
    <s v="Yes"/>
    <s v="Bank Transfer"/>
    <s v="Standard"/>
    <s v="Yes"/>
    <s v="Yes"/>
    <n v="11"/>
    <x v="5"/>
    <s v="Annually"/>
    <n v="1"/>
    <x v="3"/>
  </r>
  <r>
    <n v="631"/>
    <n v="41"/>
    <s v="Male"/>
    <s v="Jewelry"/>
    <x v="3"/>
    <n v="94"/>
    <x v="16"/>
    <s v="S"/>
    <s v="Silver"/>
    <x v="3"/>
    <n v="4.3"/>
    <s v="Yes"/>
    <s v="Cash"/>
    <s v="2-Day Shipping"/>
    <s v="Yes"/>
    <s v="Yes"/>
    <n v="33"/>
    <x v="5"/>
    <s v="Annually"/>
    <n v="1"/>
    <x v="2"/>
  </r>
  <r>
    <n v="632"/>
    <n v="55"/>
    <s v="Male"/>
    <s v="Boots"/>
    <x v="1"/>
    <n v="68"/>
    <x v="47"/>
    <s v="S"/>
    <s v="Violet"/>
    <x v="2"/>
    <n v="4.0999999999999996"/>
    <s v="Yes"/>
    <s v="Venmo"/>
    <s v="Store Pickup"/>
    <s v="Yes"/>
    <s v="Yes"/>
    <n v="27"/>
    <x v="1"/>
    <s v="Fortnightly"/>
    <n v="1"/>
    <x v="0"/>
  </r>
  <r>
    <n v="633"/>
    <n v="35"/>
    <s v="Male"/>
    <s v="Backpack"/>
    <x v="3"/>
    <n v="51"/>
    <x v="5"/>
    <s v="M"/>
    <s v="Red"/>
    <x v="0"/>
    <n v="3.9"/>
    <s v="Yes"/>
    <s v="Venmo"/>
    <s v="Next Day Air"/>
    <s v="Yes"/>
    <s v="Yes"/>
    <n v="19"/>
    <x v="0"/>
    <s v="Fortnightly"/>
    <n v="1"/>
    <x v="3"/>
  </r>
  <r>
    <n v="634"/>
    <n v="66"/>
    <s v="Male"/>
    <s v="Sandals"/>
    <x v="1"/>
    <n v="33"/>
    <x v="46"/>
    <s v="M"/>
    <s v="Orange"/>
    <x v="1"/>
    <n v="2.9"/>
    <s v="Yes"/>
    <s v="Bank Transfer"/>
    <s v="Express"/>
    <s v="Yes"/>
    <s v="Yes"/>
    <n v="50"/>
    <x v="5"/>
    <s v="Quarterly"/>
    <n v="1"/>
    <x v="0"/>
  </r>
  <r>
    <n v="635"/>
    <n v="36"/>
    <s v="Male"/>
    <s v="Sneakers"/>
    <x v="1"/>
    <n v="60"/>
    <x v="31"/>
    <s v="M"/>
    <s v="Teal"/>
    <x v="2"/>
    <n v="3.9"/>
    <s v="Yes"/>
    <s v="Bank Transfer"/>
    <s v="Standard"/>
    <s v="Yes"/>
    <s v="Yes"/>
    <n v="46"/>
    <x v="3"/>
    <s v="Weekly"/>
    <n v="1"/>
    <x v="2"/>
  </r>
  <r>
    <n v="636"/>
    <n v="27"/>
    <s v="Male"/>
    <s v="Hoodie"/>
    <x v="0"/>
    <n v="59"/>
    <x v="36"/>
    <s v="M"/>
    <s v="Brown"/>
    <x v="3"/>
    <n v="4.3"/>
    <s v="Yes"/>
    <s v="PayPal"/>
    <s v="2-Day Shipping"/>
    <s v="Yes"/>
    <s v="Yes"/>
    <n v="28"/>
    <x v="1"/>
    <s v="Quarterly"/>
    <n v="1"/>
    <x v="3"/>
  </r>
  <r>
    <n v="637"/>
    <n v="41"/>
    <s v="Male"/>
    <s v="Handbag"/>
    <x v="3"/>
    <n v="30"/>
    <x v="48"/>
    <s v="M"/>
    <s v="Indigo"/>
    <x v="2"/>
    <n v="2.8"/>
    <s v="Yes"/>
    <s v="Cash"/>
    <s v="Store Pickup"/>
    <s v="Yes"/>
    <s v="Yes"/>
    <n v="14"/>
    <x v="4"/>
    <s v="Every 3 Months"/>
    <n v="1"/>
    <x v="2"/>
  </r>
  <r>
    <n v="638"/>
    <n v="21"/>
    <s v="Male"/>
    <s v="Sweater"/>
    <x v="0"/>
    <n v="20"/>
    <x v="30"/>
    <s v="M"/>
    <s v="Cyan"/>
    <x v="0"/>
    <n v="3.4"/>
    <s v="Yes"/>
    <s v="Cash"/>
    <s v="2-Day Shipping"/>
    <s v="Yes"/>
    <s v="Yes"/>
    <n v="46"/>
    <x v="1"/>
    <s v="Fortnightly"/>
    <n v="1"/>
    <x v="1"/>
  </r>
  <r>
    <n v="639"/>
    <n v="53"/>
    <s v="Male"/>
    <s v="Sandals"/>
    <x v="1"/>
    <n v="20"/>
    <x v="33"/>
    <s v="S"/>
    <s v="Blue"/>
    <x v="2"/>
    <n v="2.7"/>
    <s v="Yes"/>
    <s v="Venmo"/>
    <s v="Express"/>
    <s v="Yes"/>
    <s v="Yes"/>
    <n v="41"/>
    <x v="3"/>
    <s v="Monthly"/>
    <n v="1"/>
    <x v="0"/>
  </r>
  <r>
    <n v="640"/>
    <n v="54"/>
    <s v="Male"/>
    <s v="Dress"/>
    <x v="0"/>
    <n v="24"/>
    <x v="16"/>
    <s v="L"/>
    <s v="Olive"/>
    <x v="1"/>
    <n v="4"/>
    <s v="Yes"/>
    <s v="Credit Card"/>
    <s v="2-Day Shipping"/>
    <s v="Yes"/>
    <s v="Yes"/>
    <n v="50"/>
    <x v="2"/>
    <s v="Annually"/>
    <n v="1"/>
    <x v="0"/>
  </r>
  <r>
    <n v="641"/>
    <n v="53"/>
    <s v="Male"/>
    <s v="Skirt"/>
    <x v="0"/>
    <n v="88"/>
    <x v="46"/>
    <s v="M"/>
    <s v="Gray"/>
    <x v="2"/>
    <n v="4.4000000000000004"/>
    <s v="Yes"/>
    <s v="Debit Card"/>
    <s v="Store Pickup"/>
    <s v="Yes"/>
    <s v="Yes"/>
    <n v="28"/>
    <x v="5"/>
    <s v="Fortnightly"/>
    <n v="1"/>
    <x v="0"/>
  </r>
  <r>
    <n v="642"/>
    <n v="47"/>
    <s v="Male"/>
    <s v="Blouse"/>
    <x v="0"/>
    <n v="78"/>
    <x v="29"/>
    <s v="M"/>
    <s v="Red"/>
    <x v="0"/>
    <n v="3.9"/>
    <s v="Yes"/>
    <s v="Venmo"/>
    <s v="2-Day Shipping"/>
    <s v="Yes"/>
    <s v="Yes"/>
    <n v="23"/>
    <x v="2"/>
    <s v="Every 3 Months"/>
    <n v="1"/>
    <x v="0"/>
  </r>
  <r>
    <n v="643"/>
    <n v="64"/>
    <s v="Male"/>
    <s v="Skirt"/>
    <x v="0"/>
    <n v="25"/>
    <x v="10"/>
    <s v="L"/>
    <s v="Red"/>
    <x v="1"/>
    <n v="2.8"/>
    <s v="Yes"/>
    <s v="Credit Card"/>
    <s v="2-Day Shipping"/>
    <s v="Yes"/>
    <s v="Yes"/>
    <n v="14"/>
    <x v="5"/>
    <s v="Bi-Weekly"/>
    <n v="1"/>
    <x v="0"/>
  </r>
  <r>
    <n v="644"/>
    <n v="18"/>
    <s v="Male"/>
    <s v="Sweater"/>
    <x v="0"/>
    <n v="57"/>
    <x v="4"/>
    <s v="XL"/>
    <s v="Green"/>
    <x v="0"/>
    <n v="3.2"/>
    <s v="Yes"/>
    <s v="Venmo"/>
    <s v="Next Day Air"/>
    <s v="Yes"/>
    <s v="Yes"/>
    <n v="10"/>
    <x v="4"/>
    <s v="Every 3 Months"/>
    <n v="1"/>
    <x v="1"/>
  </r>
  <r>
    <n v="645"/>
    <n v="68"/>
    <s v="Male"/>
    <s v="Backpack"/>
    <x v="3"/>
    <n v="93"/>
    <x v="7"/>
    <s v="S"/>
    <s v="Blue"/>
    <x v="2"/>
    <n v="4.3"/>
    <s v="Yes"/>
    <s v="Venmo"/>
    <s v="Next Day Air"/>
    <s v="Yes"/>
    <s v="Yes"/>
    <n v="37"/>
    <x v="1"/>
    <s v="Weekly"/>
    <n v="1"/>
    <x v="0"/>
  </r>
  <r>
    <n v="646"/>
    <n v="62"/>
    <s v="Male"/>
    <s v="Hoodie"/>
    <x v="0"/>
    <n v="42"/>
    <x v="19"/>
    <s v="S"/>
    <s v="Purple"/>
    <x v="2"/>
    <n v="4.2"/>
    <s v="Yes"/>
    <s v="Credit Card"/>
    <s v="Express"/>
    <s v="Yes"/>
    <s v="Yes"/>
    <n v="15"/>
    <x v="0"/>
    <s v="Bi-Weekly"/>
    <n v="1"/>
    <x v="0"/>
  </r>
  <r>
    <n v="647"/>
    <n v="51"/>
    <s v="Male"/>
    <s v="Boots"/>
    <x v="1"/>
    <n v="54"/>
    <x v="27"/>
    <s v="XL"/>
    <s v="Pink"/>
    <x v="1"/>
    <n v="4.9000000000000004"/>
    <s v="Yes"/>
    <s v="Debit Card"/>
    <s v="Standard"/>
    <s v="Yes"/>
    <s v="Yes"/>
    <n v="19"/>
    <x v="0"/>
    <s v="Bi-Weekly"/>
    <n v="1"/>
    <x v="0"/>
  </r>
  <r>
    <n v="648"/>
    <n v="54"/>
    <s v="Male"/>
    <s v="Blouse"/>
    <x v="0"/>
    <n v="70"/>
    <x v="16"/>
    <s v="XL"/>
    <s v="Charcoal"/>
    <x v="2"/>
    <n v="3.7"/>
    <s v="Yes"/>
    <s v="Bank Transfer"/>
    <s v="Express"/>
    <s v="Yes"/>
    <s v="Yes"/>
    <n v="23"/>
    <x v="2"/>
    <s v="Fortnightly"/>
    <n v="1"/>
    <x v="0"/>
  </r>
  <r>
    <n v="649"/>
    <n v="22"/>
    <s v="Male"/>
    <s v="Hoodie"/>
    <x v="0"/>
    <n v="31"/>
    <x v="49"/>
    <s v="M"/>
    <s v="Brown"/>
    <x v="0"/>
    <n v="4.0999999999999996"/>
    <s v="Yes"/>
    <s v="Bank Transfer"/>
    <s v="Store Pickup"/>
    <s v="Yes"/>
    <s v="Yes"/>
    <n v="35"/>
    <x v="2"/>
    <s v="Weekly"/>
    <n v="1"/>
    <x v="1"/>
  </r>
  <r>
    <n v="650"/>
    <n v="53"/>
    <s v="Male"/>
    <s v="Pants"/>
    <x v="0"/>
    <n v="93"/>
    <x v="12"/>
    <s v="L"/>
    <s v="Orange"/>
    <x v="1"/>
    <n v="4.2"/>
    <s v="Yes"/>
    <s v="Credit Card"/>
    <s v="Store Pickup"/>
    <s v="Yes"/>
    <s v="Yes"/>
    <n v="33"/>
    <x v="3"/>
    <s v="Every 3 Months"/>
    <n v="1"/>
    <x v="0"/>
  </r>
  <r>
    <n v="651"/>
    <n v="34"/>
    <s v="Male"/>
    <s v="Gloves"/>
    <x v="3"/>
    <n v="40"/>
    <x v="20"/>
    <s v="M"/>
    <s v="Magenta"/>
    <x v="1"/>
    <n v="3.9"/>
    <s v="Yes"/>
    <s v="Venmo"/>
    <s v="Next Day Air"/>
    <s v="Yes"/>
    <s v="Yes"/>
    <n v="12"/>
    <x v="4"/>
    <s v="Annually"/>
    <n v="1"/>
    <x v="3"/>
  </r>
  <r>
    <n v="652"/>
    <n v="32"/>
    <s v="Male"/>
    <s v="Hat"/>
    <x v="3"/>
    <n v="32"/>
    <x v="10"/>
    <s v="L"/>
    <s v="Yellow"/>
    <x v="2"/>
    <n v="2.9"/>
    <s v="Yes"/>
    <s v="PayPal"/>
    <s v="Next Day Air"/>
    <s v="Yes"/>
    <s v="Yes"/>
    <n v="41"/>
    <x v="0"/>
    <s v="Fortnightly"/>
    <n v="1"/>
    <x v="3"/>
  </r>
  <r>
    <n v="653"/>
    <n v="64"/>
    <s v="Male"/>
    <s v="Sunglasses"/>
    <x v="3"/>
    <n v="27"/>
    <x v="46"/>
    <s v="M"/>
    <s v="Beige"/>
    <x v="0"/>
    <n v="3.1"/>
    <s v="Yes"/>
    <s v="PayPal"/>
    <s v="Free Shipping"/>
    <s v="Yes"/>
    <s v="Yes"/>
    <n v="27"/>
    <x v="0"/>
    <s v="Weekly"/>
    <n v="1"/>
    <x v="0"/>
  </r>
  <r>
    <n v="654"/>
    <n v="20"/>
    <s v="Male"/>
    <s v="Scarf"/>
    <x v="3"/>
    <n v="68"/>
    <x v="25"/>
    <s v="M"/>
    <s v="Olive"/>
    <x v="0"/>
    <n v="3.6"/>
    <s v="Yes"/>
    <s v="Credit Card"/>
    <s v="2-Day Shipping"/>
    <s v="Yes"/>
    <s v="Yes"/>
    <n v="45"/>
    <x v="1"/>
    <s v="Fortnightly"/>
    <n v="1"/>
    <x v="1"/>
  </r>
  <r>
    <n v="655"/>
    <n v="24"/>
    <s v="Male"/>
    <s v="Handbag"/>
    <x v="3"/>
    <n v="59"/>
    <x v="18"/>
    <s v="L"/>
    <s v="Gray"/>
    <x v="2"/>
    <n v="4.4000000000000004"/>
    <s v="Yes"/>
    <s v="Bank Transfer"/>
    <s v="2-Day Shipping"/>
    <s v="Yes"/>
    <s v="Yes"/>
    <n v="23"/>
    <x v="0"/>
    <s v="Annually"/>
    <n v="1"/>
    <x v="1"/>
  </r>
  <r>
    <n v="656"/>
    <n v="20"/>
    <s v="Male"/>
    <s v="Handbag"/>
    <x v="3"/>
    <n v="36"/>
    <x v="16"/>
    <s v="S"/>
    <s v="Purple"/>
    <x v="3"/>
    <n v="3.1"/>
    <s v="Yes"/>
    <s v="Debit Card"/>
    <s v="Free Shipping"/>
    <s v="Yes"/>
    <s v="Yes"/>
    <n v="19"/>
    <x v="0"/>
    <s v="Monthly"/>
    <n v="1"/>
    <x v="1"/>
  </r>
  <r>
    <n v="657"/>
    <n v="42"/>
    <s v="Male"/>
    <s v="Jeans"/>
    <x v="0"/>
    <n v="23"/>
    <x v="38"/>
    <s v="M"/>
    <s v="Beige"/>
    <x v="2"/>
    <n v="3.9"/>
    <s v="Yes"/>
    <s v="Debit Card"/>
    <s v="Standard"/>
    <s v="Yes"/>
    <s v="Yes"/>
    <n v="6"/>
    <x v="3"/>
    <s v="Quarterly"/>
    <n v="1"/>
    <x v="2"/>
  </r>
  <r>
    <n v="658"/>
    <n v="48"/>
    <s v="Male"/>
    <s v="Jacket"/>
    <x v="2"/>
    <n v="80"/>
    <x v="28"/>
    <s v="M"/>
    <s v="White"/>
    <x v="0"/>
    <n v="4.3"/>
    <s v="Yes"/>
    <s v="PayPal"/>
    <s v="Free Shipping"/>
    <s v="Yes"/>
    <s v="Yes"/>
    <n v="6"/>
    <x v="3"/>
    <s v="Quarterly"/>
    <n v="1"/>
    <x v="0"/>
  </r>
  <r>
    <n v="659"/>
    <n v="62"/>
    <s v="Male"/>
    <s v="Backpack"/>
    <x v="3"/>
    <n v="37"/>
    <x v="7"/>
    <s v="S"/>
    <s v="White"/>
    <x v="3"/>
    <n v="4.9000000000000004"/>
    <s v="Yes"/>
    <s v="Debit Card"/>
    <s v="Store Pickup"/>
    <s v="Yes"/>
    <s v="Yes"/>
    <n v="20"/>
    <x v="0"/>
    <s v="Weekly"/>
    <n v="1"/>
    <x v="0"/>
  </r>
  <r>
    <n v="660"/>
    <n v="62"/>
    <s v="Male"/>
    <s v="Shorts"/>
    <x v="0"/>
    <n v="52"/>
    <x v="41"/>
    <s v="S"/>
    <s v="Gold"/>
    <x v="1"/>
    <n v="3.6"/>
    <s v="Yes"/>
    <s v="Debit Card"/>
    <s v="2-Day Shipping"/>
    <s v="Yes"/>
    <s v="Yes"/>
    <n v="8"/>
    <x v="1"/>
    <s v="Weekly"/>
    <n v="1"/>
    <x v="0"/>
  </r>
  <r>
    <n v="661"/>
    <n v="50"/>
    <s v="Male"/>
    <s v="Coat"/>
    <x v="2"/>
    <n v="79"/>
    <x v="6"/>
    <s v="M"/>
    <s v="Olive"/>
    <x v="3"/>
    <n v="5"/>
    <s v="Yes"/>
    <s v="Debit Card"/>
    <s v="2-Day Shipping"/>
    <s v="Yes"/>
    <s v="Yes"/>
    <n v="39"/>
    <x v="2"/>
    <s v="Quarterly"/>
    <n v="1"/>
    <x v="0"/>
  </r>
  <r>
    <n v="662"/>
    <n v="57"/>
    <s v="Male"/>
    <s v="Shirt"/>
    <x v="0"/>
    <n v="68"/>
    <x v="44"/>
    <s v="XL"/>
    <s v="Green"/>
    <x v="3"/>
    <n v="4.0999999999999996"/>
    <s v="Yes"/>
    <s v="Cash"/>
    <s v="Store Pickup"/>
    <s v="Yes"/>
    <s v="Yes"/>
    <n v="39"/>
    <x v="2"/>
    <s v="Quarterly"/>
    <n v="1"/>
    <x v="0"/>
  </r>
  <r>
    <n v="663"/>
    <n v="24"/>
    <s v="Male"/>
    <s v="Gloves"/>
    <x v="3"/>
    <n v="98"/>
    <x v="26"/>
    <s v="L"/>
    <s v="Magenta"/>
    <x v="3"/>
    <n v="2.8"/>
    <s v="Yes"/>
    <s v="Debit Card"/>
    <s v="Express"/>
    <s v="Yes"/>
    <s v="Yes"/>
    <n v="39"/>
    <x v="0"/>
    <s v="Bi-Weekly"/>
    <n v="1"/>
    <x v="1"/>
  </r>
  <r>
    <n v="664"/>
    <n v="59"/>
    <s v="Male"/>
    <s v="Dress"/>
    <x v="0"/>
    <n v="83"/>
    <x v="29"/>
    <s v="M"/>
    <s v="Charcoal"/>
    <x v="3"/>
    <n v="4.7"/>
    <s v="Yes"/>
    <s v="Cash"/>
    <s v="Express"/>
    <s v="Yes"/>
    <s v="Yes"/>
    <n v="23"/>
    <x v="2"/>
    <s v="Monthly"/>
    <n v="1"/>
    <x v="0"/>
  </r>
  <r>
    <n v="665"/>
    <n v="63"/>
    <s v="Male"/>
    <s v="Pants"/>
    <x v="0"/>
    <n v="83"/>
    <x v="24"/>
    <s v="M"/>
    <s v="Indigo"/>
    <x v="0"/>
    <n v="4.4000000000000004"/>
    <s v="Yes"/>
    <s v="Cash"/>
    <s v="Express"/>
    <s v="Yes"/>
    <s v="Yes"/>
    <n v="41"/>
    <x v="3"/>
    <s v="Bi-Weekly"/>
    <n v="1"/>
    <x v="0"/>
  </r>
  <r>
    <n v="666"/>
    <n v="41"/>
    <s v="Male"/>
    <s v="Pants"/>
    <x v="0"/>
    <n v="55"/>
    <x v="35"/>
    <s v="M"/>
    <s v="Peach"/>
    <x v="1"/>
    <n v="4.9000000000000004"/>
    <s v="Yes"/>
    <s v="Cash"/>
    <s v="2-Day Shipping"/>
    <s v="Yes"/>
    <s v="Yes"/>
    <n v="50"/>
    <x v="2"/>
    <s v="Annually"/>
    <n v="1"/>
    <x v="2"/>
  </r>
  <r>
    <n v="667"/>
    <n v="35"/>
    <s v="Male"/>
    <s v="Hoodie"/>
    <x v="0"/>
    <n v="26"/>
    <x v="24"/>
    <s v="L"/>
    <s v="Turquoise"/>
    <x v="0"/>
    <n v="3.1"/>
    <s v="Yes"/>
    <s v="Cash"/>
    <s v="Free Shipping"/>
    <s v="Yes"/>
    <s v="Yes"/>
    <n v="30"/>
    <x v="5"/>
    <s v="Quarterly"/>
    <n v="1"/>
    <x v="3"/>
  </r>
  <r>
    <n v="668"/>
    <n v="34"/>
    <s v="Male"/>
    <s v="Sunglasses"/>
    <x v="3"/>
    <n v="76"/>
    <x v="28"/>
    <s v="S"/>
    <s v="Blue"/>
    <x v="0"/>
    <n v="2.6"/>
    <s v="Yes"/>
    <s v="Debit Card"/>
    <s v="Standard"/>
    <s v="Yes"/>
    <s v="Yes"/>
    <n v="32"/>
    <x v="4"/>
    <s v="Quarterly"/>
    <n v="1"/>
    <x v="3"/>
  </r>
  <r>
    <n v="669"/>
    <n v="49"/>
    <s v="Male"/>
    <s v="T-shirt"/>
    <x v="0"/>
    <n v="85"/>
    <x v="11"/>
    <s v="S"/>
    <s v="Turquoise"/>
    <x v="3"/>
    <n v="2.9"/>
    <s v="Yes"/>
    <s v="Credit Card"/>
    <s v="Express"/>
    <s v="Yes"/>
    <s v="Yes"/>
    <n v="35"/>
    <x v="4"/>
    <s v="Monthly"/>
    <n v="1"/>
    <x v="0"/>
  </r>
  <r>
    <n v="670"/>
    <n v="43"/>
    <s v="Male"/>
    <s v="Jacket"/>
    <x v="2"/>
    <n v="89"/>
    <x v="26"/>
    <s v="M"/>
    <s v="Gray"/>
    <x v="1"/>
    <n v="3.3"/>
    <s v="Yes"/>
    <s v="PayPal"/>
    <s v="Free Shipping"/>
    <s v="Yes"/>
    <s v="Yes"/>
    <n v="45"/>
    <x v="0"/>
    <s v="Bi-Weekly"/>
    <n v="1"/>
    <x v="2"/>
  </r>
  <r>
    <n v="671"/>
    <n v="63"/>
    <s v="Male"/>
    <s v="Sweater"/>
    <x v="0"/>
    <n v="41"/>
    <x v="7"/>
    <s v="XL"/>
    <s v="Purple"/>
    <x v="1"/>
    <n v="4.8"/>
    <s v="Yes"/>
    <s v="Credit Card"/>
    <s v="Next Day Air"/>
    <s v="Yes"/>
    <s v="Yes"/>
    <n v="37"/>
    <x v="1"/>
    <s v="Bi-Weekly"/>
    <n v="1"/>
    <x v="0"/>
  </r>
  <r>
    <n v="672"/>
    <n v="38"/>
    <s v="Male"/>
    <s v="Jacket"/>
    <x v="2"/>
    <n v="30"/>
    <x v="44"/>
    <s v="L"/>
    <s v="Black"/>
    <x v="0"/>
    <n v="4.7"/>
    <s v="Yes"/>
    <s v="PayPal"/>
    <s v="Express"/>
    <s v="Yes"/>
    <s v="Yes"/>
    <n v="45"/>
    <x v="1"/>
    <s v="Weekly"/>
    <n v="1"/>
    <x v="2"/>
  </r>
  <r>
    <n v="673"/>
    <n v="59"/>
    <s v="Male"/>
    <s v="Socks"/>
    <x v="0"/>
    <n v="53"/>
    <x v="47"/>
    <s v="M"/>
    <s v="Peach"/>
    <x v="0"/>
    <n v="3.3"/>
    <s v="Yes"/>
    <s v="Cash"/>
    <s v="2-Day Shipping"/>
    <s v="Yes"/>
    <s v="Yes"/>
    <n v="29"/>
    <x v="1"/>
    <s v="Quarterly"/>
    <n v="1"/>
    <x v="0"/>
  </r>
  <r>
    <n v="674"/>
    <n v="35"/>
    <s v="Male"/>
    <s v="Shirt"/>
    <x v="0"/>
    <n v="66"/>
    <x v="19"/>
    <s v="M"/>
    <s v="Indigo"/>
    <x v="1"/>
    <n v="4.2"/>
    <s v="Yes"/>
    <s v="Cash"/>
    <s v="Free Shipping"/>
    <s v="Yes"/>
    <s v="Yes"/>
    <n v="27"/>
    <x v="0"/>
    <s v="Bi-Weekly"/>
    <n v="1"/>
    <x v="3"/>
  </r>
  <r>
    <n v="675"/>
    <n v="48"/>
    <s v="Male"/>
    <s v="Jewelry"/>
    <x v="3"/>
    <n v="33"/>
    <x v="47"/>
    <s v="XL"/>
    <s v="Beige"/>
    <x v="0"/>
    <n v="4.7"/>
    <s v="Yes"/>
    <s v="Venmo"/>
    <s v="Store Pickup"/>
    <s v="Yes"/>
    <s v="Yes"/>
    <n v="36"/>
    <x v="4"/>
    <s v="Annually"/>
    <n v="1"/>
    <x v="0"/>
  </r>
  <r>
    <n v="676"/>
    <n v="64"/>
    <s v="Male"/>
    <s v="Sunglasses"/>
    <x v="3"/>
    <n v="86"/>
    <x v="10"/>
    <s v="M"/>
    <s v="Yellow"/>
    <x v="1"/>
    <n v="2.6"/>
    <s v="Yes"/>
    <s v="Credit Card"/>
    <s v="2-Day Shipping"/>
    <s v="Yes"/>
    <s v="Yes"/>
    <n v="9"/>
    <x v="1"/>
    <s v="Annually"/>
    <n v="1"/>
    <x v="0"/>
  </r>
  <r>
    <n v="677"/>
    <n v="28"/>
    <s v="Male"/>
    <s v="Pants"/>
    <x v="0"/>
    <n v="60"/>
    <x v="39"/>
    <s v="M"/>
    <s v="Peach"/>
    <x v="0"/>
    <n v="2.9"/>
    <s v="Yes"/>
    <s v="Debit Card"/>
    <s v="2-Day Shipping"/>
    <s v="Yes"/>
    <s v="Yes"/>
    <n v="38"/>
    <x v="0"/>
    <s v="Bi-Weekly"/>
    <n v="1"/>
    <x v="3"/>
  </r>
  <r>
    <n v="678"/>
    <n v="60"/>
    <s v="Male"/>
    <s v="Socks"/>
    <x v="0"/>
    <n v="62"/>
    <x v="47"/>
    <s v="S"/>
    <s v="Turquoise"/>
    <x v="2"/>
    <n v="2.7"/>
    <s v="Yes"/>
    <s v="PayPal"/>
    <s v="Express"/>
    <s v="Yes"/>
    <s v="Yes"/>
    <n v="41"/>
    <x v="3"/>
    <s v="Annually"/>
    <n v="1"/>
    <x v="0"/>
  </r>
  <r>
    <n v="679"/>
    <n v="27"/>
    <s v="Male"/>
    <s v="Blouse"/>
    <x v="0"/>
    <n v="74"/>
    <x v="1"/>
    <s v="M"/>
    <s v="Teal"/>
    <x v="3"/>
    <n v="3.3"/>
    <s v="Yes"/>
    <s v="Credit Card"/>
    <s v="Store Pickup"/>
    <s v="Yes"/>
    <s v="Yes"/>
    <n v="25"/>
    <x v="5"/>
    <s v="Every 3 Months"/>
    <n v="1"/>
    <x v="3"/>
  </r>
  <r>
    <n v="680"/>
    <n v="56"/>
    <s v="Male"/>
    <s v="Sandals"/>
    <x v="1"/>
    <n v="95"/>
    <x v="49"/>
    <s v="M"/>
    <s v="Turquoise"/>
    <x v="3"/>
    <n v="3.4"/>
    <s v="Yes"/>
    <s v="PayPal"/>
    <s v="Express"/>
    <s v="Yes"/>
    <s v="Yes"/>
    <n v="37"/>
    <x v="0"/>
    <s v="Fortnightly"/>
    <n v="1"/>
    <x v="0"/>
  </r>
  <r>
    <n v="681"/>
    <n v="58"/>
    <s v="Male"/>
    <s v="Sneakers"/>
    <x v="1"/>
    <n v="25"/>
    <x v="30"/>
    <s v="M"/>
    <s v="Magenta"/>
    <x v="1"/>
    <n v="4.2"/>
    <s v="Yes"/>
    <s v="Venmo"/>
    <s v="Express"/>
    <s v="Yes"/>
    <s v="Yes"/>
    <n v="3"/>
    <x v="3"/>
    <s v="Annually"/>
    <n v="1"/>
    <x v="0"/>
  </r>
  <r>
    <n v="682"/>
    <n v="30"/>
    <s v="Male"/>
    <s v="Shirt"/>
    <x v="0"/>
    <n v="59"/>
    <x v="7"/>
    <s v="XL"/>
    <s v="Purple"/>
    <x v="0"/>
    <n v="3.8"/>
    <s v="Yes"/>
    <s v="PayPal"/>
    <s v="2-Day Shipping"/>
    <s v="Yes"/>
    <s v="Yes"/>
    <n v="24"/>
    <x v="2"/>
    <s v="Every 3 Months"/>
    <n v="1"/>
    <x v="3"/>
  </r>
  <r>
    <n v="683"/>
    <n v="23"/>
    <s v="Male"/>
    <s v="Jacket"/>
    <x v="2"/>
    <n v="29"/>
    <x v="9"/>
    <s v="M"/>
    <s v="Brown"/>
    <x v="2"/>
    <n v="4"/>
    <s v="Yes"/>
    <s v="Debit Card"/>
    <s v="Standard"/>
    <s v="Yes"/>
    <s v="Yes"/>
    <n v="49"/>
    <x v="2"/>
    <s v="Bi-Weekly"/>
    <n v="1"/>
    <x v="1"/>
  </r>
  <r>
    <n v="684"/>
    <n v="33"/>
    <s v="Male"/>
    <s v="Sandals"/>
    <x v="1"/>
    <n v="36"/>
    <x v="49"/>
    <s v="S"/>
    <s v="Violet"/>
    <x v="0"/>
    <n v="2.7"/>
    <s v="Yes"/>
    <s v="Venmo"/>
    <s v="Free Shipping"/>
    <s v="Yes"/>
    <s v="Yes"/>
    <n v="3"/>
    <x v="4"/>
    <s v="Monthly"/>
    <n v="1"/>
    <x v="3"/>
  </r>
  <r>
    <n v="685"/>
    <n v="63"/>
    <s v="Male"/>
    <s v="Hat"/>
    <x v="3"/>
    <n v="82"/>
    <x v="15"/>
    <s v="M"/>
    <s v="Yellow"/>
    <x v="2"/>
    <n v="4.7"/>
    <s v="Yes"/>
    <s v="Bank Transfer"/>
    <s v="Express"/>
    <s v="Yes"/>
    <s v="Yes"/>
    <n v="42"/>
    <x v="5"/>
    <s v="Monthly"/>
    <n v="1"/>
    <x v="0"/>
  </r>
  <r>
    <n v="686"/>
    <n v="70"/>
    <s v="Male"/>
    <s v="Blouse"/>
    <x v="0"/>
    <n v="71"/>
    <x v="2"/>
    <s v="XL"/>
    <s v="Magenta"/>
    <x v="0"/>
    <n v="3.5"/>
    <s v="Yes"/>
    <s v="Credit Card"/>
    <s v="Standard"/>
    <s v="Yes"/>
    <s v="Yes"/>
    <n v="32"/>
    <x v="1"/>
    <s v="Fortnightly"/>
    <n v="1"/>
    <x v="0"/>
  </r>
  <r>
    <n v="687"/>
    <n v="70"/>
    <s v="Male"/>
    <s v="Sweater"/>
    <x v="0"/>
    <n v="35"/>
    <x v="27"/>
    <s v="L"/>
    <s v="Beige"/>
    <x v="3"/>
    <n v="3"/>
    <s v="Yes"/>
    <s v="PayPal"/>
    <s v="2-Day Shipping"/>
    <s v="Yes"/>
    <s v="Yes"/>
    <n v="33"/>
    <x v="0"/>
    <s v="Fortnightly"/>
    <n v="1"/>
    <x v="0"/>
  </r>
  <r>
    <n v="688"/>
    <n v="19"/>
    <s v="Male"/>
    <s v="Gloves"/>
    <x v="3"/>
    <n v="38"/>
    <x v="8"/>
    <s v="XL"/>
    <s v="Turquoise"/>
    <x v="0"/>
    <n v="3.3"/>
    <s v="Yes"/>
    <s v="Cash"/>
    <s v="Free Shipping"/>
    <s v="Yes"/>
    <s v="Yes"/>
    <n v="46"/>
    <x v="4"/>
    <s v="Quarterly"/>
    <n v="1"/>
    <x v="1"/>
  </r>
  <r>
    <n v="689"/>
    <n v="25"/>
    <s v="Male"/>
    <s v="Scarf"/>
    <x v="3"/>
    <n v="59"/>
    <x v="49"/>
    <s v="S"/>
    <s v="Peach"/>
    <x v="2"/>
    <n v="4.7"/>
    <s v="Yes"/>
    <s v="Cash"/>
    <s v="Store Pickup"/>
    <s v="Yes"/>
    <s v="Yes"/>
    <n v="44"/>
    <x v="0"/>
    <s v="Monthly"/>
    <n v="1"/>
    <x v="1"/>
  </r>
  <r>
    <n v="690"/>
    <n v="19"/>
    <s v="Male"/>
    <s v="Hoodie"/>
    <x v="0"/>
    <n v="91"/>
    <x v="38"/>
    <s v="M"/>
    <s v="Orange"/>
    <x v="2"/>
    <n v="4.7"/>
    <s v="Yes"/>
    <s v="Cash"/>
    <s v="Express"/>
    <s v="Yes"/>
    <s v="Yes"/>
    <n v="35"/>
    <x v="2"/>
    <s v="Every 3 Months"/>
    <n v="1"/>
    <x v="1"/>
  </r>
  <r>
    <n v="691"/>
    <n v="25"/>
    <s v="Male"/>
    <s v="Shorts"/>
    <x v="0"/>
    <n v="68"/>
    <x v="29"/>
    <s v="XL"/>
    <s v="Red"/>
    <x v="1"/>
    <n v="4.8"/>
    <s v="Yes"/>
    <s v="Bank Transfer"/>
    <s v="Standard"/>
    <s v="Yes"/>
    <s v="Yes"/>
    <n v="45"/>
    <x v="4"/>
    <s v="Weekly"/>
    <n v="1"/>
    <x v="1"/>
  </r>
  <r>
    <n v="692"/>
    <n v="60"/>
    <s v="Male"/>
    <s v="Backpack"/>
    <x v="3"/>
    <n v="21"/>
    <x v="2"/>
    <s v="L"/>
    <s v="Silver"/>
    <x v="2"/>
    <n v="2.9"/>
    <s v="Yes"/>
    <s v="Credit Card"/>
    <s v="Standard"/>
    <s v="Yes"/>
    <s v="Yes"/>
    <n v="37"/>
    <x v="3"/>
    <s v="Bi-Weekly"/>
    <n v="1"/>
    <x v="0"/>
  </r>
  <r>
    <n v="693"/>
    <n v="35"/>
    <s v="Male"/>
    <s v="Sunglasses"/>
    <x v="3"/>
    <n v="95"/>
    <x v="25"/>
    <s v="M"/>
    <s v="Cyan"/>
    <x v="1"/>
    <n v="4"/>
    <s v="Yes"/>
    <s v="Venmo"/>
    <s v="2-Day Shipping"/>
    <s v="Yes"/>
    <s v="Yes"/>
    <n v="40"/>
    <x v="5"/>
    <s v="Every 3 Months"/>
    <n v="1"/>
    <x v="3"/>
  </r>
  <r>
    <n v="694"/>
    <n v="46"/>
    <s v="Male"/>
    <s v="Shorts"/>
    <x v="0"/>
    <n v="52"/>
    <x v="34"/>
    <s v="L"/>
    <s v="Turquoise"/>
    <x v="1"/>
    <n v="3.1"/>
    <s v="Yes"/>
    <s v="Credit Card"/>
    <s v="Free Shipping"/>
    <s v="Yes"/>
    <s v="Yes"/>
    <n v="30"/>
    <x v="1"/>
    <s v="Every 3 Months"/>
    <n v="1"/>
    <x v="0"/>
  </r>
  <r>
    <n v="695"/>
    <n v="41"/>
    <s v="Male"/>
    <s v="Dress"/>
    <x v="0"/>
    <n v="21"/>
    <x v="0"/>
    <s v="S"/>
    <s v="Charcoal"/>
    <x v="3"/>
    <n v="3.5"/>
    <s v="Yes"/>
    <s v="Venmo"/>
    <s v="2-Day Shipping"/>
    <s v="Yes"/>
    <s v="Yes"/>
    <n v="38"/>
    <x v="0"/>
    <s v="Every 3 Months"/>
    <n v="1"/>
    <x v="2"/>
  </r>
  <r>
    <n v="696"/>
    <n v="30"/>
    <s v="Male"/>
    <s v="Shorts"/>
    <x v="0"/>
    <n v="67"/>
    <x v="22"/>
    <s v="XL"/>
    <s v="Peach"/>
    <x v="2"/>
    <n v="3.7"/>
    <s v="Yes"/>
    <s v="Bank Transfer"/>
    <s v="Next Day Air"/>
    <s v="Yes"/>
    <s v="Yes"/>
    <n v="15"/>
    <x v="5"/>
    <s v="Every 3 Months"/>
    <n v="1"/>
    <x v="3"/>
  </r>
  <r>
    <n v="697"/>
    <n v="44"/>
    <s v="Male"/>
    <s v="Belt"/>
    <x v="3"/>
    <n v="42"/>
    <x v="40"/>
    <s v="L"/>
    <s v="Green"/>
    <x v="3"/>
    <n v="2.8"/>
    <s v="Yes"/>
    <s v="Bank Transfer"/>
    <s v="Standard"/>
    <s v="Yes"/>
    <s v="Yes"/>
    <n v="49"/>
    <x v="1"/>
    <s v="Monthly"/>
    <n v="1"/>
    <x v="2"/>
  </r>
  <r>
    <n v="698"/>
    <n v="61"/>
    <s v="Male"/>
    <s v="Scarf"/>
    <x v="3"/>
    <n v="63"/>
    <x v="25"/>
    <s v="XL"/>
    <s v="Brown"/>
    <x v="2"/>
    <n v="4.5999999999999996"/>
    <s v="Yes"/>
    <s v="Bank Transfer"/>
    <s v="Free Shipping"/>
    <s v="Yes"/>
    <s v="Yes"/>
    <n v="40"/>
    <x v="5"/>
    <s v="Quarterly"/>
    <n v="1"/>
    <x v="0"/>
  </r>
  <r>
    <n v="699"/>
    <n v="55"/>
    <s v="Male"/>
    <s v="Boots"/>
    <x v="1"/>
    <n v="41"/>
    <x v="44"/>
    <s v="M"/>
    <s v="Yellow"/>
    <x v="0"/>
    <n v="3.8"/>
    <s v="Yes"/>
    <s v="PayPal"/>
    <s v="Standard"/>
    <s v="Yes"/>
    <s v="Yes"/>
    <n v="40"/>
    <x v="5"/>
    <s v="Weekly"/>
    <n v="1"/>
    <x v="0"/>
  </r>
  <r>
    <n v="700"/>
    <n v="50"/>
    <s v="Male"/>
    <s v="Handbag"/>
    <x v="3"/>
    <n v="46"/>
    <x v="39"/>
    <s v="M"/>
    <s v="Charcoal"/>
    <x v="3"/>
    <n v="2.6"/>
    <s v="Yes"/>
    <s v="Bank Transfer"/>
    <s v="2-Day Shipping"/>
    <s v="Yes"/>
    <s v="Yes"/>
    <n v="5"/>
    <x v="3"/>
    <s v="Weekly"/>
    <n v="1"/>
    <x v="0"/>
  </r>
  <r>
    <n v="701"/>
    <n v="57"/>
    <s v="Male"/>
    <s v="Pants"/>
    <x v="0"/>
    <n v="79"/>
    <x v="48"/>
    <s v="L"/>
    <s v="Olive"/>
    <x v="0"/>
    <n v="4.0999999999999996"/>
    <s v="Yes"/>
    <s v="Venmo"/>
    <s v="Standard"/>
    <s v="Yes"/>
    <s v="Yes"/>
    <n v="5"/>
    <x v="3"/>
    <s v="Monthly"/>
    <n v="1"/>
    <x v="0"/>
  </r>
  <r>
    <n v="702"/>
    <n v="51"/>
    <s v="Male"/>
    <s v="Boots"/>
    <x v="1"/>
    <n v="90"/>
    <x v="37"/>
    <s v="L"/>
    <s v="Red"/>
    <x v="3"/>
    <n v="3.3"/>
    <s v="Yes"/>
    <s v="Cash"/>
    <s v="Next Day Air"/>
    <s v="Yes"/>
    <s v="Yes"/>
    <n v="5"/>
    <x v="5"/>
    <s v="Every 3 Months"/>
    <n v="1"/>
    <x v="0"/>
  </r>
  <r>
    <n v="703"/>
    <n v="18"/>
    <s v="Male"/>
    <s v="Shirt"/>
    <x v="0"/>
    <n v="71"/>
    <x v="6"/>
    <s v="M"/>
    <s v="White"/>
    <x v="0"/>
    <n v="3.4"/>
    <s v="Yes"/>
    <s v="Bank Transfer"/>
    <s v="Store Pickup"/>
    <s v="Yes"/>
    <s v="Yes"/>
    <n v="1"/>
    <x v="1"/>
    <s v="Weekly"/>
    <n v="1"/>
    <x v="1"/>
  </r>
  <r>
    <n v="704"/>
    <n v="63"/>
    <s v="Male"/>
    <s v="Dress"/>
    <x v="0"/>
    <n v="87"/>
    <x v="39"/>
    <s v="L"/>
    <s v="Pink"/>
    <x v="2"/>
    <n v="3"/>
    <s v="Yes"/>
    <s v="Debit Card"/>
    <s v="Standard"/>
    <s v="Yes"/>
    <s v="Yes"/>
    <n v="21"/>
    <x v="0"/>
    <s v="Weekly"/>
    <n v="1"/>
    <x v="0"/>
  </r>
  <r>
    <n v="705"/>
    <n v="34"/>
    <s v="Male"/>
    <s v="Hoodie"/>
    <x v="0"/>
    <n v="66"/>
    <x v="37"/>
    <s v="S"/>
    <s v="Black"/>
    <x v="1"/>
    <n v="3.2"/>
    <s v="Yes"/>
    <s v="Venmo"/>
    <s v="Express"/>
    <s v="Yes"/>
    <s v="Yes"/>
    <n v="18"/>
    <x v="3"/>
    <s v="Annually"/>
    <n v="1"/>
    <x v="3"/>
  </r>
  <r>
    <n v="706"/>
    <n v="25"/>
    <s v="Male"/>
    <s v="Pants"/>
    <x v="0"/>
    <n v="90"/>
    <x v="10"/>
    <s v="XL"/>
    <s v="Indigo"/>
    <x v="2"/>
    <n v="4.5"/>
    <s v="Yes"/>
    <s v="PayPal"/>
    <s v="Free Shipping"/>
    <s v="Yes"/>
    <s v="Yes"/>
    <n v="49"/>
    <x v="1"/>
    <s v="Quarterly"/>
    <n v="1"/>
    <x v="1"/>
  </r>
  <r>
    <n v="707"/>
    <n v="46"/>
    <s v="Male"/>
    <s v="Jeans"/>
    <x v="0"/>
    <n v="47"/>
    <x v="44"/>
    <s v="L"/>
    <s v="Turquoise"/>
    <x v="2"/>
    <n v="4.8"/>
    <s v="Yes"/>
    <s v="Venmo"/>
    <s v="Express"/>
    <s v="Yes"/>
    <s v="Yes"/>
    <n v="27"/>
    <x v="5"/>
    <s v="Weekly"/>
    <n v="1"/>
    <x v="0"/>
  </r>
  <r>
    <n v="708"/>
    <n v="59"/>
    <s v="Male"/>
    <s v="Shirt"/>
    <x v="0"/>
    <n v="38"/>
    <x v="7"/>
    <s v="L"/>
    <s v="Purple"/>
    <x v="1"/>
    <n v="3.7"/>
    <s v="Yes"/>
    <s v="Debit Card"/>
    <s v="Next Day Air"/>
    <s v="Yes"/>
    <s v="Yes"/>
    <n v="21"/>
    <x v="0"/>
    <s v="Annually"/>
    <n v="1"/>
    <x v="0"/>
  </r>
  <r>
    <n v="709"/>
    <n v="37"/>
    <s v="Male"/>
    <s v="Backpack"/>
    <x v="3"/>
    <n v="50"/>
    <x v="0"/>
    <s v="L"/>
    <s v="Beige"/>
    <x v="2"/>
    <n v="3.4"/>
    <s v="Yes"/>
    <s v="Cash"/>
    <s v="Store Pickup"/>
    <s v="Yes"/>
    <s v="Yes"/>
    <n v="19"/>
    <x v="1"/>
    <s v="Fortnightly"/>
    <n v="1"/>
    <x v="2"/>
  </r>
  <r>
    <n v="710"/>
    <n v="49"/>
    <s v="Male"/>
    <s v="Jacket"/>
    <x v="2"/>
    <n v="79"/>
    <x v="2"/>
    <s v="L"/>
    <s v="Charcoal"/>
    <x v="2"/>
    <n v="4.5999999999999996"/>
    <s v="Yes"/>
    <s v="Debit Card"/>
    <s v="Standard"/>
    <s v="Yes"/>
    <s v="Yes"/>
    <n v="23"/>
    <x v="5"/>
    <s v="Monthly"/>
    <n v="1"/>
    <x v="0"/>
  </r>
  <r>
    <n v="711"/>
    <n v="22"/>
    <s v="Male"/>
    <s v="Scarf"/>
    <x v="3"/>
    <n v="91"/>
    <x v="41"/>
    <s v="L"/>
    <s v="Turquoise"/>
    <x v="1"/>
    <n v="4.0999999999999996"/>
    <s v="Yes"/>
    <s v="Bank Transfer"/>
    <s v="Standard"/>
    <s v="Yes"/>
    <s v="Yes"/>
    <n v="26"/>
    <x v="3"/>
    <s v="Fortnightly"/>
    <n v="1"/>
    <x v="1"/>
  </r>
  <r>
    <n v="712"/>
    <n v="64"/>
    <s v="Male"/>
    <s v="Boots"/>
    <x v="1"/>
    <n v="60"/>
    <x v="13"/>
    <s v="M"/>
    <s v="Maroon"/>
    <x v="1"/>
    <n v="3.5"/>
    <s v="Yes"/>
    <s v="PayPal"/>
    <s v="2-Day Shipping"/>
    <s v="Yes"/>
    <s v="Yes"/>
    <n v="13"/>
    <x v="4"/>
    <s v="Bi-Weekly"/>
    <n v="1"/>
    <x v="0"/>
  </r>
  <r>
    <n v="713"/>
    <n v="42"/>
    <s v="Male"/>
    <s v="Blouse"/>
    <x v="0"/>
    <n v="81"/>
    <x v="13"/>
    <s v="XL"/>
    <s v="Black"/>
    <x v="2"/>
    <n v="3.8"/>
    <s v="Yes"/>
    <s v="Credit Card"/>
    <s v="Next Day Air"/>
    <s v="Yes"/>
    <s v="Yes"/>
    <n v="36"/>
    <x v="4"/>
    <s v="Quarterly"/>
    <n v="1"/>
    <x v="2"/>
  </r>
  <r>
    <n v="714"/>
    <n v="37"/>
    <s v="Male"/>
    <s v="Hoodie"/>
    <x v="0"/>
    <n v="90"/>
    <x v="4"/>
    <s v="M"/>
    <s v="Lavender"/>
    <x v="2"/>
    <n v="2.6"/>
    <s v="Yes"/>
    <s v="Bank Transfer"/>
    <s v="Express"/>
    <s v="Yes"/>
    <s v="Yes"/>
    <n v="39"/>
    <x v="4"/>
    <s v="Bi-Weekly"/>
    <n v="1"/>
    <x v="2"/>
  </r>
  <r>
    <n v="715"/>
    <n v="26"/>
    <s v="Male"/>
    <s v="Jacket"/>
    <x v="2"/>
    <n v="70"/>
    <x v="45"/>
    <s v="M"/>
    <s v="Magenta"/>
    <x v="3"/>
    <n v="4.4000000000000004"/>
    <s v="Yes"/>
    <s v="Venmo"/>
    <s v="Store Pickup"/>
    <s v="Yes"/>
    <s v="Yes"/>
    <n v="40"/>
    <x v="5"/>
    <s v="Fortnightly"/>
    <n v="1"/>
    <x v="3"/>
  </r>
  <r>
    <n v="716"/>
    <n v="33"/>
    <s v="Male"/>
    <s v="Jeans"/>
    <x v="0"/>
    <n v="63"/>
    <x v="12"/>
    <s v="L"/>
    <s v="Green"/>
    <x v="1"/>
    <n v="2.6"/>
    <s v="Yes"/>
    <s v="Venmo"/>
    <s v="Express"/>
    <s v="Yes"/>
    <s v="Yes"/>
    <n v="37"/>
    <x v="5"/>
    <s v="Quarterly"/>
    <n v="1"/>
    <x v="3"/>
  </r>
  <r>
    <n v="717"/>
    <n v="30"/>
    <s v="Male"/>
    <s v="Jewelry"/>
    <x v="3"/>
    <n v="29"/>
    <x v="9"/>
    <s v="M"/>
    <s v="Olive"/>
    <x v="1"/>
    <n v="3.6"/>
    <s v="Yes"/>
    <s v="PayPal"/>
    <s v="Express"/>
    <s v="Yes"/>
    <s v="Yes"/>
    <n v="9"/>
    <x v="0"/>
    <s v="Bi-Weekly"/>
    <n v="1"/>
    <x v="3"/>
  </r>
  <r>
    <n v="718"/>
    <n v="21"/>
    <s v="Male"/>
    <s v="Socks"/>
    <x v="0"/>
    <n v="90"/>
    <x v="29"/>
    <s v="L"/>
    <s v="Green"/>
    <x v="1"/>
    <n v="4.2"/>
    <s v="Yes"/>
    <s v="Debit Card"/>
    <s v="Express"/>
    <s v="Yes"/>
    <s v="Yes"/>
    <n v="7"/>
    <x v="0"/>
    <s v="Every 3 Months"/>
    <n v="1"/>
    <x v="1"/>
  </r>
  <r>
    <n v="719"/>
    <n v="22"/>
    <s v="Male"/>
    <s v="Shirt"/>
    <x v="0"/>
    <n v="22"/>
    <x v="20"/>
    <s v="M"/>
    <s v="Peach"/>
    <x v="2"/>
    <n v="4.5999999999999996"/>
    <s v="Yes"/>
    <s v="Bank Transfer"/>
    <s v="Standard"/>
    <s v="Yes"/>
    <s v="Yes"/>
    <n v="25"/>
    <x v="4"/>
    <s v="Annually"/>
    <n v="1"/>
    <x v="1"/>
  </r>
  <r>
    <n v="720"/>
    <n v="63"/>
    <s v="Male"/>
    <s v="Shorts"/>
    <x v="0"/>
    <n v="22"/>
    <x v="16"/>
    <s v="L"/>
    <s v="Turquoise"/>
    <x v="2"/>
    <n v="3.3"/>
    <s v="Yes"/>
    <s v="Venmo"/>
    <s v="Next Day Air"/>
    <s v="Yes"/>
    <s v="Yes"/>
    <n v="42"/>
    <x v="0"/>
    <s v="Bi-Weekly"/>
    <n v="1"/>
    <x v="0"/>
  </r>
  <r>
    <n v="721"/>
    <n v="33"/>
    <s v="Male"/>
    <s v="Jewelry"/>
    <x v="3"/>
    <n v="62"/>
    <x v="35"/>
    <s v="L"/>
    <s v="Orange"/>
    <x v="3"/>
    <n v="3.4"/>
    <s v="Yes"/>
    <s v="Bank Transfer"/>
    <s v="Free Shipping"/>
    <s v="Yes"/>
    <s v="Yes"/>
    <n v="19"/>
    <x v="5"/>
    <s v="Weekly"/>
    <n v="1"/>
    <x v="3"/>
  </r>
  <r>
    <n v="722"/>
    <n v="43"/>
    <s v="Male"/>
    <s v="Blouse"/>
    <x v="0"/>
    <n v="57"/>
    <x v="18"/>
    <s v="L"/>
    <s v="Silver"/>
    <x v="2"/>
    <n v="4.4000000000000004"/>
    <s v="Yes"/>
    <s v="Debit Card"/>
    <s v="Next Day Air"/>
    <s v="Yes"/>
    <s v="Yes"/>
    <n v="41"/>
    <x v="5"/>
    <s v="Every 3 Months"/>
    <n v="1"/>
    <x v="2"/>
  </r>
  <r>
    <n v="723"/>
    <n v="27"/>
    <s v="Male"/>
    <s v="Sweater"/>
    <x v="0"/>
    <n v="32"/>
    <x v="5"/>
    <s v="S"/>
    <s v="Blue"/>
    <x v="2"/>
    <n v="4.3"/>
    <s v="Yes"/>
    <s v="PayPal"/>
    <s v="Store Pickup"/>
    <s v="Yes"/>
    <s v="Yes"/>
    <n v="50"/>
    <x v="1"/>
    <s v="Bi-Weekly"/>
    <n v="1"/>
    <x v="3"/>
  </r>
  <r>
    <n v="724"/>
    <n v="35"/>
    <s v="Male"/>
    <s v="Jewelry"/>
    <x v="3"/>
    <n v="53"/>
    <x v="9"/>
    <s v="L"/>
    <s v="Cyan"/>
    <x v="3"/>
    <n v="3.5"/>
    <s v="Yes"/>
    <s v="Cash"/>
    <s v="Express"/>
    <s v="Yes"/>
    <s v="Yes"/>
    <n v="43"/>
    <x v="3"/>
    <s v="Monthly"/>
    <n v="1"/>
    <x v="3"/>
  </r>
  <r>
    <n v="725"/>
    <n v="37"/>
    <s v="Male"/>
    <s v="T-shirt"/>
    <x v="0"/>
    <n v="79"/>
    <x v="13"/>
    <s v="XL"/>
    <s v="Green"/>
    <x v="3"/>
    <n v="4.7"/>
    <s v="Yes"/>
    <s v="Cash"/>
    <s v="Store Pickup"/>
    <s v="Yes"/>
    <s v="Yes"/>
    <n v="36"/>
    <x v="0"/>
    <s v="Every 3 Months"/>
    <n v="1"/>
    <x v="2"/>
  </r>
  <r>
    <n v="726"/>
    <n v="61"/>
    <s v="Male"/>
    <s v="Hat"/>
    <x v="3"/>
    <n v="61"/>
    <x v="21"/>
    <s v="L"/>
    <s v="Silver"/>
    <x v="0"/>
    <n v="3.1"/>
    <s v="Yes"/>
    <s v="Cash"/>
    <s v="Standard"/>
    <s v="Yes"/>
    <s v="Yes"/>
    <n v="33"/>
    <x v="5"/>
    <s v="Fortnightly"/>
    <n v="1"/>
    <x v="0"/>
  </r>
  <r>
    <n v="727"/>
    <n v="32"/>
    <s v="Male"/>
    <s v="Shorts"/>
    <x v="0"/>
    <n v="78"/>
    <x v="25"/>
    <s v="L"/>
    <s v="Yellow"/>
    <x v="2"/>
    <n v="3.6"/>
    <s v="Yes"/>
    <s v="PayPal"/>
    <s v="Next Day Air"/>
    <s v="Yes"/>
    <s v="Yes"/>
    <n v="20"/>
    <x v="4"/>
    <s v="Every 3 Months"/>
    <n v="1"/>
    <x v="3"/>
  </r>
  <r>
    <n v="728"/>
    <n v="62"/>
    <s v="Male"/>
    <s v="Sweater"/>
    <x v="0"/>
    <n v="97"/>
    <x v="10"/>
    <s v="S"/>
    <s v="Gray"/>
    <x v="0"/>
    <n v="4.8"/>
    <s v="Yes"/>
    <s v="Credit Card"/>
    <s v="Next Day Air"/>
    <s v="Yes"/>
    <s v="Yes"/>
    <n v="37"/>
    <x v="0"/>
    <s v="Every 3 Months"/>
    <n v="1"/>
    <x v="0"/>
  </r>
  <r>
    <n v="729"/>
    <n v="29"/>
    <s v="Male"/>
    <s v="Jeans"/>
    <x v="0"/>
    <n v="78"/>
    <x v="43"/>
    <s v="M"/>
    <s v="Pink"/>
    <x v="0"/>
    <n v="3.7"/>
    <s v="Yes"/>
    <s v="Debit Card"/>
    <s v="Next Day Air"/>
    <s v="Yes"/>
    <s v="Yes"/>
    <n v="12"/>
    <x v="3"/>
    <s v="Every 3 Months"/>
    <n v="1"/>
    <x v="3"/>
  </r>
  <r>
    <n v="730"/>
    <n v="41"/>
    <s v="Male"/>
    <s v="Sunglasses"/>
    <x v="3"/>
    <n v="56"/>
    <x v="46"/>
    <s v="L"/>
    <s v="Beige"/>
    <x v="2"/>
    <n v="3.2"/>
    <s v="Yes"/>
    <s v="Venmo"/>
    <s v="Express"/>
    <s v="Yes"/>
    <s v="Yes"/>
    <n v="46"/>
    <x v="3"/>
    <s v="Every 3 Months"/>
    <n v="1"/>
    <x v="2"/>
  </r>
  <r>
    <n v="731"/>
    <n v="48"/>
    <s v="Male"/>
    <s v="Boots"/>
    <x v="1"/>
    <n v="25"/>
    <x v="2"/>
    <s v="M"/>
    <s v="Indigo"/>
    <x v="2"/>
    <n v="3.9"/>
    <s v="Yes"/>
    <s v="Venmo"/>
    <s v="Standard"/>
    <s v="Yes"/>
    <s v="Yes"/>
    <n v="28"/>
    <x v="0"/>
    <s v="Fortnightly"/>
    <n v="1"/>
    <x v="0"/>
  </r>
  <r>
    <n v="732"/>
    <n v="43"/>
    <s v="Male"/>
    <s v="Coat"/>
    <x v="2"/>
    <n v="28"/>
    <x v="10"/>
    <s v="M"/>
    <s v="Red"/>
    <x v="1"/>
    <n v="3.5"/>
    <s v="Yes"/>
    <s v="Credit Card"/>
    <s v="Free Shipping"/>
    <s v="Yes"/>
    <s v="Yes"/>
    <n v="30"/>
    <x v="3"/>
    <s v="Fortnightly"/>
    <n v="1"/>
    <x v="2"/>
  </r>
  <r>
    <n v="733"/>
    <n v="34"/>
    <s v="Male"/>
    <s v="Shirt"/>
    <x v="0"/>
    <n v="57"/>
    <x v="13"/>
    <s v="L"/>
    <s v="Blue"/>
    <x v="1"/>
    <n v="2.8"/>
    <s v="Yes"/>
    <s v="Cash"/>
    <s v="Express"/>
    <s v="Yes"/>
    <s v="Yes"/>
    <n v="28"/>
    <x v="1"/>
    <s v="Bi-Weekly"/>
    <n v="1"/>
    <x v="3"/>
  </r>
  <r>
    <n v="734"/>
    <n v="45"/>
    <s v="Male"/>
    <s v="Dress"/>
    <x v="0"/>
    <n v="36"/>
    <x v="3"/>
    <s v="L"/>
    <s v="Cyan"/>
    <x v="3"/>
    <n v="2.7"/>
    <s v="Yes"/>
    <s v="Cash"/>
    <s v="2-Day Shipping"/>
    <s v="Yes"/>
    <s v="Yes"/>
    <n v="20"/>
    <x v="5"/>
    <s v="Bi-Weekly"/>
    <n v="1"/>
    <x v="2"/>
  </r>
  <r>
    <n v="735"/>
    <n v="65"/>
    <s v="Male"/>
    <s v="Shirt"/>
    <x v="0"/>
    <n v="69"/>
    <x v="32"/>
    <s v="S"/>
    <s v="Violet"/>
    <x v="0"/>
    <n v="3.1"/>
    <s v="Yes"/>
    <s v="Venmo"/>
    <s v="Express"/>
    <s v="Yes"/>
    <s v="Yes"/>
    <n v="39"/>
    <x v="4"/>
    <s v="Every 3 Months"/>
    <n v="1"/>
    <x v="0"/>
  </r>
  <r>
    <n v="736"/>
    <n v="61"/>
    <s v="Male"/>
    <s v="Sunglasses"/>
    <x v="3"/>
    <n v="48"/>
    <x v="6"/>
    <s v="M"/>
    <s v="Orange"/>
    <x v="3"/>
    <n v="3.6"/>
    <s v="Yes"/>
    <s v="Venmo"/>
    <s v="2-Day Shipping"/>
    <s v="Yes"/>
    <s v="Yes"/>
    <n v="48"/>
    <x v="1"/>
    <s v="Bi-Weekly"/>
    <n v="1"/>
    <x v="0"/>
  </r>
  <r>
    <n v="737"/>
    <n v="18"/>
    <s v="Male"/>
    <s v="Dress"/>
    <x v="0"/>
    <n v="58"/>
    <x v="24"/>
    <s v="L"/>
    <s v="Maroon"/>
    <x v="1"/>
    <n v="2.9"/>
    <s v="Yes"/>
    <s v="Debit Card"/>
    <s v="2-Day Shipping"/>
    <s v="Yes"/>
    <s v="Yes"/>
    <n v="32"/>
    <x v="2"/>
    <s v="Every 3 Months"/>
    <n v="1"/>
    <x v="1"/>
  </r>
  <r>
    <n v="738"/>
    <n v="47"/>
    <s v="Male"/>
    <s v="Sunglasses"/>
    <x v="3"/>
    <n v="24"/>
    <x v="43"/>
    <s v="M"/>
    <s v="Teal"/>
    <x v="1"/>
    <n v="3.6"/>
    <s v="Yes"/>
    <s v="PayPal"/>
    <s v="Store Pickup"/>
    <s v="Yes"/>
    <s v="Yes"/>
    <n v="28"/>
    <x v="3"/>
    <s v="Annually"/>
    <n v="1"/>
    <x v="0"/>
  </r>
  <r>
    <n v="739"/>
    <n v="56"/>
    <s v="Male"/>
    <s v="Sunglasses"/>
    <x v="3"/>
    <n v="31"/>
    <x v="46"/>
    <s v="L"/>
    <s v="Orange"/>
    <x v="0"/>
    <n v="3.5"/>
    <s v="Yes"/>
    <s v="Credit Card"/>
    <s v="2-Day Shipping"/>
    <s v="Yes"/>
    <s v="Yes"/>
    <n v="27"/>
    <x v="0"/>
    <s v="Quarterly"/>
    <n v="1"/>
    <x v="0"/>
  </r>
  <r>
    <n v="740"/>
    <n v="64"/>
    <s v="Male"/>
    <s v="Shorts"/>
    <x v="0"/>
    <n v="29"/>
    <x v="46"/>
    <s v="S"/>
    <s v="Purple"/>
    <x v="2"/>
    <n v="3.5"/>
    <s v="Yes"/>
    <s v="Cash"/>
    <s v="Free Shipping"/>
    <s v="Yes"/>
    <s v="Yes"/>
    <n v="26"/>
    <x v="0"/>
    <s v="Bi-Weekly"/>
    <n v="1"/>
    <x v="0"/>
  </r>
  <r>
    <n v="741"/>
    <n v="26"/>
    <s v="Male"/>
    <s v="Jeans"/>
    <x v="0"/>
    <n v="69"/>
    <x v="45"/>
    <s v="M"/>
    <s v="Orange"/>
    <x v="2"/>
    <n v="2.8"/>
    <s v="Yes"/>
    <s v="Bank Transfer"/>
    <s v="Next Day Air"/>
    <s v="Yes"/>
    <s v="Yes"/>
    <n v="22"/>
    <x v="2"/>
    <s v="Fortnightly"/>
    <n v="1"/>
    <x v="3"/>
  </r>
  <r>
    <n v="742"/>
    <n v="22"/>
    <s v="Male"/>
    <s v="T-shirt"/>
    <x v="0"/>
    <n v="79"/>
    <x v="8"/>
    <s v="XL"/>
    <s v="Yellow"/>
    <x v="2"/>
    <n v="4.7"/>
    <s v="Yes"/>
    <s v="Debit Card"/>
    <s v="Free Shipping"/>
    <s v="Yes"/>
    <s v="Yes"/>
    <n v="23"/>
    <x v="4"/>
    <s v="Every 3 Months"/>
    <n v="1"/>
    <x v="1"/>
  </r>
  <r>
    <n v="743"/>
    <n v="64"/>
    <s v="Male"/>
    <s v="Pants"/>
    <x v="0"/>
    <n v="39"/>
    <x v="22"/>
    <s v="M"/>
    <s v="Charcoal"/>
    <x v="2"/>
    <n v="3.1"/>
    <s v="Yes"/>
    <s v="Debit Card"/>
    <s v="Express"/>
    <s v="Yes"/>
    <s v="Yes"/>
    <n v="21"/>
    <x v="5"/>
    <s v="Quarterly"/>
    <n v="1"/>
    <x v="0"/>
  </r>
  <r>
    <n v="744"/>
    <n v="21"/>
    <s v="Male"/>
    <s v="Sunglasses"/>
    <x v="3"/>
    <n v="84"/>
    <x v="17"/>
    <s v="L"/>
    <s v="Gray"/>
    <x v="3"/>
    <n v="4.9000000000000004"/>
    <s v="Yes"/>
    <s v="PayPal"/>
    <s v="Free Shipping"/>
    <s v="Yes"/>
    <s v="Yes"/>
    <n v="36"/>
    <x v="1"/>
    <s v="Weekly"/>
    <n v="1"/>
    <x v="1"/>
  </r>
  <r>
    <n v="745"/>
    <n v="67"/>
    <s v="Male"/>
    <s v="Boots"/>
    <x v="1"/>
    <n v="66"/>
    <x v="26"/>
    <s v="S"/>
    <s v="Charcoal"/>
    <x v="1"/>
    <n v="4.0999999999999996"/>
    <s v="Yes"/>
    <s v="Debit Card"/>
    <s v="Next Day Air"/>
    <s v="Yes"/>
    <s v="Yes"/>
    <n v="42"/>
    <x v="5"/>
    <s v="Bi-Weekly"/>
    <n v="1"/>
    <x v="0"/>
  </r>
  <r>
    <n v="746"/>
    <n v="46"/>
    <s v="Male"/>
    <s v="T-shirt"/>
    <x v="0"/>
    <n v="92"/>
    <x v="49"/>
    <s v="L"/>
    <s v="Orange"/>
    <x v="3"/>
    <n v="4.7"/>
    <s v="Yes"/>
    <s v="Credit Card"/>
    <s v="Standard"/>
    <s v="Yes"/>
    <s v="Yes"/>
    <n v="4"/>
    <x v="0"/>
    <s v="Monthly"/>
    <n v="1"/>
    <x v="0"/>
  </r>
  <r>
    <n v="747"/>
    <n v="40"/>
    <s v="Male"/>
    <s v="Sandals"/>
    <x v="1"/>
    <n v="45"/>
    <x v="49"/>
    <s v="M"/>
    <s v="Red"/>
    <x v="0"/>
    <n v="2.5"/>
    <s v="Yes"/>
    <s v="Debit Card"/>
    <s v="Free Shipping"/>
    <s v="Yes"/>
    <s v="Yes"/>
    <n v="47"/>
    <x v="2"/>
    <s v="Annually"/>
    <n v="1"/>
    <x v="2"/>
  </r>
  <r>
    <n v="748"/>
    <n v="51"/>
    <s v="Male"/>
    <s v="Shorts"/>
    <x v="0"/>
    <n v="74"/>
    <x v="19"/>
    <s v="L"/>
    <s v="Gold"/>
    <x v="1"/>
    <n v="4.4000000000000004"/>
    <s v="Yes"/>
    <s v="Venmo"/>
    <s v="Next Day Air"/>
    <s v="Yes"/>
    <s v="Yes"/>
    <n v="13"/>
    <x v="4"/>
    <s v="Weekly"/>
    <n v="1"/>
    <x v="0"/>
  </r>
  <r>
    <n v="749"/>
    <n v="35"/>
    <s v="Male"/>
    <s v="Hat"/>
    <x v="3"/>
    <n v="39"/>
    <x v="45"/>
    <s v="L"/>
    <s v="Brown"/>
    <x v="3"/>
    <n v="3.9"/>
    <s v="Yes"/>
    <s v="Bank Transfer"/>
    <s v="Free Shipping"/>
    <s v="Yes"/>
    <s v="Yes"/>
    <n v="8"/>
    <x v="4"/>
    <s v="Quarterly"/>
    <n v="1"/>
    <x v="3"/>
  </r>
  <r>
    <n v="750"/>
    <n v="56"/>
    <s v="Male"/>
    <s v="Scarf"/>
    <x v="3"/>
    <n v="71"/>
    <x v="19"/>
    <s v="M"/>
    <s v="Olive"/>
    <x v="0"/>
    <n v="3.7"/>
    <s v="Yes"/>
    <s v="Bank Transfer"/>
    <s v="Standard"/>
    <s v="Yes"/>
    <s v="Yes"/>
    <n v="11"/>
    <x v="5"/>
    <s v="Quarterly"/>
    <n v="1"/>
    <x v="0"/>
  </r>
  <r>
    <n v="751"/>
    <n v="25"/>
    <s v="Male"/>
    <s v="T-shirt"/>
    <x v="0"/>
    <n v="95"/>
    <x v="33"/>
    <s v="L"/>
    <s v="Violet"/>
    <x v="3"/>
    <n v="3.4"/>
    <s v="Yes"/>
    <s v="Bank Transfer"/>
    <s v="Free Shipping"/>
    <s v="Yes"/>
    <s v="Yes"/>
    <n v="5"/>
    <x v="0"/>
    <s v="Annually"/>
    <n v="1"/>
    <x v="1"/>
  </r>
  <r>
    <n v="752"/>
    <n v="65"/>
    <s v="Male"/>
    <s v="Gloves"/>
    <x v="3"/>
    <n v="72"/>
    <x v="31"/>
    <s v="L"/>
    <s v="Indigo"/>
    <x v="3"/>
    <n v="4.8"/>
    <s v="Yes"/>
    <s v="Credit Card"/>
    <s v="Free Shipping"/>
    <s v="Yes"/>
    <s v="Yes"/>
    <n v="1"/>
    <x v="2"/>
    <s v="Monthly"/>
    <n v="1"/>
    <x v="0"/>
  </r>
  <r>
    <n v="753"/>
    <n v="39"/>
    <s v="Male"/>
    <s v="Scarf"/>
    <x v="3"/>
    <n v="85"/>
    <x v="31"/>
    <s v="L"/>
    <s v="Yellow"/>
    <x v="3"/>
    <n v="4.2"/>
    <s v="Yes"/>
    <s v="Cash"/>
    <s v="2-Day Shipping"/>
    <s v="Yes"/>
    <s v="Yes"/>
    <n v="17"/>
    <x v="3"/>
    <s v="Every 3 Months"/>
    <n v="1"/>
    <x v="2"/>
  </r>
  <r>
    <n v="754"/>
    <n v="47"/>
    <s v="Male"/>
    <s v="Boots"/>
    <x v="1"/>
    <n v="54"/>
    <x v="2"/>
    <s v="M"/>
    <s v="Teal"/>
    <x v="3"/>
    <n v="3.4"/>
    <s v="Yes"/>
    <s v="Credit Card"/>
    <s v="Store Pickup"/>
    <s v="Yes"/>
    <s v="Yes"/>
    <n v="27"/>
    <x v="0"/>
    <s v="Quarterly"/>
    <n v="1"/>
    <x v="0"/>
  </r>
  <r>
    <n v="755"/>
    <n v="36"/>
    <s v="Male"/>
    <s v="Gloves"/>
    <x v="3"/>
    <n v="41"/>
    <x v="17"/>
    <s v="L"/>
    <s v="Pink"/>
    <x v="1"/>
    <n v="2.9"/>
    <s v="Yes"/>
    <s v="Cash"/>
    <s v="Store Pickup"/>
    <s v="Yes"/>
    <s v="Yes"/>
    <n v="3"/>
    <x v="5"/>
    <s v="Quarterly"/>
    <n v="1"/>
    <x v="2"/>
  </r>
  <r>
    <n v="756"/>
    <n v="66"/>
    <s v="Male"/>
    <s v="Coat"/>
    <x v="2"/>
    <n v="24"/>
    <x v="20"/>
    <s v="M"/>
    <s v="Violet"/>
    <x v="1"/>
    <n v="3.3"/>
    <s v="Yes"/>
    <s v="Venmo"/>
    <s v="Free Shipping"/>
    <s v="Yes"/>
    <s v="Yes"/>
    <n v="22"/>
    <x v="3"/>
    <s v="Weekly"/>
    <n v="1"/>
    <x v="0"/>
  </r>
  <r>
    <n v="757"/>
    <n v="62"/>
    <s v="Male"/>
    <s v="Belt"/>
    <x v="3"/>
    <n v="99"/>
    <x v="6"/>
    <s v="S"/>
    <s v="Orange"/>
    <x v="2"/>
    <n v="4.8"/>
    <s v="Yes"/>
    <s v="Cash"/>
    <s v="Standard"/>
    <s v="Yes"/>
    <s v="Yes"/>
    <n v="24"/>
    <x v="1"/>
    <s v="Fortnightly"/>
    <n v="1"/>
    <x v="0"/>
  </r>
  <r>
    <n v="758"/>
    <n v="41"/>
    <s v="Male"/>
    <s v="Hoodie"/>
    <x v="0"/>
    <n v="32"/>
    <x v="46"/>
    <s v="M"/>
    <s v="Red"/>
    <x v="3"/>
    <n v="3.8"/>
    <s v="Yes"/>
    <s v="Debit Card"/>
    <s v="Store Pickup"/>
    <s v="Yes"/>
    <s v="Yes"/>
    <n v="18"/>
    <x v="5"/>
    <s v="Quarterly"/>
    <n v="1"/>
    <x v="2"/>
  </r>
  <r>
    <n v="759"/>
    <n v="66"/>
    <s v="Male"/>
    <s v="Shoes"/>
    <x v="1"/>
    <n v="71"/>
    <x v="2"/>
    <s v="L"/>
    <s v="Peach"/>
    <x v="2"/>
    <n v="4.5999999999999996"/>
    <s v="Yes"/>
    <s v="Bank Transfer"/>
    <s v="2-Day Shipping"/>
    <s v="Yes"/>
    <s v="Yes"/>
    <n v="39"/>
    <x v="4"/>
    <s v="Every 3 Months"/>
    <n v="1"/>
    <x v="0"/>
  </r>
  <r>
    <n v="760"/>
    <n v="51"/>
    <s v="Male"/>
    <s v="Dress"/>
    <x v="0"/>
    <n v="49"/>
    <x v="3"/>
    <s v="XL"/>
    <s v="Green"/>
    <x v="0"/>
    <n v="2.6"/>
    <s v="Yes"/>
    <s v="Bank Transfer"/>
    <s v="Next Day Air"/>
    <s v="Yes"/>
    <s v="Yes"/>
    <n v="25"/>
    <x v="2"/>
    <s v="Fortnightly"/>
    <n v="1"/>
    <x v="0"/>
  </r>
  <r>
    <n v="761"/>
    <n v="33"/>
    <s v="Male"/>
    <s v="Gloves"/>
    <x v="3"/>
    <n v="50"/>
    <x v="46"/>
    <s v="XL"/>
    <s v="Violet"/>
    <x v="3"/>
    <n v="3.4"/>
    <s v="Yes"/>
    <s v="Credit Card"/>
    <s v="Free Shipping"/>
    <s v="Yes"/>
    <s v="Yes"/>
    <n v="6"/>
    <x v="1"/>
    <s v="Annually"/>
    <n v="1"/>
    <x v="3"/>
  </r>
  <r>
    <n v="762"/>
    <n v="57"/>
    <s v="Male"/>
    <s v="Jewelry"/>
    <x v="3"/>
    <n v="91"/>
    <x v="22"/>
    <s v="L"/>
    <s v="Yellow"/>
    <x v="3"/>
    <n v="4.2"/>
    <s v="Yes"/>
    <s v="Credit Card"/>
    <s v="Express"/>
    <s v="Yes"/>
    <s v="Yes"/>
    <n v="26"/>
    <x v="4"/>
    <s v="Weekly"/>
    <n v="1"/>
    <x v="0"/>
  </r>
  <r>
    <n v="763"/>
    <n v="45"/>
    <s v="Male"/>
    <s v="Belt"/>
    <x v="3"/>
    <n v="46"/>
    <x v="35"/>
    <s v="M"/>
    <s v="Pink"/>
    <x v="3"/>
    <n v="3.9"/>
    <s v="Yes"/>
    <s v="Credit Card"/>
    <s v="Standard"/>
    <s v="Yes"/>
    <s v="Yes"/>
    <n v="43"/>
    <x v="5"/>
    <s v="Fortnightly"/>
    <n v="1"/>
    <x v="2"/>
  </r>
  <r>
    <n v="764"/>
    <n v="61"/>
    <s v="Male"/>
    <s v="Sweater"/>
    <x v="0"/>
    <n v="50"/>
    <x v="17"/>
    <s v="M"/>
    <s v="Brown"/>
    <x v="1"/>
    <n v="2.9"/>
    <s v="Yes"/>
    <s v="Debit Card"/>
    <s v="2-Day Shipping"/>
    <s v="Yes"/>
    <s v="Yes"/>
    <n v="6"/>
    <x v="2"/>
    <s v="Monthly"/>
    <n v="1"/>
    <x v="0"/>
  </r>
  <r>
    <n v="765"/>
    <n v="55"/>
    <s v="Male"/>
    <s v="Skirt"/>
    <x v="0"/>
    <n v="39"/>
    <x v="41"/>
    <s v="XL"/>
    <s v="Silver"/>
    <x v="3"/>
    <n v="4.2"/>
    <s v="Yes"/>
    <s v="Bank Transfer"/>
    <s v="Free Shipping"/>
    <s v="Yes"/>
    <s v="Yes"/>
    <n v="6"/>
    <x v="5"/>
    <s v="Quarterly"/>
    <n v="1"/>
    <x v="0"/>
  </r>
  <r>
    <n v="766"/>
    <n v="54"/>
    <s v="Male"/>
    <s v="Sneakers"/>
    <x v="1"/>
    <n v="99"/>
    <x v="29"/>
    <s v="M"/>
    <s v="Pink"/>
    <x v="2"/>
    <n v="3"/>
    <s v="Yes"/>
    <s v="Bank Transfer"/>
    <s v="Store Pickup"/>
    <s v="Yes"/>
    <s v="Yes"/>
    <n v="13"/>
    <x v="1"/>
    <s v="Quarterly"/>
    <n v="1"/>
    <x v="0"/>
  </r>
  <r>
    <n v="767"/>
    <n v="57"/>
    <s v="Male"/>
    <s v="Gloves"/>
    <x v="3"/>
    <n v="48"/>
    <x v="22"/>
    <s v="M"/>
    <s v="Cyan"/>
    <x v="0"/>
    <n v="3.6"/>
    <s v="Yes"/>
    <s v="PayPal"/>
    <s v="Next Day Air"/>
    <s v="Yes"/>
    <s v="Yes"/>
    <n v="13"/>
    <x v="3"/>
    <s v="Monthly"/>
    <n v="1"/>
    <x v="0"/>
  </r>
  <r>
    <n v="768"/>
    <n v="27"/>
    <s v="Male"/>
    <s v="Coat"/>
    <x v="2"/>
    <n v="77"/>
    <x v="38"/>
    <s v="M"/>
    <s v="Brown"/>
    <x v="3"/>
    <n v="2.5"/>
    <s v="Yes"/>
    <s v="Cash"/>
    <s v="Next Day Air"/>
    <s v="Yes"/>
    <s v="Yes"/>
    <n v="11"/>
    <x v="1"/>
    <s v="Annually"/>
    <n v="1"/>
    <x v="3"/>
  </r>
  <r>
    <n v="769"/>
    <n v="64"/>
    <s v="Male"/>
    <s v="Backpack"/>
    <x v="3"/>
    <n v="95"/>
    <x v="26"/>
    <s v="XL"/>
    <s v="Red"/>
    <x v="1"/>
    <n v="2.6"/>
    <s v="Yes"/>
    <s v="PayPal"/>
    <s v="Express"/>
    <s v="Yes"/>
    <s v="Yes"/>
    <n v="45"/>
    <x v="0"/>
    <s v="Weekly"/>
    <n v="1"/>
    <x v="0"/>
  </r>
  <r>
    <n v="770"/>
    <n v="52"/>
    <s v="Male"/>
    <s v="Socks"/>
    <x v="0"/>
    <n v="100"/>
    <x v="12"/>
    <s v="M"/>
    <s v="Silver"/>
    <x v="1"/>
    <n v="4.3"/>
    <s v="Yes"/>
    <s v="Credit Card"/>
    <s v="Store Pickup"/>
    <s v="Yes"/>
    <s v="Yes"/>
    <n v="8"/>
    <x v="3"/>
    <s v="Monthly"/>
    <n v="1"/>
    <x v="0"/>
  </r>
  <r>
    <n v="771"/>
    <n v="19"/>
    <s v="Male"/>
    <s v="Sneakers"/>
    <x v="1"/>
    <n v="54"/>
    <x v="34"/>
    <s v="M"/>
    <s v="Gray"/>
    <x v="1"/>
    <n v="3.3"/>
    <s v="Yes"/>
    <s v="Venmo"/>
    <s v="Express"/>
    <s v="Yes"/>
    <s v="Yes"/>
    <n v="8"/>
    <x v="2"/>
    <s v="Annually"/>
    <n v="1"/>
    <x v="1"/>
  </r>
  <r>
    <n v="772"/>
    <n v="22"/>
    <s v="Male"/>
    <s v="Sweater"/>
    <x v="0"/>
    <n v="68"/>
    <x v="11"/>
    <s v="L"/>
    <s v="Cyan"/>
    <x v="3"/>
    <n v="2.6"/>
    <s v="Yes"/>
    <s v="Credit Card"/>
    <s v="Next Day Air"/>
    <s v="Yes"/>
    <s v="Yes"/>
    <n v="34"/>
    <x v="4"/>
    <s v="Fortnightly"/>
    <n v="1"/>
    <x v="1"/>
  </r>
  <r>
    <n v="773"/>
    <n v="18"/>
    <s v="Male"/>
    <s v="Jeans"/>
    <x v="0"/>
    <n v="22"/>
    <x v="26"/>
    <s v="L"/>
    <s v="Teal"/>
    <x v="3"/>
    <n v="3.6"/>
    <s v="Yes"/>
    <s v="Cash"/>
    <s v="Free Shipping"/>
    <s v="Yes"/>
    <s v="Yes"/>
    <n v="40"/>
    <x v="5"/>
    <s v="Bi-Weekly"/>
    <n v="1"/>
    <x v="1"/>
  </r>
  <r>
    <n v="774"/>
    <n v="29"/>
    <s v="Male"/>
    <s v="Hat"/>
    <x v="3"/>
    <n v="84"/>
    <x v="18"/>
    <s v="L"/>
    <s v="Indigo"/>
    <x v="0"/>
    <n v="2.6"/>
    <s v="Yes"/>
    <s v="Venmo"/>
    <s v="Express"/>
    <s v="Yes"/>
    <s v="Yes"/>
    <n v="14"/>
    <x v="5"/>
    <s v="Bi-Weekly"/>
    <n v="1"/>
    <x v="3"/>
  </r>
  <r>
    <n v="775"/>
    <n v="42"/>
    <s v="Male"/>
    <s v="Hat"/>
    <x v="3"/>
    <n v="46"/>
    <x v="22"/>
    <s v="M"/>
    <s v="Yellow"/>
    <x v="2"/>
    <n v="3.5"/>
    <s v="Yes"/>
    <s v="Credit Card"/>
    <s v="Standard"/>
    <s v="Yes"/>
    <s v="Yes"/>
    <n v="11"/>
    <x v="2"/>
    <s v="Quarterly"/>
    <n v="1"/>
    <x v="2"/>
  </r>
  <r>
    <n v="776"/>
    <n v="49"/>
    <s v="Male"/>
    <s v="Handbag"/>
    <x v="3"/>
    <n v="53"/>
    <x v="0"/>
    <s v="S"/>
    <s v="Gold"/>
    <x v="0"/>
    <n v="3"/>
    <s v="Yes"/>
    <s v="PayPal"/>
    <s v="Store Pickup"/>
    <s v="Yes"/>
    <s v="Yes"/>
    <n v="8"/>
    <x v="3"/>
    <s v="Monthly"/>
    <n v="1"/>
    <x v="0"/>
  </r>
  <r>
    <n v="777"/>
    <n v="49"/>
    <s v="Male"/>
    <s v="Shirt"/>
    <x v="0"/>
    <n v="60"/>
    <x v="15"/>
    <s v="M"/>
    <s v="Maroon"/>
    <x v="1"/>
    <n v="5"/>
    <s v="Yes"/>
    <s v="PayPal"/>
    <s v="Standard"/>
    <s v="Yes"/>
    <s v="Yes"/>
    <n v="8"/>
    <x v="0"/>
    <s v="Every 3 Months"/>
    <n v="1"/>
    <x v="0"/>
  </r>
  <r>
    <n v="778"/>
    <n v="55"/>
    <s v="Male"/>
    <s v="Socks"/>
    <x v="0"/>
    <n v="32"/>
    <x v="5"/>
    <s v="XL"/>
    <s v="Silver"/>
    <x v="1"/>
    <n v="2.5"/>
    <s v="Yes"/>
    <s v="Credit Card"/>
    <s v="Express"/>
    <s v="Yes"/>
    <s v="Yes"/>
    <n v="37"/>
    <x v="0"/>
    <s v="Weekly"/>
    <n v="1"/>
    <x v="0"/>
  </r>
  <r>
    <n v="779"/>
    <n v="29"/>
    <s v="Male"/>
    <s v="Socks"/>
    <x v="0"/>
    <n v="50"/>
    <x v="2"/>
    <s v="M"/>
    <s v="Yellow"/>
    <x v="2"/>
    <n v="2.9"/>
    <s v="Yes"/>
    <s v="Cash"/>
    <s v="Store Pickup"/>
    <s v="Yes"/>
    <s v="Yes"/>
    <n v="23"/>
    <x v="5"/>
    <s v="Annually"/>
    <n v="1"/>
    <x v="3"/>
  </r>
  <r>
    <n v="780"/>
    <n v="60"/>
    <s v="Male"/>
    <s v="Dress"/>
    <x v="0"/>
    <n v="94"/>
    <x v="40"/>
    <s v="M"/>
    <s v="Blue"/>
    <x v="1"/>
    <n v="4.5999999999999996"/>
    <s v="Yes"/>
    <s v="Credit Card"/>
    <s v="Express"/>
    <s v="Yes"/>
    <s v="Yes"/>
    <n v="38"/>
    <x v="1"/>
    <s v="Annually"/>
    <n v="1"/>
    <x v="0"/>
  </r>
  <r>
    <n v="781"/>
    <n v="34"/>
    <s v="Male"/>
    <s v="Shoes"/>
    <x v="1"/>
    <n v="26"/>
    <x v="14"/>
    <s v="M"/>
    <s v="Turquoise"/>
    <x v="1"/>
    <n v="3.6"/>
    <s v="Yes"/>
    <s v="Venmo"/>
    <s v="Free Shipping"/>
    <s v="Yes"/>
    <s v="Yes"/>
    <n v="38"/>
    <x v="1"/>
    <s v="Quarterly"/>
    <n v="1"/>
    <x v="3"/>
  </r>
  <r>
    <n v="782"/>
    <n v="30"/>
    <s v="Male"/>
    <s v="Scarf"/>
    <x v="3"/>
    <n v="44"/>
    <x v="34"/>
    <s v="L"/>
    <s v="Indigo"/>
    <x v="0"/>
    <n v="3"/>
    <s v="Yes"/>
    <s v="PayPal"/>
    <s v="Store Pickup"/>
    <s v="Yes"/>
    <s v="Yes"/>
    <n v="12"/>
    <x v="2"/>
    <s v="Fortnightly"/>
    <n v="1"/>
    <x v="3"/>
  </r>
  <r>
    <n v="783"/>
    <n v="28"/>
    <s v="Male"/>
    <s v="Hoodie"/>
    <x v="0"/>
    <n v="57"/>
    <x v="11"/>
    <s v="M"/>
    <s v="Green"/>
    <x v="2"/>
    <n v="4.5"/>
    <s v="Yes"/>
    <s v="PayPal"/>
    <s v="Standard"/>
    <s v="Yes"/>
    <s v="Yes"/>
    <n v="15"/>
    <x v="1"/>
    <s v="Weekly"/>
    <n v="1"/>
    <x v="3"/>
  </r>
  <r>
    <n v="784"/>
    <n v="63"/>
    <s v="Male"/>
    <s v="T-shirt"/>
    <x v="0"/>
    <n v="65"/>
    <x v="7"/>
    <s v="L"/>
    <s v="Purple"/>
    <x v="0"/>
    <n v="4.5"/>
    <s v="Yes"/>
    <s v="Debit Card"/>
    <s v="Next Day Air"/>
    <s v="Yes"/>
    <s v="Yes"/>
    <n v="38"/>
    <x v="3"/>
    <s v="Fortnightly"/>
    <n v="1"/>
    <x v="0"/>
  </r>
  <r>
    <n v="785"/>
    <n v="31"/>
    <s v="Male"/>
    <s v="Jeans"/>
    <x v="0"/>
    <n v="72"/>
    <x v="15"/>
    <s v="M"/>
    <s v="Peach"/>
    <x v="0"/>
    <n v="3.2"/>
    <s v="Yes"/>
    <s v="Debit Card"/>
    <s v="Store Pickup"/>
    <s v="Yes"/>
    <s v="Yes"/>
    <n v="41"/>
    <x v="4"/>
    <s v="Every 3 Months"/>
    <n v="1"/>
    <x v="3"/>
  </r>
  <r>
    <n v="786"/>
    <n v="46"/>
    <s v="Male"/>
    <s v="Shorts"/>
    <x v="0"/>
    <n v="62"/>
    <x v="7"/>
    <s v="S"/>
    <s v="Purple"/>
    <x v="1"/>
    <n v="4"/>
    <s v="Yes"/>
    <s v="Bank Transfer"/>
    <s v="Next Day Air"/>
    <s v="Yes"/>
    <s v="Yes"/>
    <n v="37"/>
    <x v="3"/>
    <s v="Fortnightly"/>
    <n v="1"/>
    <x v="0"/>
  </r>
  <r>
    <n v="787"/>
    <n v="70"/>
    <s v="Male"/>
    <s v="Hat"/>
    <x v="3"/>
    <n v="21"/>
    <x v="27"/>
    <s v="S"/>
    <s v="Teal"/>
    <x v="0"/>
    <n v="4.8"/>
    <s v="Yes"/>
    <s v="Credit Card"/>
    <s v="Express"/>
    <s v="Yes"/>
    <s v="Yes"/>
    <n v="16"/>
    <x v="4"/>
    <s v="Every 3 Months"/>
    <n v="1"/>
    <x v="0"/>
  </r>
  <r>
    <n v="788"/>
    <n v="53"/>
    <s v="Male"/>
    <s v="Handbag"/>
    <x v="3"/>
    <n v="85"/>
    <x v="49"/>
    <s v="S"/>
    <s v="Green"/>
    <x v="1"/>
    <n v="3.7"/>
    <s v="Yes"/>
    <s v="Bank Transfer"/>
    <s v="Free Shipping"/>
    <s v="Yes"/>
    <s v="Yes"/>
    <n v="25"/>
    <x v="0"/>
    <s v="Weekly"/>
    <n v="1"/>
    <x v="0"/>
  </r>
  <r>
    <n v="789"/>
    <n v="50"/>
    <s v="Male"/>
    <s v="Pants"/>
    <x v="0"/>
    <n v="51"/>
    <x v="3"/>
    <s v="XL"/>
    <s v="Yellow"/>
    <x v="2"/>
    <n v="3.8"/>
    <s v="Yes"/>
    <s v="Venmo"/>
    <s v="Store Pickup"/>
    <s v="Yes"/>
    <s v="Yes"/>
    <n v="18"/>
    <x v="4"/>
    <s v="Quarterly"/>
    <n v="1"/>
    <x v="0"/>
  </r>
  <r>
    <n v="790"/>
    <n v="33"/>
    <s v="Male"/>
    <s v="Handbag"/>
    <x v="3"/>
    <n v="84"/>
    <x v="37"/>
    <s v="S"/>
    <s v="Purple"/>
    <x v="3"/>
    <n v="2.7"/>
    <s v="Yes"/>
    <s v="Venmo"/>
    <s v="Standard"/>
    <s v="Yes"/>
    <s v="Yes"/>
    <n v="4"/>
    <x v="2"/>
    <s v="Bi-Weekly"/>
    <n v="1"/>
    <x v="3"/>
  </r>
  <r>
    <n v="791"/>
    <n v="22"/>
    <s v="Male"/>
    <s v="Sweater"/>
    <x v="0"/>
    <n v="37"/>
    <x v="7"/>
    <s v="M"/>
    <s v="Indigo"/>
    <x v="2"/>
    <n v="4.9000000000000004"/>
    <s v="Yes"/>
    <s v="Venmo"/>
    <s v="Store Pickup"/>
    <s v="Yes"/>
    <s v="Yes"/>
    <n v="12"/>
    <x v="4"/>
    <s v="Quarterly"/>
    <n v="1"/>
    <x v="1"/>
  </r>
  <r>
    <n v="792"/>
    <n v="50"/>
    <s v="Male"/>
    <s v="Scarf"/>
    <x v="3"/>
    <n v="44"/>
    <x v="17"/>
    <s v="S"/>
    <s v="Magenta"/>
    <x v="2"/>
    <n v="3.1"/>
    <s v="Yes"/>
    <s v="Credit Card"/>
    <s v="2-Day Shipping"/>
    <s v="Yes"/>
    <s v="Yes"/>
    <n v="35"/>
    <x v="3"/>
    <s v="Fortnightly"/>
    <n v="1"/>
    <x v="0"/>
  </r>
  <r>
    <n v="793"/>
    <n v="34"/>
    <s v="Male"/>
    <s v="Sneakers"/>
    <x v="1"/>
    <n v="45"/>
    <x v="32"/>
    <s v="M"/>
    <s v="Violet"/>
    <x v="1"/>
    <n v="4.2"/>
    <s v="Yes"/>
    <s v="Venmo"/>
    <s v="Next Day Air"/>
    <s v="Yes"/>
    <s v="Yes"/>
    <n v="45"/>
    <x v="0"/>
    <s v="Weekly"/>
    <n v="1"/>
    <x v="3"/>
  </r>
  <r>
    <n v="794"/>
    <n v="24"/>
    <s v="Male"/>
    <s v="Pants"/>
    <x v="0"/>
    <n v="35"/>
    <x v="15"/>
    <s v="L"/>
    <s v="Maroon"/>
    <x v="2"/>
    <n v="3.8"/>
    <s v="Yes"/>
    <s v="Cash"/>
    <s v="Free Shipping"/>
    <s v="Yes"/>
    <s v="Yes"/>
    <n v="16"/>
    <x v="2"/>
    <s v="Monthly"/>
    <n v="1"/>
    <x v="1"/>
  </r>
  <r>
    <n v="795"/>
    <n v="69"/>
    <s v="Male"/>
    <s v="Backpack"/>
    <x v="3"/>
    <n v="50"/>
    <x v="0"/>
    <s v="XL"/>
    <s v="Yellow"/>
    <x v="0"/>
    <n v="4.2"/>
    <s v="Yes"/>
    <s v="Bank Transfer"/>
    <s v="Store Pickup"/>
    <s v="Yes"/>
    <s v="Yes"/>
    <n v="10"/>
    <x v="5"/>
    <s v="Fortnightly"/>
    <n v="1"/>
    <x v="0"/>
  </r>
  <r>
    <n v="796"/>
    <n v="39"/>
    <s v="Male"/>
    <s v="Sandals"/>
    <x v="1"/>
    <n v="26"/>
    <x v="14"/>
    <s v="M"/>
    <s v="Beige"/>
    <x v="2"/>
    <n v="4.5999999999999996"/>
    <s v="Yes"/>
    <s v="Cash"/>
    <s v="Store Pickup"/>
    <s v="Yes"/>
    <s v="Yes"/>
    <n v="34"/>
    <x v="0"/>
    <s v="Annually"/>
    <n v="1"/>
    <x v="2"/>
  </r>
  <r>
    <n v="797"/>
    <n v="42"/>
    <s v="Male"/>
    <s v="Socks"/>
    <x v="0"/>
    <n v="78"/>
    <x v="28"/>
    <s v="XL"/>
    <s v="Black"/>
    <x v="3"/>
    <n v="4"/>
    <s v="Yes"/>
    <s v="Debit Card"/>
    <s v="2-Day Shipping"/>
    <s v="Yes"/>
    <s v="Yes"/>
    <n v="43"/>
    <x v="2"/>
    <s v="Annually"/>
    <n v="1"/>
    <x v="2"/>
  </r>
  <r>
    <n v="798"/>
    <n v="42"/>
    <s v="Male"/>
    <s v="Coat"/>
    <x v="2"/>
    <n v="82"/>
    <x v="33"/>
    <s v="M"/>
    <s v="Violet"/>
    <x v="3"/>
    <n v="4"/>
    <s v="Yes"/>
    <s v="Cash"/>
    <s v="2-Day Shipping"/>
    <s v="Yes"/>
    <s v="Yes"/>
    <n v="38"/>
    <x v="5"/>
    <s v="Weekly"/>
    <n v="1"/>
    <x v="2"/>
  </r>
  <r>
    <n v="799"/>
    <n v="29"/>
    <s v="Male"/>
    <s v="Socks"/>
    <x v="0"/>
    <n v="39"/>
    <x v="29"/>
    <s v="M"/>
    <s v="Violet"/>
    <x v="1"/>
    <n v="3.8"/>
    <s v="Yes"/>
    <s v="Cash"/>
    <s v="2-Day Shipping"/>
    <s v="Yes"/>
    <s v="Yes"/>
    <n v="48"/>
    <x v="3"/>
    <s v="Every 3 Months"/>
    <n v="1"/>
    <x v="3"/>
  </r>
  <r>
    <n v="800"/>
    <n v="55"/>
    <s v="Male"/>
    <s v="Belt"/>
    <x v="3"/>
    <n v="55"/>
    <x v="22"/>
    <s v="L"/>
    <s v="Brown"/>
    <x v="2"/>
    <n v="3.3"/>
    <s v="Yes"/>
    <s v="Venmo"/>
    <s v="Free Shipping"/>
    <s v="Yes"/>
    <s v="Yes"/>
    <n v="31"/>
    <x v="3"/>
    <s v="Annually"/>
    <n v="1"/>
    <x v="0"/>
  </r>
  <r>
    <n v="801"/>
    <n v="32"/>
    <s v="Male"/>
    <s v="Socks"/>
    <x v="0"/>
    <n v="20"/>
    <x v="40"/>
    <s v="S"/>
    <s v="Gold"/>
    <x v="2"/>
    <n v="2.6"/>
    <s v="Yes"/>
    <s v="Credit Card"/>
    <s v="Free Shipping"/>
    <s v="Yes"/>
    <s v="Yes"/>
    <n v="20"/>
    <x v="1"/>
    <s v="Every 3 Months"/>
    <n v="1"/>
    <x v="3"/>
  </r>
  <r>
    <n v="802"/>
    <n v="25"/>
    <s v="Male"/>
    <s v="Belt"/>
    <x v="3"/>
    <n v="29"/>
    <x v="35"/>
    <s v="L"/>
    <s v="Blue"/>
    <x v="3"/>
    <n v="4.9000000000000004"/>
    <s v="Yes"/>
    <s v="Credit Card"/>
    <s v="Express"/>
    <s v="Yes"/>
    <s v="Yes"/>
    <n v="12"/>
    <x v="2"/>
    <s v="Fortnightly"/>
    <n v="1"/>
    <x v="1"/>
  </r>
  <r>
    <n v="803"/>
    <n v="38"/>
    <s v="Male"/>
    <s v="Pants"/>
    <x v="0"/>
    <n v="41"/>
    <x v="12"/>
    <s v="M"/>
    <s v="Teal"/>
    <x v="0"/>
    <n v="3.5"/>
    <s v="Yes"/>
    <s v="Venmo"/>
    <s v="Next Day Air"/>
    <s v="Yes"/>
    <s v="Yes"/>
    <n v="2"/>
    <x v="4"/>
    <s v="Weekly"/>
    <n v="1"/>
    <x v="2"/>
  </r>
  <r>
    <n v="804"/>
    <n v="32"/>
    <s v="Male"/>
    <s v="Shorts"/>
    <x v="0"/>
    <n v="38"/>
    <x v="39"/>
    <s v="L"/>
    <s v="Silver"/>
    <x v="0"/>
    <n v="2.8"/>
    <s v="Yes"/>
    <s v="Credit Card"/>
    <s v="Express"/>
    <s v="Yes"/>
    <s v="Yes"/>
    <n v="30"/>
    <x v="0"/>
    <s v="Every 3 Months"/>
    <n v="1"/>
    <x v="3"/>
  </r>
  <r>
    <n v="805"/>
    <n v="43"/>
    <s v="Male"/>
    <s v="Boots"/>
    <x v="1"/>
    <n v="47"/>
    <x v="16"/>
    <s v="M"/>
    <s v="Maroon"/>
    <x v="2"/>
    <n v="2.6"/>
    <s v="Yes"/>
    <s v="Cash"/>
    <s v="Store Pickup"/>
    <s v="Yes"/>
    <s v="Yes"/>
    <n v="28"/>
    <x v="0"/>
    <s v="Quarterly"/>
    <n v="1"/>
    <x v="2"/>
  </r>
  <r>
    <n v="806"/>
    <n v="41"/>
    <s v="Male"/>
    <s v="Dress"/>
    <x v="0"/>
    <n v="30"/>
    <x v="39"/>
    <s v="L"/>
    <s v="White"/>
    <x v="2"/>
    <n v="3.7"/>
    <s v="Yes"/>
    <s v="Venmo"/>
    <s v="Next Day Air"/>
    <s v="Yes"/>
    <s v="Yes"/>
    <n v="40"/>
    <x v="5"/>
    <s v="Monthly"/>
    <n v="1"/>
    <x v="2"/>
  </r>
  <r>
    <n v="807"/>
    <n v="56"/>
    <s v="Male"/>
    <s v="Jeans"/>
    <x v="0"/>
    <n v="56"/>
    <x v="20"/>
    <s v="L"/>
    <s v="Charcoal"/>
    <x v="2"/>
    <n v="2.7"/>
    <s v="Yes"/>
    <s v="Credit Card"/>
    <s v="Standard"/>
    <s v="Yes"/>
    <s v="Yes"/>
    <n v="46"/>
    <x v="3"/>
    <s v="Quarterly"/>
    <n v="1"/>
    <x v="0"/>
  </r>
  <r>
    <n v="808"/>
    <n v="27"/>
    <s v="Male"/>
    <s v="T-shirt"/>
    <x v="0"/>
    <n v="89"/>
    <x v="14"/>
    <s v="S"/>
    <s v="Brown"/>
    <x v="0"/>
    <n v="3.3"/>
    <s v="Yes"/>
    <s v="Bank Transfer"/>
    <s v="Express"/>
    <s v="Yes"/>
    <s v="Yes"/>
    <n v="15"/>
    <x v="2"/>
    <s v="Weekly"/>
    <n v="1"/>
    <x v="3"/>
  </r>
  <r>
    <n v="809"/>
    <n v="46"/>
    <s v="Male"/>
    <s v="Shoes"/>
    <x v="1"/>
    <n v="96"/>
    <x v="48"/>
    <s v="L"/>
    <s v="Lavender"/>
    <x v="3"/>
    <n v="4.5999999999999996"/>
    <s v="Yes"/>
    <s v="PayPal"/>
    <s v="Next Day Air"/>
    <s v="Yes"/>
    <s v="Yes"/>
    <n v="38"/>
    <x v="1"/>
    <s v="Every 3 Months"/>
    <n v="1"/>
    <x v="0"/>
  </r>
  <r>
    <n v="810"/>
    <n v="48"/>
    <s v="Male"/>
    <s v="Boots"/>
    <x v="1"/>
    <n v="81"/>
    <x v="36"/>
    <s v="M"/>
    <s v="Violet"/>
    <x v="3"/>
    <n v="4.9000000000000004"/>
    <s v="Yes"/>
    <s v="PayPal"/>
    <s v="Next Day Air"/>
    <s v="Yes"/>
    <s v="Yes"/>
    <n v="30"/>
    <x v="3"/>
    <s v="Bi-Weekly"/>
    <n v="1"/>
    <x v="0"/>
  </r>
  <r>
    <n v="811"/>
    <n v="52"/>
    <s v="Male"/>
    <s v="Scarf"/>
    <x v="3"/>
    <n v="83"/>
    <x v="45"/>
    <s v="S"/>
    <s v="Lavender"/>
    <x v="3"/>
    <n v="4.9000000000000004"/>
    <s v="Yes"/>
    <s v="Debit Card"/>
    <s v="Store Pickup"/>
    <s v="Yes"/>
    <s v="Yes"/>
    <n v="32"/>
    <x v="5"/>
    <s v="Bi-Weekly"/>
    <n v="1"/>
    <x v="0"/>
  </r>
  <r>
    <n v="812"/>
    <n v="18"/>
    <s v="Male"/>
    <s v="Sneakers"/>
    <x v="1"/>
    <n v="35"/>
    <x v="26"/>
    <s v="M"/>
    <s v="Green"/>
    <x v="0"/>
    <n v="2.7"/>
    <s v="Yes"/>
    <s v="Debit Card"/>
    <s v="Free Shipping"/>
    <s v="Yes"/>
    <s v="Yes"/>
    <n v="36"/>
    <x v="0"/>
    <s v="Quarterly"/>
    <n v="1"/>
    <x v="1"/>
  </r>
  <r>
    <n v="813"/>
    <n v="64"/>
    <s v="Male"/>
    <s v="Boots"/>
    <x v="1"/>
    <n v="56"/>
    <x v="29"/>
    <s v="M"/>
    <s v="Olive"/>
    <x v="2"/>
    <n v="3.2"/>
    <s v="Yes"/>
    <s v="PayPal"/>
    <s v="Standard"/>
    <s v="Yes"/>
    <s v="Yes"/>
    <n v="32"/>
    <x v="2"/>
    <s v="Weekly"/>
    <n v="1"/>
    <x v="0"/>
  </r>
  <r>
    <n v="814"/>
    <n v="54"/>
    <s v="Male"/>
    <s v="Handbag"/>
    <x v="3"/>
    <n v="45"/>
    <x v="6"/>
    <s v="S"/>
    <s v="Olive"/>
    <x v="2"/>
    <n v="2.9"/>
    <s v="Yes"/>
    <s v="Credit Card"/>
    <s v="Store Pickup"/>
    <s v="Yes"/>
    <s v="Yes"/>
    <n v="14"/>
    <x v="5"/>
    <s v="Annually"/>
    <n v="1"/>
    <x v="0"/>
  </r>
  <r>
    <n v="815"/>
    <n v="31"/>
    <s v="Male"/>
    <s v="Shirt"/>
    <x v="0"/>
    <n v="62"/>
    <x v="46"/>
    <s v="M"/>
    <s v="Pink"/>
    <x v="0"/>
    <n v="3.8"/>
    <s v="Yes"/>
    <s v="Cash"/>
    <s v="Express"/>
    <s v="Yes"/>
    <s v="Yes"/>
    <n v="8"/>
    <x v="3"/>
    <s v="Monthly"/>
    <n v="1"/>
    <x v="3"/>
  </r>
  <r>
    <n v="816"/>
    <n v="30"/>
    <s v="Male"/>
    <s v="Hat"/>
    <x v="3"/>
    <n v="84"/>
    <x v="8"/>
    <s v="L"/>
    <s v="Teal"/>
    <x v="1"/>
    <n v="3"/>
    <s v="Yes"/>
    <s v="Cash"/>
    <s v="Next Day Air"/>
    <s v="Yes"/>
    <s v="Yes"/>
    <n v="27"/>
    <x v="0"/>
    <s v="Bi-Weekly"/>
    <n v="1"/>
    <x v="3"/>
  </r>
  <r>
    <n v="817"/>
    <n v="26"/>
    <s v="Male"/>
    <s v="Sweater"/>
    <x v="0"/>
    <n v="24"/>
    <x v="26"/>
    <s v="L"/>
    <s v="Cyan"/>
    <x v="2"/>
    <n v="3.9"/>
    <s v="Yes"/>
    <s v="Credit Card"/>
    <s v="Store Pickup"/>
    <s v="Yes"/>
    <s v="Yes"/>
    <n v="24"/>
    <x v="5"/>
    <s v="Monthly"/>
    <n v="1"/>
    <x v="3"/>
  </r>
  <r>
    <n v="818"/>
    <n v="25"/>
    <s v="Male"/>
    <s v="Handbag"/>
    <x v="3"/>
    <n v="21"/>
    <x v="22"/>
    <s v="S"/>
    <s v="Gray"/>
    <x v="1"/>
    <n v="4.7"/>
    <s v="Yes"/>
    <s v="Credit Card"/>
    <s v="Store Pickup"/>
    <s v="Yes"/>
    <s v="Yes"/>
    <n v="30"/>
    <x v="3"/>
    <s v="Fortnightly"/>
    <n v="1"/>
    <x v="1"/>
  </r>
  <r>
    <n v="819"/>
    <n v="59"/>
    <s v="Male"/>
    <s v="Shirt"/>
    <x v="0"/>
    <n v="91"/>
    <x v="37"/>
    <s v="M"/>
    <s v="Peach"/>
    <x v="0"/>
    <n v="4.9000000000000004"/>
    <s v="Yes"/>
    <s v="Cash"/>
    <s v="Store Pickup"/>
    <s v="Yes"/>
    <s v="Yes"/>
    <n v="34"/>
    <x v="5"/>
    <s v="Monthly"/>
    <n v="1"/>
    <x v="0"/>
  </r>
  <r>
    <n v="820"/>
    <n v="55"/>
    <s v="Male"/>
    <s v="Sunglasses"/>
    <x v="3"/>
    <n v="36"/>
    <x v="24"/>
    <s v="S"/>
    <s v="Teal"/>
    <x v="0"/>
    <n v="4.8"/>
    <s v="Yes"/>
    <s v="Bank Transfer"/>
    <s v="Next Day Air"/>
    <s v="Yes"/>
    <s v="Yes"/>
    <n v="28"/>
    <x v="5"/>
    <s v="Quarterly"/>
    <n v="1"/>
    <x v="0"/>
  </r>
  <r>
    <n v="821"/>
    <n v="56"/>
    <s v="Male"/>
    <s v="Sneakers"/>
    <x v="1"/>
    <n v="39"/>
    <x v="7"/>
    <s v="M"/>
    <s v="Turquoise"/>
    <x v="1"/>
    <n v="2.5"/>
    <s v="Yes"/>
    <s v="Cash"/>
    <s v="2-Day Shipping"/>
    <s v="Yes"/>
    <s v="Yes"/>
    <n v="27"/>
    <x v="5"/>
    <s v="Monthly"/>
    <n v="1"/>
    <x v="0"/>
  </r>
  <r>
    <n v="822"/>
    <n v="62"/>
    <s v="Male"/>
    <s v="Hoodie"/>
    <x v="0"/>
    <n v="39"/>
    <x v="34"/>
    <s v="M"/>
    <s v="Green"/>
    <x v="1"/>
    <n v="3.9"/>
    <s v="Yes"/>
    <s v="Cash"/>
    <s v="Standard"/>
    <s v="Yes"/>
    <s v="Yes"/>
    <n v="31"/>
    <x v="2"/>
    <s v="Bi-Weekly"/>
    <n v="1"/>
    <x v="0"/>
  </r>
  <r>
    <n v="823"/>
    <n v="35"/>
    <s v="Male"/>
    <s v="Shirt"/>
    <x v="0"/>
    <n v="59"/>
    <x v="16"/>
    <s v="L"/>
    <s v="Magenta"/>
    <x v="0"/>
    <n v="3.4"/>
    <s v="Yes"/>
    <s v="Cash"/>
    <s v="Standard"/>
    <s v="Yes"/>
    <s v="Yes"/>
    <n v="23"/>
    <x v="4"/>
    <s v="Annually"/>
    <n v="1"/>
    <x v="3"/>
  </r>
  <r>
    <n v="824"/>
    <n v="51"/>
    <s v="Male"/>
    <s v="Sunglasses"/>
    <x v="3"/>
    <n v="27"/>
    <x v="42"/>
    <s v="M"/>
    <s v="Green"/>
    <x v="0"/>
    <n v="2.5"/>
    <s v="Yes"/>
    <s v="PayPal"/>
    <s v="Free Shipping"/>
    <s v="Yes"/>
    <s v="Yes"/>
    <n v="11"/>
    <x v="2"/>
    <s v="Quarterly"/>
    <n v="1"/>
    <x v="0"/>
  </r>
  <r>
    <n v="825"/>
    <n v="61"/>
    <s v="Male"/>
    <s v="Blouse"/>
    <x v="0"/>
    <n v="94"/>
    <x v="42"/>
    <s v="M"/>
    <s v="White"/>
    <x v="1"/>
    <n v="3"/>
    <s v="Yes"/>
    <s v="Venmo"/>
    <s v="Store Pickup"/>
    <s v="Yes"/>
    <s v="Yes"/>
    <n v="48"/>
    <x v="1"/>
    <s v="Quarterly"/>
    <n v="1"/>
    <x v="0"/>
  </r>
  <r>
    <n v="826"/>
    <n v="27"/>
    <s v="Male"/>
    <s v="Belt"/>
    <x v="3"/>
    <n v="94"/>
    <x v="43"/>
    <s v="XL"/>
    <s v="Brown"/>
    <x v="3"/>
    <n v="3.6"/>
    <s v="Yes"/>
    <s v="Venmo"/>
    <s v="Next Day Air"/>
    <s v="Yes"/>
    <s v="Yes"/>
    <n v="17"/>
    <x v="1"/>
    <s v="Monthly"/>
    <n v="1"/>
    <x v="3"/>
  </r>
  <r>
    <n v="827"/>
    <n v="54"/>
    <s v="Male"/>
    <s v="Dress"/>
    <x v="0"/>
    <n v="94"/>
    <x v="2"/>
    <s v="M"/>
    <s v="Purple"/>
    <x v="0"/>
    <n v="3.6"/>
    <s v="Yes"/>
    <s v="Credit Card"/>
    <s v="Standard"/>
    <s v="Yes"/>
    <s v="Yes"/>
    <n v="36"/>
    <x v="3"/>
    <s v="Weekly"/>
    <n v="1"/>
    <x v="0"/>
  </r>
  <r>
    <n v="828"/>
    <n v="31"/>
    <s v="Male"/>
    <s v="Shoes"/>
    <x v="1"/>
    <n v="51"/>
    <x v="24"/>
    <s v="S"/>
    <s v="Green"/>
    <x v="3"/>
    <n v="4.0999999999999996"/>
    <s v="Yes"/>
    <s v="Credit Card"/>
    <s v="Free Shipping"/>
    <s v="Yes"/>
    <s v="Yes"/>
    <n v="33"/>
    <x v="4"/>
    <s v="Fortnightly"/>
    <n v="1"/>
    <x v="3"/>
  </r>
  <r>
    <n v="829"/>
    <n v="24"/>
    <s v="Male"/>
    <s v="Socks"/>
    <x v="0"/>
    <n v="62"/>
    <x v="22"/>
    <s v="M"/>
    <s v="Peach"/>
    <x v="3"/>
    <n v="3.7"/>
    <s v="Yes"/>
    <s v="Bank Transfer"/>
    <s v="2-Day Shipping"/>
    <s v="Yes"/>
    <s v="Yes"/>
    <n v="27"/>
    <x v="3"/>
    <s v="Bi-Weekly"/>
    <n v="1"/>
    <x v="1"/>
  </r>
  <r>
    <n v="830"/>
    <n v="42"/>
    <s v="Male"/>
    <s v="Socks"/>
    <x v="0"/>
    <n v="57"/>
    <x v="37"/>
    <s v="S"/>
    <s v="Silver"/>
    <x v="1"/>
    <n v="3.1"/>
    <s v="Yes"/>
    <s v="Debit Card"/>
    <s v="2-Day Shipping"/>
    <s v="Yes"/>
    <s v="Yes"/>
    <n v="14"/>
    <x v="2"/>
    <s v="Fortnightly"/>
    <n v="1"/>
    <x v="2"/>
  </r>
  <r>
    <n v="831"/>
    <n v="41"/>
    <s v="Male"/>
    <s v="Shorts"/>
    <x v="0"/>
    <n v="76"/>
    <x v="5"/>
    <s v="M"/>
    <s v="Maroon"/>
    <x v="3"/>
    <n v="4.2"/>
    <s v="Yes"/>
    <s v="Cash"/>
    <s v="Express"/>
    <s v="Yes"/>
    <s v="Yes"/>
    <n v="5"/>
    <x v="2"/>
    <s v="Annually"/>
    <n v="1"/>
    <x v="2"/>
  </r>
  <r>
    <n v="832"/>
    <n v="66"/>
    <s v="Male"/>
    <s v="Gloves"/>
    <x v="3"/>
    <n v="63"/>
    <x v="47"/>
    <s v="M"/>
    <s v="Red"/>
    <x v="2"/>
    <n v="4.3"/>
    <s v="Yes"/>
    <s v="Debit Card"/>
    <s v="Express"/>
    <s v="Yes"/>
    <s v="Yes"/>
    <n v="47"/>
    <x v="1"/>
    <s v="Every 3 Months"/>
    <n v="1"/>
    <x v="0"/>
  </r>
  <r>
    <n v="833"/>
    <n v="58"/>
    <s v="Male"/>
    <s v="Jacket"/>
    <x v="2"/>
    <n v="80"/>
    <x v="18"/>
    <s v="L"/>
    <s v="Blue"/>
    <x v="3"/>
    <n v="2.5"/>
    <s v="Yes"/>
    <s v="Credit Card"/>
    <s v="Express"/>
    <s v="Yes"/>
    <s v="Yes"/>
    <n v="28"/>
    <x v="1"/>
    <s v="Bi-Weekly"/>
    <n v="1"/>
    <x v="0"/>
  </r>
  <r>
    <n v="834"/>
    <n v="43"/>
    <s v="Male"/>
    <s v="Handbag"/>
    <x v="3"/>
    <n v="68"/>
    <x v="19"/>
    <s v="M"/>
    <s v="Purple"/>
    <x v="3"/>
    <n v="3.5"/>
    <s v="Yes"/>
    <s v="Debit Card"/>
    <s v="Standard"/>
    <s v="Yes"/>
    <s v="Yes"/>
    <n v="11"/>
    <x v="2"/>
    <s v="Annually"/>
    <n v="1"/>
    <x v="2"/>
  </r>
  <r>
    <n v="835"/>
    <n v="52"/>
    <s v="Male"/>
    <s v="Backpack"/>
    <x v="3"/>
    <n v="89"/>
    <x v="22"/>
    <s v="M"/>
    <s v="Indigo"/>
    <x v="2"/>
    <n v="3.1"/>
    <s v="Yes"/>
    <s v="Debit Card"/>
    <s v="Free Shipping"/>
    <s v="Yes"/>
    <s v="Yes"/>
    <n v="18"/>
    <x v="2"/>
    <s v="Weekly"/>
    <n v="1"/>
    <x v="0"/>
  </r>
  <r>
    <n v="836"/>
    <n v="35"/>
    <s v="Male"/>
    <s v="Boots"/>
    <x v="1"/>
    <n v="26"/>
    <x v="33"/>
    <s v="L"/>
    <s v="Indigo"/>
    <x v="2"/>
    <n v="2.5"/>
    <s v="Yes"/>
    <s v="Debit Card"/>
    <s v="Next Day Air"/>
    <s v="Yes"/>
    <s v="Yes"/>
    <n v="21"/>
    <x v="5"/>
    <s v="Weekly"/>
    <n v="1"/>
    <x v="3"/>
  </r>
  <r>
    <n v="837"/>
    <n v="23"/>
    <s v="Male"/>
    <s v="Gloves"/>
    <x v="3"/>
    <n v="90"/>
    <x v="8"/>
    <s v="L"/>
    <s v="Violet"/>
    <x v="0"/>
    <n v="3.9"/>
    <s v="Yes"/>
    <s v="PayPal"/>
    <s v="Store Pickup"/>
    <s v="Yes"/>
    <s v="Yes"/>
    <n v="22"/>
    <x v="1"/>
    <s v="Bi-Weekly"/>
    <n v="1"/>
    <x v="1"/>
  </r>
  <r>
    <n v="838"/>
    <n v="25"/>
    <s v="Male"/>
    <s v="Hoodie"/>
    <x v="0"/>
    <n v="28"/>
    <x v="26"/>
    <s v="L"/>
    <s v="Brown"/>
    <x v="1"/>
    <n v="4.9000000000000004"/>
    <s v="Yes"/>
    <s v="Credit Card"/>
    <s v="Express"/>
    <s v="Yes"/>
    <s v="Yes"/>
    <n v="33"/>
    <x v="1"/>
    <s v="Every 3 Months"/>
    <n v="1"/>
    <x v="1"/>
  </r>
  <r>
    <n v="839"/>
    <n v="33"/>
    <s v="Male"/>
    <s v="Coat"/>
    <x v="2"/>
    <n v="29"/>
    <x v="0"/>
    <s v="M"/>
    <s v="Gray"/>
    <x v="1"/>
    <n v="4.3"/>
    <s v="Yes"/>
    <s v="Bank Transfer"/>
    <s v="Express"/>
    <s v="Yes"/>
    <s v="Yes"/>
    <n v="49"/>
    <x v="2"/>
    <s v="Annually"/>
    <n v="1"/>
    <x v="3"/>
  </r>
  <r>
    <n v="840"/>
    <n v="48"/>
    <s v="Male"/>
    <s v="Shirt"/>
    <x v="0"/>
    <n v="31"/>
    <x v="26"/>
    <s v="L"/>
    <s v="Teal"/>
    <x v="1"/>
    <n v="2.6"/>
    <s v="Yes"/>
    <s v="Cash"/>
    <s v="Free Shipping"/>
    <s v="Yes"/>
    <s v="Yes"/>
    <n v="10"/>
    <x v="5"/>
    <s v="Every 3 Months"/>
    <n v="1"/>
    <x v="0"/>
  </r>
  <r>
    <n v="841"/>
    <n v="42"/>
    <s v="Male"/>
    <s v="Shirt"/>
    <x v="0"/>
    <n v="24"/>
    <x v="15"/>
    <s v="L"/>
    <s v="Teal"/>
    <x v="2"/>
    <n v="4.2"/>
    <s v="Yes"/>
    <s v="Bank Transfer"/>
    <s v="2-Day Shipping"/>
    <s v="Yes"/>
    <s v="Yes"/>
    <n v="18"/>
    <x v="3"/>
    <s v="Weekly"/>
    <n v="1"/>
    <x v="2"/>
  </r>
  <r>
    <n v="842"/>
    <n v="55"/>
    <s v="Male"/>
    <s v="Sweater"/>
    <x v="0"/>
    <n v="88"/>
    <x v="21"/>
    <s v="M"/>
    <s v="Beige"/>
    <x v="2"/>
    <n v="2.6"/>
    <s v="Yes"/>
    <s v="Venmo"/>
    <s v="Store Pickup"/>
    <s v="Yes"/>
    <s v="Yes"/>
    <n v="28"/>
    <x v="3"/>
    <s v="Fortnightly"/>
    <n v="1"/>
    <x v="0"/>
  </r>
  <r>
    <n v="843"/>
    <n v="59"/>
    <s v="Male"/>
    <s v="Shirt"/>
    <x v="0"/>
    <n v="87"/>
    <x v="9"/>
    <s v="M"/>
    <s v="Violet"/>
    <x v="1"/>
    <n v="3.6"/>
    <s v="Yes"/>
    <s v="Venmo"/>
    <s v="Express"/>
    <s v="Yes"/>
    <s v="Yes"/>
    <n v="25"/>
    <x v="3"/>
    <s v="Weekly"/>
    <n v="1"/>
    <x v="0"/>
  </r>
  <r>
    <n v="844"/>
    <n v="65"/>
    <s v="Male"/>
    <s v="Hoodie"/>
    <x v="0"/>
    <n v="80"/>
    <x v="38"/>
    <s v="S"/>
    <s v="Beige"/>
    <x v="2"/>
    <n v="3.2"/>
    <s v="Yes"/>
    <s v="Cash"/>
    <s v="Express"/>
    <s v="Yes"/>
    <s v="Yes"/>
    <n v="6"/>
    <x v="3"/>
    <s v="Weekly"/>
    <n v="1"/>
    <x v="0"/>
  </r>
  <r>
    <n v="845"/>
    <n v="59"/>
    <s v="Male"/>
    <s v="Sandals"/>
    <x v="1"/>
    <n v="48"/>
    <x v="9"/>
    <s v="L"/>
    <s v="Purple"/>
    <x v="0"/>
    <n v="4.4000000000000004"/>
    <s v="Yes"/>
    <s v="PayPal"/>
    <s v="Express"/>
    <s v="Yes"/>
    <s v="Yes"/>
    <n v="44"/>
    <x v="0"/>
    <s v="Bi-Weekly"/>
    <n v="1"/>
    <x v="0"/>
  </r>
  <r>
    <n v="846"/>
    <n v="31"/>
    <s v="Male"/>
    <s v="Belt"/>
    <x v="3"/>
    <n v="21"/>
    <x v="49"/>
    <s v="XL"/>
    <s v="Charcoal"/>
    <x v="0"/>
    <n v="3.7"/>
    <s v="Yes"/>
    <s v="PayPal"/>
    <s v="Standard"/>
    <s v="Yes"/>
    <s v="Yes"/>
    <n v="30"/>
    <x v="0"/>
    <s v="Monthly"/>
    <n v="1"/>
    <x v="3"/>
  </r>
  <r>
    <n v="847"/>
    <n v="49"/>
    <s v="Male"/>
    <s v="Boots"/>
    <x v="1"/>
    <n v="72"/>
    <x v="0"/>
    <s v="M"/>
    <s v="Pink"/>
    <x v="1"/>
    <n v="3.7"/>
    <s v="Yes"/>
    <s v="Bank Transfer"/>
    <s v="Express"/>
    <s v="Yes"/>
    <s v="Yes"/>
    <n v="42"/>
    <x v="5"/>
    <s v="Quarterly"/>
    <n v="1"/>
    <x v="0"/>
  </r>
  <r>
    <n v="848"/>
    <n v="53"/>
    <s v="Male"/>
    <s v="Hoodie"/>
    <x v="0"/>
    <n v="44"/>
    <x v="32"/>
    <s v="L"/>
    <s v="Blue"/>
    <x v="3"/>
    <n v="4.0999999999999996"/>
    <s v="Yes"/>
    <s v="Bank Transfer"/>
    <s v="Standard"/>
    <s v="Yes"/>
    <s v="Yes"/>
    <n v="30"/>
    <x v="3"/>
    <s v="Monthly"/>
    <n v="1"/>
    <x v="0"/>
  </r>
  <r>
    <n v="849"/>
    <n v="48"/>
    <s v="Male"/>
    <s v="Sandals"/>
    <x v="1"/>
    <n v="73"/>
    <x v="12"/>
    <s v="M"/>
    <s v="Lavender"/>
    <x v="3"/>
    <n v="3.6"/>
    <s v="Yes"/>
    <s v="PayPal"/>
    <s v="Store Pickup"/>
    <s v="Yes"/>
    <s v="Yes"/>
    <n v="33"/>
    <x v="2"/>
    <s v="Bi-Weekly"/>
    <n v="1"/>
    <x v="0"/>
  </r>
  <r>
    <n v="850"/>
    <n v="23"/>
    <s v="Male"/>
    <s v="Jeans"/>
    <x v="0"/>
    <n v="61"/>
    <x v="9"/>
    <s v="S"/>
    <s v="Charcoal"/>
    <x v="1"/>
    <n v="4.3"/>
    <s v="Yes"/>
    <s v="Debit Card"/>
    <s v="Express"/>
    <s v="Yes"/>
    <s v="Yes"/>
    <n v="24"/>
    <x v="3"/>
    <s v="Quarterly"/>
    <n v="1"/>
    <x v="1"/>
  </r>
  <r>
    <n v="851"/>
    <n v="68"/>
    <s v="Male"/>
    <s v="Shoes"/>
    <x v="1"/>
    <n v="20"/>
    <x v="39"/>
    <s v="L"/>
    <s v="Turquoise"/>
    <x v="0"/>
    <n v="2.6"/>
    <s v="Yes"/>
    <s v="Bank Transfer"/>
    <s v="Store Pickup"/>
    <s v="Yes"/>
    <s v="Yes"/>
    <n v="13"/>
    <x v="0"/>
    <s v="Monthly"/>
    <n v="1"/>
    <x v="0"/>
  </r>
  <r>
    <n v="852"/>
    <n v="35"/>
    <s v="Male"/>
    <s v="Sandals"/>
    <x v="1"/>
    <n v="86"/>
    <x v="2"/>
    <s v="M"/>
    <s v="Red"/>
    <x v="2"/>
    <n v="2.9"/>
    <s v="Yes"/>
    <s v="Credit Card"/>
    <s v="Express"/>
    <s v="Yes"/>
    <s v="Yes"/>
    <n v="19"/>
    <x v="5"/>
    <s v="Monthly"/>
    <n v="1"/>
    <x v="3"/>
  </r>
  <r>
    <n v="853"/>
    <n v="34"/>
    <s v="Male"/>
    <s v="Dress"/>
    <x v="0"/>
    <n v="60"/>
    <x v="20"/>
    <s v="L"/>
    <s v="Yellow"/>
    <x v="1"/>
    <n v="4.2"/>
    <s v="Yes"/>
    <s v="Venmo"/>
    <s v="Next Day Air"/>
    <s v="Yes"/>
    <s v="Yes"/>
    <n v="23"/>
    <x v="5"/>
    <s v="Every 3 Months"/>
    <n v="1"/>
    <x v="3"/>
  </r>
  <r>
    <n v="854"/>
    <n v="62"/>
    <s v="Male"/>
    <s v="Hat"/>
    <x v="3"/>
    <n v="43"/>
    <x v="12"/>
    <s v="L"/>
    <s v="Orange"/>
    <x v="0"/>
    <n v="4"/>
    <s v="Yes"/>
    <s v="PayPal"/>
    <s v="Free Shipping"/>
    <s v="Yes"/>
    <s v="Yes"/>
    <n v="35"/>
    <x v="1"/>
    <s v="Monthly"/>
    <n v="1"/>
    <x v="0"/>
  </r>
  <r>
    <n v="855"/>
    <n v="21"/>
    <s v="Male"/>
    <s v="Pants"/>
    <x v="0"/>
    <n v="44"/>
    <x v="18"/>
    <s v="L"/>
    <s v="Blue"/>
    <x v="1"/>
    <n v="4.3"/>
    <s v="Yes"/>
    <s v="Bank Transfer"/>
    <s v="Free Shipping"/>
    <s v="Yes"/>
    <s v="Yes"/>
    <n v="22"/>
    <x v="0"/>
    <s v="Monthly"/>
    <n v="1"/>
    <x v="1"/>
  </r>
  <r>
    <n v="856"/>
    <n v="70"/>
    <s v="Male"/>
    <s v="Socks"/>
    <x v="0"/>
    <n v="76"/>
    <x v="4"/>
    <s v="L"/>
    <s v="Gold"/>
    <x v="1"/>
    <n v="3"/>
    <s v="Yes"/>
    <s v="Cash"/>
    <s v="2-Day Shipping"/>
    <s v="Yes"/>
    <s v="Yes"/>
    <n v="14"/>
    <x v="2"/>
    <s v="Quarterly"/>
    <n v="1"/>
    <x v="0"/>
  </r>
  <r>
    <n v="857"/>
    <n v="55"/>
    <s v="Male"/>
    <s v="Shirt"/>
    <x v="0"/>
    <n v="33"/>
    <x v="29"/>
    <s v="M"/>
    <s v="Gold"/>
    <x v="2"/>
    <n v="3.5"/>
    <s v="Yes"/>
    <s v="Debit Card"/>
    <s v="Express"/>
    <s v="Yes"/>
    <s v="Yes"/>
    <n v="47"/>
    <x v="5"/>
    <s v="Fortnightly"/>
    <n v="1"/>
    <x v="0"/>
  </r>
  <r>
    <n v="858"/>
    <n v="43"/>
    <s v="Male"/>
    <s v="Shorts"/>
    <x v="0"/>
    <n v="60"/>
    <x v="9"/>
    <s v="L"/>
    <s v="Cyan"/>
    <x v="3"/>
    <n v="3"/>
    <s v="Yes"/>
    <s v="Cash"/>
    <s v="Standard"/>
    <s v="Yes"/>
    <s v="Yes"/>
    <n v="50"/>
    <x v="5"/>
    <s v="Every 3 Months"/>
    <n v="1"/>
    <x v="2"/>
  </r>
  <r>
    <n v="859"/>
    <n v="19"/>
    <s v="Male"/>
    <s v="Jacket"/>
    <x v="2"/>
    <n v="26"/>
    <x v="19"/>
    <s v="L"/>
    <s v="Olive"/>
    <x v="3"/>
    <n v="3.1"/>
    <s v="Yes"/>
    <s v="PayPal"/>
    <s v="Free Shipping"/>
    <s v="Yes"/>
    <s v="Yes"/>
    <n v="33"/>
    <x v="3"/>
    <s v="Weekly"/>
    <n v="1"/>
    <x v="1"/>
  </r>
  <r>
    <n v="860"/>
    <n v="47"/>
    <s v="Male"/>
    <s v="Hoodie"/>
    <x v="0"/>
    <n v="73"/>
    <x v="48"/>
    <s v="M"/>
    <s v="Teal"/>
    <x v="0"/>
    <n v="4"/>
    <s v="Yes"/>
    <s v="Credit Card"/>
    <s v="Next Day Air"/>
    <s v="Yes"/>
    <s v="Yes"/>
    <n v="7"/>
    <x v="5"/>
    <s v="Monthly"/>
    <n v="1"/>
    <x v="0"/>
  </r>
  <r>
    <n v="861"/>
    <n v="26"/>
    <s v="Male"/>
    <s v="Shoes"/>
    <x v="1"/>
    <n v="87"/>
    <x v="36"/>
    <s v="M"/>
    <s v="Maroon"/>
    <x v="1"/>
    <n v="4.0999999999999996"/>
    <s v="Yes"/>
    <s v="Debit Card"/>
    <s v="Standard"/>
    <s v="Yes"/>
    <s v="Yes"/>
    <n v="3"/>
    <x v="1"/>
    <s v="Monthly"/>
    <n v="1"/>
    <x v="3"/>
  </r>
  <r>
    <n v="862"/>
    <n v="46"/>
    <s v="Male"/>
    <s v="Skirt"/>
    <x v="0"/>
    <n v="100"/>
    <x v="41"/>
    <s v="XL"/>
    <s v="Green"/>
    <x v="1"/>
    <n v="3.3"/>
    <s v="Yes"/>
    <s v="PayPal"/>
    <s v="2-Day Shipping"/>
    <s v="Yes"/>
    <s v="Yes"/>
    <n v="35"/>
    <x v="2"/>
    <s v="Every 3 Months"/>
    <n v="1"/>
    <x v="0"/>
  </r>
  <r>
    <n v="863"/>
    <n v="19"/>
    <s v="Male"/>
    <s v="Coat"/>
    <x v="2"/>
    <n v="84"/>
    <x v="10"/>
    <s v="M"/>
    <s v="Charcoal"/>
    <x v="0"/>
    <n v="4.9000000000000004"/>
    <s v="Yes"/>
    <s v="PayPal"/>
    <s v="Standard"/>
    <s v="Yes"/>
    <s v="Yes"/>
    <n v="13"/>
    <x v="3"/>
    <s v="Fortnightly"/>
    <n v="1"/>
    <x v="1"/>
  </r>
  <r>
    <n v="864"/>
    <n v="49"/>
    <s v="Male"/>
    <s v="Sneakers"/>
    <x v="1"/>
    <n v="41"/>
    <x v="34"/>
    <s v="M"/>
    <s v="Cyan"/>
    <x v="2"/>
    <n v="3.9"/>
    <s v="Yes"/>
    <s v="PayPal"/>
    <s v="Standard"/>
    <s v="Yes"/>
    <s v="Yes"/>
    <n v="42"/>
    <x v="3"/>
    <s v="Fortnightly"/>
    <n v="1"/>
    <x v="0"/>
  </r>
  <r>
    <n v="865"/>
    <n v="51"/>
    <s v="Male"/>
    <s v="Jeans"/>
    <x v="0"/>
    <n v="59"/>
    <x v="0"/>
    <s v="S"/>
    <s v="Charcoal"/>
    <x v="0"/>
    <n v="3.9"/>
    <s v="Yes"/>
    <s v="PayPal"/>
    <s v="Next Day Air"/>
    <s v="Yes"/>
    <s v="Yes"/>
    <n v="5"/>
    <x v="3"/>
    <s v="Annually"/>
    <n v="1"/>
    <x v="0"/>
  </r>
  <r>
    <n v="866"/>
    <n v="64"/>
    <s v="Male"/>
    <s v="Blouse"/>
    <x v="0"/>
    <n v="26"/>
    <x v="24"/>
    <s v="L"/>
    <s v="Charcoal"/>
    <x v="0"/>
    <n v="4.8"/>
    <s v="Yes"/>
    <s v="Bank Transfer"/>
    <s v="Store Pickup"/>
    <s v="Yes"/>
    <s v="Yes"/>
    <n v="23"/>
    <x v="0"/>
    <s v="Annually"/>
    <n v="1"/>
    <x v="0"/>
  </r>
  <r>
    <n v="867"/>
    <n v="67"/>
    <s v="Male"/>
    <s v="Sunglasses"/>
    <x v="3"/>
    <n v="69"/>
    <x v="35"/>
    <s v="M"/>
    <s v="Lavender"/>
    <x v="2"/>
    <n v="2.7"/>
    <s v="Yes"/>
    <s v="Credit Card"/>
    <s v="Free Shipping"/>
    <s v="Yes"/>
    <s v="Yes"/>
    <n v="11"/>
    <x v="3"/>
    <s v="Bi-Weekly"/>
    <n v="1"/>
    <x v="0"/>
  </r>
  <r>
    <n v="868"/>
    <n v="37"/>
    <s v="Male"/>
    <s v="Jacket"/>
    <x v="2"/>
    <n v="20"/>
    <x v="24"/>
    <s v="M"/>
    <s v="Turquoise"/>
    <x v="1"/>
    <n v="3.1"/>
    <s v="Yes"/>
    <s v="Debit Card"/>
    <s v="Free Shipping"/>
    <s v="Yes"/>
    <s v="Yes"/>
    <n v="23"/>
    <x v="4"/>
    <s v="Fortnightly"/>
    <n v="1"/>
    <x v="2"/>
  </r>
  <r>
    <n v="869"/>
    <n v="40"/>
    <s v="Male"/>
    <s v="Dress"/>
    <x v="0"/>
    <n v="83"/>
    <x v="17"/>
    <s v="M"/>
    <s v="Green"/>
    <x v="2"/>
    <n v="3.2"/>
    <s v="Yes"/>
    <s v="Credit Card"/>
    <s v="Next Day Air"/>
    <s v="Yes"/>
    <s v="Yes"/>
    <n v="2"/>
    <x v="2"/>
    <s v="Every 3 Months"/>
    <n v="1"/>
    <x v="2"/>
  </r>
  <r>
    <n v="870"/>
    <n v="38"/>
    <s v="Male"/>
    <s v="Hat"/>
    <x v="3"/>
    <n v="54"/>
    <x v="13"/>
    <s v="M"/>
    <s v="Silver"/>
    <x v="1"/>
    <n v="2.7"/>
    <s v="Yes"/>
    <s v="PayPal"/>
    <s v="2-Day Shipping"/>
    <s v="Yes"/>
    <s v="Yes"/>
    <n v="33"/>
    <x v="3"/>
    <s v="Weekly"/>
    <n v="1"/>
    <x v="2"/>
  </r>
  <r>
    <n v="871"/>
    <n v="66"/>
    <s v="Male"/>
    <s v="Hoodie"/>
    <x v="0"/>
    <n v="66"/>
    <x v="8"/>
    <s v="M"/>
    <s v="Blue"/>
    <x v="3"/>
    <n v="2.5"/>
    <s v="Yes"/>
    <s v="Cash"/>
    <s v="Standard"/>
    <s v="Yes"/>
    <s v="Yes"/>
    <n v="6"/>
    <x v="4"/>
    <s v="Bi-Weekly"/>
    <n v="1"/>
    <x v="0"/>
  </r>
  <r>
    <n v="872"/>
    <n v="47"/>
    <s v="Male"/>
    <s v="Handbag"/>
    <x v="3"/>
    <n v="42"/>
    <x v="11"/>
    <s v="M"/>
    <s v="Charcoal"/>
    <x v="1"/>
    <n v="2.6"/>
    <s v="Yes"/>
    <s v="Bank Transfer"/>
    <s v="Next Day Air"/>
    <s v="Yes"/>
    <s v="Yes"/>
    <n v="45"/>
    <x v="5"/>
    <s v="Quarterly"/>
    <n v="1"/>
    <x v="0"/>
  </r>
  <r>
    <n v="873"/>
    <n v="56"/>
    <s v="Male"/>
    <s v="Jeans"/>
    <x v="0"/>
    <n v="33"/>
    <x v="25"/>
    <s v="M"/>
    <s v="Pink"/>
    <x v="1"/>
    <n v="2.9"/>
    <s v="Yes"/>
    <s v="Cash"/>
    <s v="Standard"/>
    <s v="Yes"/>
    <s v="Yes"/>
    <n v="25"/>
    <x v="1"/>
    <s v="Quarterly"/>
    <n v="1"/>
    <x v="0"/>
  </r>
  <r>
    <n v="874"/>
    <n v="51"/>
    <s v="Male"/>
    <s v="Boots"/>
    <x v="1"/>
    <n v="77"/>
    <x v="16"/>
    <s v="M"/>
    <s v="Pink"/>
    <x v="2"/>
    <n v="4.2"/>
    <s v="Yes"/>
    <s v="PayPal"/>
    <s v="Free Shipping"/>
    <s v="Yes"/>
    <s v="Yes"/>
    <n v="24"/>
    <x v="0"/>
    <s v="Quarterly"/>
    <n v="1"/>
    <x v="0"/>
  </r>
  <r>
    <n v="875"/>
    <n v="25"/>
    <s v="Male"/>
    <s v="Jacket"/>
    <x v="2"/>
    <n v="65"/>
    <x v="1"/>
    <s v="M"/>
    <s v="Magenta"/>
    <x v="3"/>
    <n v="4.4000000000000004"/>
    <s v="Yes"/>
    <s v="PayPal"/>
    <s v="Free Shipping"/>
    <s v="Yes"/>
    <s v="Yes"/>
    <n v="10"/>
    <x v="0"/>
    <s v="Every 3 Months"/>
    <n v="1"/>
    <x v="1"/>
  </r>
  <r>
    <n v="876"/>
    <n v="37"/>
    <s v="Male"/>
    <s v="Sandals"/>
    <x v="1"/>
    <n v="39"/>
    <x v="25"/>
    <s v="L"/>
    <s v="Gray"/>
    <x v="2"/>
    <n v="4.0999999999999996"/>
    <s v="Yes"/>
    <s v="Venmo"/>
    <s v="Free Shipping"/>
    <s v="Yes"/>
    <s v="Yes"/>
    <n v="7"/>
    <x v="4"/>
    <s v="Every 3 Months"/>
    <n v="1"/>
    <x v="2"/>
  </r>
  <r>
    <n v="877"/>
    <n v="41"/>
    <s v="Male"/>
    <s v="Belt"/>
    <x v="3"/>
    <n v="51"/>
    <x v="43"/>
    <s v="L"/>
    <s v="Gray"/>
    <x v="2"/>
    <n v="3.8"/>
    <s v="Yes"/>
    <s v="Venmo"/>
    <s v="2-Day Shipping"/>
    <s v="Yes"/>
    <s v="Yes"/>
    <n v="1"/>
    <x v="5"/>
    <s v="Weekly"/>
    <n v="1"/>
    <x v="2"/>
  </r>
  <r>
    <n v="878"/>
    <n v="64"/>
    <s v="Male"/>
    <s v="Handbag"/>
    <x v="3"/>
    <n v="65"/>
    <x v="43"/>
    <s v="M"/>
    <s v="Orange"/>
    <x v="0"/>
    <n v="4.9000000000000004"/>
    <s v="Yes"/>
    <s v="Venmo"/>
    <s v="Next Day Air"/>
    <s v="Yes"/>
    <s v="Yes"/>
    <n v="45"/>
    <x v="0"/>
    <s v="Every 3 Months"/>
    <n v="1"/>
    <x v="0"/>
  </r>
  <r>
    <n v="879"/>
    <n v="23"/>
    <s v="Male"/>
    <s v="Sunglasses"/>
    <x v="3"/>
    <n v="89"/>
    <x v="30"/>
    <s v="S"/>
    <s v="Black"/>
    <x v="2"/>
    <n v="4.9000000000000004"/>
    <s v="Yes"/>
    <s v="Cash"/>
    <s v="Express"/>
    <s v="Yes"/>
    <s v="Yes"/>
    <n v="37"/>
    <x v="5"/>
    <s v="Weekly"/>
    <n v="1"/>
    <x v="1"/>
  </r>
  <r>
    <n v="880"/>
    <n v="62"/>
    <s v="Male"/>
    <s v="Skirt"/>
    <x v="0"/>
    <n v="76"/>
    <x v="5"/>
    <s v="S"/>
    <s v="Lavender"/>
    <x v="1"/>
    <n v="4.0999999999999996"/>
    <s v="Yes"/>
    <s v="Credit Card"/>
    <s v="Free Shipping"/>
    <s v="Yes"/>
    <s v="Yes"/>
    <n v="14"/>
    <x v="3"/>
    <s v="Quarterly"/>
    <n v="1"/>
    <x v="0"/>
  </r>
  <r>
    <n v="881"/>
    <n v="39"/>
    <s v="Male"/>
    <s v="Backpack"/>
    <x v="3"/>
    <n v="75"/>
    <x v="22"/>
    <s v="L"/>
    <s v="Red"/>
    <x v="1"/>
    <n v="3.1"/>
    <s v="Yes"/>
    <s v="Venmo"/>
    <s v="Express"/>
    <s v="Yes"/>
    <s v="Yes"/>
    <n v="25"/>
    <x v="5"/>
    <s v="Monthly"/>
    <n v="1"/>
    <x v="2"/>
  </r>
  <r>
    <n v="882"/>
    <n v="52"/>
    <s v="Male"/>
    <s v="Sandals"/>
    <x v="1"/>
    <n v="61"/>
    <x v="36"/>
    <s v="M"/>
    <s v="Silver"/>
    <x v="2"/>
    <n v="2.7"/>
    <s v="Yes"/>
    <s v="Credit Card"/>
    <s v="Next Day Air"/>
    <s v="Yes"/>
    <s v="Yes"/>
    <n v="18"/>
    <x v="0"/>
    <s v="Annually"/>
    <n v="1"/>
    <x v="0"/>
  </r>
  <r>
    <n v="883"/>
    <n v="50"/>
    <s v="Male"/>
    <s v="Boots"/>
    <x v="1"/>
    <n v="35"/>
    <x v="41"/>
    <s v="M"/>
    <s v="Cyan"/>
    <x v="3"/>
    <n v="3.8"/>
    <s v="Yes"/>
    <s v="Cash"/>
    <s v="Next Day Air"/>
    <s v="Yes"/>
    <s v="Yes"/>
    <n v="37"/>
    <x v="1"/>
    <s v="Every 3 Months"/>
    <n v="1"/>
    <x v="0"/>
  </r>
  <r>
    <n v="884"/>
    <n v="28"/>
    <s v="Male"/>
    <s v="Sneakers"/>
    <x v="1"/>
    <n v="37"/>
    <x v="38"/>
    <s v="S"/>
    <s v="Gold"/>
    <x v="3"/>
    <n v="4.3"/>
    <s v="Yes"/>
    <s v="Venmo"/>
    <s v="Free Shipping"/>
    <s v="Yes"/>
    <s v="Yes"/>
    <n v="30"/>
    <x v="4"/>
    <s v="Monthly"/>
    <n v="1"/>
    <x v="3"/>
  </r>
  <r>
    <n v="885"/>
    <n v="67"/>
    <s v="Male"/>
    <s v="Skirt"/>
    <x v="0"/>
    <n v="91"/>
    <x v="11"/>
    <s v="L"/>
    <s v="Yellow"/>
    <x v="0"/>
    <n v="4.0999999999999996"/>
    <s v="Yes"/>
    <s v="Venmo"/>
    <s v="Express"/>
    <s v="Yes"/>
    <s v="Yes"/>
    <n v="34"/>
    <x v="4"/>
    <s v="Weekly"/>
    <n v="1"/>
    <x v="0"/>
  </r>
  <r>
    <n v="886"/>
    <n v="41"/>
    <s v="Male"/>
    <s v="Dress"/>
    <x v="0"/>
    <n v="99"/>
    <x v="31"/>
    <s v="L"/>
    <s v="Purple"/>
    <x v="3"/>
    <n v="4.4000000000000004"/>
    <s v="Yes"/>
    <s v="Credit Card"/>
    <s v="Free Shipping"/>
    <s v="Yes"/>
    <s v="Yes"/>
    <n v="49"/>
    <x v="5"/>
    <s v="Every 3 Months"/>
    <n v="1"/>
    <x v="2"/>
  </r>
  <r>
    <n v="887"/>
    <n v="19"/>
    <s v="Male"/>
    <s v="Shorts"/>
    <x v="0"/>
    <n v="54"/>
    <x v="40"/>
    <s v="S"/>
    <s v="Brown"/>
    <x v="2"/>
    <n v="3.6"/>
    <s v="Yes"/>
    <s v="PayPal"/>
    <s v="Express"/>
    <s v="Yes"/>
    <s v="Yes"/>
    <n v="48"/>
    <x v="4"/>
    <s v="Monthly"/>
    <n v="1"/>
    <x v="1"/>
  </r>
  <r>
    <n v="888"/>
    <n v="70"/>
    <s v="Male"/>
    <s v="Handbag"/>
    <x v="3"/>
    <n v="47"/>
    <x v="46"/>
    <s v="L"/>
    <s v="Turquoise"/>
    <x v="0"/>
    <n v="3.3"/>
    <s v="Yes"/>
    <s v="Credit Card"/>
    <s v="2-Day Shipping"/>
    <s v="Yes"/>
    <s v="Yes"/>
    <n v="33"/>
    <x v="3"/>
    <s v="Fortnightly"/>
    <n v="1"/>
    <x v="0"/>
  </r>
  <r>
    <n v="889"/>
    <n v="49"/>
    <s v="Male"/>
    <s v="Scarf"/>
    <x v="3"/>
    <n v="77"/>
    <x v="13"/>
    <s v="S"/>
    <s v="Gold"/>
    <x v="1"/>
    <n v="3.6"/>
    <s v="Yes"/>
    <s v="Venmo"/>
    <s v="Express"/>
    <s v="Yes"/>
    <s v="Yes"/>
    <n v="44"/>
    <x v="1"/>
    <s v="Annually"/>
    <n v="1"/>
    <x v="0"/>
  </r>
  <r>
    <n v="890"/>
    <n v="59"/>
    <s v="Male"/>
    <s v="Belt"/>
    <x v="3"/>
    <n v="84"/>
    <x v="28"/>
    <s v="S"/>
    <s v="Olive"/>
    <x v="3"/>
    <n v="2.8"/>
    <s v="Yes"/>
    <s v="Venmo"/>
    <s v="Free Shipping"/>
    <s v="Yes"/>
    <s v="Yes"/>
    <n v="50"/>
    <x v="0"/>
    <s v="Weekly"/>
    <n v="1"/>
    <x v="0"/>
  </r>
  <r>
    <n v="891"/>
    <n v="52"/>
    <s v="Male"/>
    <s v="Gloves"/>
    <x v="3"/>
    <n v="51"/>
    <x v="14"/>
    <s v="S"/>
    <s v="Purple"/>
    <x v="1"/>
    <n v="4.3"/>
    <s v="Yes"/>
    <s v="Credit Card"/>
    <s v="2-Day Shipping"/>
    <s v="Yes"/>
    <s v="Yes"/>
    <n v="47"/>
    <x v="2"/>
    <s v="Monthly"/>
    <n v="1"/>
    <x v="0"/>
  </r>
  <r>
    <n v="892"/>
    <n v="20"/>
    <s v="Male"/>
    <s v="Skirt"/>
    <x v="0"/>
    <n v="26"/>
    <x v="38"/>
    <s v="S"/>
    <s v="Lavender"/>
    <x v="2"/>
    <n v="3.9"/>
    <s v="Yes"/>
    <s v="Venmo"/>
    <s v="Store Pickup"/>
    <s v="Yes"/>
    <s v="Yes"/>
    <n v="24"/>
    <x v="3"/>
    <s v="Every 3 Months"/>
    <n v="1"/>
    <x v="1"/>
  </r>
  <r>
    <n v="893"/>
    <n v="31"/>
    <s v="Male"/>
    <s v="Shorts"/>
    <x v="0"/>
    <n v="64"/>
    <x v="35"/>
    <s v="L"/>
    <s v="Gray"/>
    <x v="2"/>
    <n v="2.7"/>
    <s v="Yes"/>
    <s v="Venmo"/>
    <s v="Free Shipping"/>
    <s v="Yes"/>
    <s v="Yes"/>
    <n v="43"/>
    <x v="5"/>
    <s v="Monthly"/>
    <n v="1"/>
    <x v="3"/>
  </r>
  <r>
    <n v="894"/>
    <n v="33"/>
    <s v="Male"/>
    <s v="Backpack"/>
    <x v="3"/>
    <n v="51"/>
    <x v="43"/>
    <s v="M"/>
    <s v="Red"/>
    <x v="1"/>
    <n v="4.7"/>
    <s v="Yes"/>
    <s v="Debit Card"/>
    <s v="Express"/>
    <s v="Yes"/>
    <s v="Yes"/>
    <n v="14"/>
    <x v="0"/>
    <s v="Monthly"/>
    <n v="1"/>
    <x v="3"/>
  </r>
  <r>
    <n v="895"/>
    <n v="44"/>
    <s v="Male"/>
    <s v="Hoodie"/>
    <x v="0"/>
    <n v="60"/>
    <x v="5"/>
    <s v="L"/>
    <s v="Purple"/>
    <x v="1"/>
    <n v="3.8"/>
    <s v="Yes"/>
    <s v="Venmo"/>
    <s v="Free Shipping"/>
    <s v="Yes"/>
    <s v="Yes"/>
    <n v="3"/>
    <x v="5"/>
    <s v="Quarterly"/>
    <n v="1"/>
    <x v="2"/>
  </r>
  <r>
    <n v="896"/>
    <n v="40"/>
    <s v="Male"/>
    <s v="Hat"/>
    <x v="3"/>
    <n v="69"/>
    <x v="16"/>
    <s v="XL"/>
    <s v="Olive"/>
    <x v="1"/>
    <n v="4.7"/>
    <s v="Yes"/>
    <s v="Debit Card"/>
    <s v="Next Day Air"/>
    <s v="Yes"/>
    <s v="Yes"/>
    <n v="33"/>
    <x v="5"/>
    <s v="Quarterly"/>
    <n v="1"/>
    <x v="2"/>
  </r>
  <r>
    <n v="897"/>
    <n v="69"/>
    <s v="Male"/>
    <s v="Jewelry"/>
    <x v="3"/>
    <n v="29"/>
    <x v="10"/>
    <s v="M"/>
    <s v="Lavender"/>
    <x v="1"/>
    <n v="4.7"/>
    <s v="Yes"/>
    <s v="Credit Card"/>
    <s v="Express"/>
    <s v="Yes"/>
    <s v="Yes"/>
    <n v="38"/>
    <x v="1"/>
    <s v="Fortnightly"/>
    <n v="1"/>
    <x v="0"/>
  </r>
  <r>
    <n v="898"/>
    <n v="29"/>
    <s v="Male"/>
    <s v="Shirt"/>
    <x v="0"/>
    <n v="91"/>
    <x v="26"/>
    <s v="M"/>
    <s v="Gray"/>
    <x v="1"/>
    <n v="3.4"/>
    <s v="Yes"/>
    <s v="PayPal"/>
    <s v="Express"/>
    <s v="Yes"/>
    <s v="Yes"/>
    <n v="46"/>
    <x v="0"/>
    <s v="Weekly"/>
    <n v="1"/>
    <x v="3"/>
  </r>
  <r>
    <n v="899"/>
    <n v="54"/>
    <s v="Male"/>
    <s v="Belt"/>
    <x v="3"/>
    <n v="70"/>
    <x v="22"/>
    <s v="L"/>
    <s v="Red"/>
    <x v="1"/>
    <n v="3.5"/>
    <s v="Yes"/>
    <s v="Credit Card"/>
    <s v="2-Day Shipping"/>
    <s v="Yes"/>
    <s v="Yes"/>
    <n v="19"/>
    <x v="4"/>
    <s v="Every 3 Months"/>
    <n v="1"/>
    <x v="0"/>
  </r>
  <r>
    <n v="900"/>
    <n v="65"/>
    <s v="Male"/>
    <s v="Sweater"/>
    <x v="0"/>
    <n v="58"/>
    <x v="3"/>
    <s v="M"/>
    <s v="Peach"/>
    <x v="2"/>
    <n v="4"/>
    <s v="Yes"/>
    <s v="Debit Card"/>
    <s v="Standard"/>
    <s v="Yes"/>
    <s v="Yes"/>
    <n v="20"/>
    <x v="3"/>
    <s v="Annually"/>
    <n v="1"/>
    <x v="0"/>
  </r>
  <r>
    <n v="901"/>
    <n v="54"/>
    <s v="Male"/>
    <s v="Hat"/>
    <x v="3"/>
    <n v="98"/>
    <x v="8"/>
    <s v="L"/>
    <s v="Gray"/>
    <x v="3"/>
    <n v="3.3"/>
    <s v="Yes"/>
    <s v="Cash"/>
    <s v="Free Shipping"/>
    <s v="Yes"/>
    <s v="Yes"/>
    <n v="42"/>
    <x v="4"/>
    <s v="Quarterly"/>
    <n v="1"/>
    <x v="0"/>
  </r>
  <r>
    <n v="902"/>
    <n v="60"/>
    <s v="Male"/>
    <s v="Scarf"/>
    <x v="3"/>
    <n v="68"/>
    <x v="9"/>
    <s v="L"/>
    <s v="Violet"/>
    <x v="2"/>
    <n v="4.7"/>
    <s v="Yes"/>
    <s v="Debit Card"/>
    <s v="2-Day Shipping"/>
    <s v="Yes"/>
    <s v="Yes"/>
    <n v="34"/>
    <x v="1"/>
    <s v="Monthly"/>
    <n v="1"/>
    <x v="0"/>
  </r>
  <r>
    <n v="903"/>
    <n v="43"/>
    <s v="Male"/>
    <s v="Hat"/>
    <x v="3"/>
    <n v="44"/>
    <x v="0"/>
    <s v="M"/>
    <s v="Beige"/>
    <x v="2"/>
    <n v="2.8"/>
    <s v="Yes"/>
    <s v="Debit Card"/>
    <s v="Next Day Air"/>
    <s v="Yes"/>
    <s v="Yes"/>
    <n v="5"/>
    <x v="1"/>
    <s v="Monthly"/>
    <n v="1"/>
    <x v="2"/>
  </r>
  <r>
    <n v="904"/>
    <n v="44"/>
    <s v="Male"/>
    <s v="Jacket"/>
    <x v="2"/>
    <n v="45"/>
    <x v="47"/>
    <s v="M"/>
    <s v="Blue"/>
    <x v="0"/>
    <n v="3.3"/>
    <s v="Yes"/>
    <s v="Bank Transfer"/>
    <s v="Express"/>
    <s v="Yes"/>
    <s v="Yes"/>
    <n v="3"/>
    <x v="3"/>
    <s v="Quarterly"/>
    <n v="1"/>
    <x v="2"/>
  </r>
  <r>
    <n v="905"/>
    <n v="69"/>
    <s v="Male"/>
    <s v="T-shirt"/>
    <x v="0"/>
    <n v="99"/>
    <x v="29"/>
    <s v="L"/>
    <s v="Magenta"/>
    <x v="1"/>
    <n v="2.9"/>
    <s v="Yes"/>
    <s v="Credit Card"/>
    <s v="Free Shipping"/>
    <s v="Yes"/>
    <s v="Yes"/>
    <n v="46"/>
    <x v="3"/>
    <s v="Every 3 Months"/>
    <n v="1"/>
    <x v="0"/>
  </r>
  <r>
    <n v="906"/>
    <n v="46"/>
    <s v="Male"/>
    <s v="Dress"/>
    <x v="0"/>
    <n v="68"/>
    <x v="16"/>
    <s v="S"/>
    <s v="Cyan"/>
    <x v="1"/>
    <n v="2.8"/>
    <s v="Yes"/>
    <s v="Credit Card"/>
    <s v="Standard"/>
    <s v="Yes"/>
    <s v="Yes"/>
    <n v="16"/>
    <x v="0"/>
    <s v="Annually"/>
    <n v="1"/>
    <x v="0"/>
  </r>
  <r>
    <n v="907"/>
    <n v="41"/>
    <s v="Male"/>
    <s v="Pants"/>
    <x v="0"/>
    <n v="56"/>
    <x v="36"/>
    <s v="M"/>
    <s v="Red"/>
    <x v="1"/>
    <n v="4.2"/>
    <s v="Yes"/>
    <s v="Debit Card"/>
    <s v="Standard"/>
    <s v="Yes"/>
    <s v="Yes"/>
    <n v="21"/>
    <x v="5"/>
    <s v="Bi-Weekly"/>
    <n v="1"/>
    <x v="2"/>
  </r>
  <r>
    <n v="908"/>
    <n v="32"/>
    <s v="Male"/>
    <s v="Sweater"/>
    <x v="0"/>
    <n v="43"/>
    <x v="9"/>
    <s v="L"/>
    <s v="Cyan"/>
    <x v="0"/>
    <n v="4.4000000000000004"/>
    <s v="Yes"/>
    <s v="PayPal"/>
    <s v="Express"/>
    <s v="Yes"/>
    <s v="Yes"/>
    <n v="34"/>
    <x v="2"/>
    <s v="Bi-Weekly"/>
    <n v="1"/>
    <x v="3"/>
  </r>
  <r>
    <n v="909"/>
    <n v="26"/>
    <s v="Male"/>
    <s v="Sunglasses"/>
    <x v="3"/>
    <n v="99"/>
    <x v="32"/>
    <s v="M"/>
    <s v="Turquoise"/>
    <x v="0"/>
    <n v="3.6"/>
    <s v="Yes"/>
    <s v="Cash"/>
    <s v="Free Shipping"/>
    <s v="Yes"/>
    <s v="Yes"/>
    <n v="9"/>
    <x v="3"/>
    <s v="Every 3 Months"/>
    <n v="1"/>
    <x v="3"/>
  </r>
  <r>
    <n v="910"/>
    <n v="61"/>
    <s v="Male"/>
    <s v="Belt"/>
    <x v="3"/>
    <n v="56"/>
    <x v="7"/>
    <s v="L"/>
    <s v="Silver"/>
    <x v="3"/>
    <n v="2.7"/>
    <s v="Yes"/>
    <s v="Debit Card"/>
    <s v="Express"/>
    <s v="Yes"/>
    <s v="Yes"/>
    <n v="36"/>
    <x v="3"/>
    <s v="Weekly"/>
    <n v="1"/>
    <x v="0"/>
  </r>
  <r>
    <n v="911"/>
    <n v="49"/>
    <s v="Male"/>
    <s v="Hoodie"/>
    <x v="0"/>
    <n v="25"/>
    <x v="36"/>
    <s v="S"/>
    <s v="Pink"/>
    <x v="1"/>
    <n v="3.4"/>
    <s v="Yes"/>
    <s v="Bank Transfer"/>
    <s v="Express"/>
    <s v="Yes"/>
    <s v="Yes"/>
    <n v="22"/>
    <x v="2"/>
    <s v="Monthly"/>
    <n v="1"/>
    <x v="0"/>
  </r>
  <r>
    <n v="912"/>
    <n v="53"/>
    <s v="Male"/>
    <s v="Pants"/>
    <x v="0"/>
    <n v="74"/>
    <x v="34"/>
    <s v="M"/>
    <s v="Black"/>
    <x v="0"/>
    <n v="2.8"/>
    <s v="Yes"/>
    <s v="Cash"/>
    <s v="2-Day Shipping"/>
    <s v="Yes"/>
    <s v="Yes"/>
    <n v="2"/>
    <x v="4"/>
    <s v="Quarterly"/>
    <n v="1"/>
    <x v="0"/>
  </r>
  <r>
    <n v="913"/>
    <n v="24"/>
    <s v="Male"/>
    <s v="Hoodie"/>
    <x v="0"/>
    <n v="56"/>
    <x v="10"/>
    <s v="M"/>
    <s v="Green"/>
    <x v="0"/>
    <n v="3.4"/>
    <s v="Yes"/>
    <s v="Bank Transfer"/>
    <s v="Next Day Air"/>
    <s v="Yes"/>
    <s v="Yes"/>
    <n v="32"/>
    <x v="4"/>
    <s v="Monthly"/>
    <n v="1"/>
    <x v="1"/>
  </r>
  <r>
    <n v="914"/>
    <n v="37"/>
    <s v="Male"/>
    <s v="Sneakers"/>
    <x v="1"/>
    <n v="47"/>
    <x v="40"/>
    <s v="M"/>
    <s v="Yellow"/>
    <x v="3"/>
    <n v="2.6"/>
    <s v="Yes"/>
    <s v="Bank Transfer"/>
    <s v="Next Day Air"/>
    <s v="Yes"/>
    <s v="Yes"/>
    <n v="29"/>
    <x v="1"/>
    <s v="Every 3 Months"/>
    <n v="1"/>
    <x v="2"/>
  </r>
  <r>
    <n v="915"/>
    <n v="43"/>
    <s v="Male"/>
    <s v="Dress"/>
    <x v="0"/>
    <n v="67"/>
    <x v="47"/>
    <s v="L"/>
    <s v="Purple"/>
    <x v="2"/>
    <n v="4.0999999999999996"/>
    <s v="Yes"/>
    <s v="PayPal"/>
    <s v="Standard"/>
    <s v="Yes"/>
    <s v="Yes"/>
    <n v="27"/>
    <x v="0"/>
    <s v="Every 3 Months"/>
    <n v="1"/>
    <x v="2"/>
  </r>
  <r>
    <n v="916"/>
    <n v="31"/>
    <s v="Male"/>
    <s v="Dress"/>
    <x v="0"/>
    <n v="22"/>
    <x v="3"/>
    <s v="L"/>
    <s v="Purple"/>
    <x v="0"/>
    <n v="2.9"/>
    <s v="Yes"/>
    <s v="Debit Card"/>
    <s v="Store Pickup"/>
    <s v="Yes"/>
    <s v="Yes"/>
    <n v="33"/>
    <x v="2"/>
    <s v="Fortnightly"/>
    <n v="1"/>
    <x v="3"/>
  </r>
  <r>
    <n v="917"/>
    <n v="49"/>
    <s v="Male"/>
    <s v="Jeans"/>
    <x v="0"/>
    <n v="34"/>
    <x v="26"/>
    <s v="S"/>
    <s v="Blue"/>
    <x v="1"/>
    <n v="2.7"/>
    <s v="Yes"/>
    <s v="Cash"/>
    <s v="Standard"/>
    <s v="Yes"/>
    <s v="Yes"/>
    <n v="16"/>
    <x v="0"/>
    <s v="Monthly"/>
    <n v="1"/>
    <x v="0"/>
  </r>
  <r>
    <n v="918"/>
    <n v="69"/>
    <s v="Male"/>
    <s v="Sweater"/>
    <x v="0"/>
    <n v="64"/>
    <x v="9"/>
    <s v="M"/>
    <s v="Maroon"/>
    <x v="1"/>
    <n v="3.7"/>
    <s v="Yes"/>
    <s v="Debit Card"/>
    <s v="Standard"/>
    <s v="Yes"/>
    <s v="Yes"/>
    <n v="11"/>
    <x v="4"/>
    <s v="Quarterly"/>
    <n v="1"/>
    <x v="0"/>
  </r>
  <r>
    <n v="919"/>
    <n v="65"/>
    <s v="Male"/>
    <s v="Shorts"/>
    <x v="0"/>
    <n v="42"/>
    <x v="17"/>
    <s v="M"/>
    <s v="Orange"/>
    <x v="1"/>
    <n v="4.3"/>
    <s v="Yes"/>
    <s v="Cash"/>
    <s v="2-Day Shipping"/>
    <s v="Yes"/>
    <s v="Yes"/>
    <n v="11"/>
    <x v="1"/>
    <s v="Fortnightly"/>
    <n v="1"/>
    <x v="0"/>
  </r>
  <r>
    <n v="920"/>
    <n v="41"/>
    <s v="Male"/>
    <s v="Shirt"/>
    <x v="0"/>
    <n v="82"/>
    <x v="2"/>
    <s v="L"/>
    <s v="Green"/>
    <x v="0"/>
    <n v="2.6"/>
    <s v="Yes"/>
    <s v="PayPal"/>
    <s v="2-Day Shipping"/>
    <s v="Yes"/>
    <s v="Yes"/>
    <n v="17"/>
    <x v="5"/>
    <s v="Bi-Weekly"/>
    <n v="1"/>
    <x v="2"/>
  </r>
  <r>
    <n v="921"/>
    <n v="37"/>
    <s v="Male"/>
    <s v="Belt"/>
    <x v="3"/>
    <n v="81"/>
    <x v="10"/>
    <s v="XL"/>
    <s v="Gold"/>
    <x v="2"/>
    <n v="4.3"/>
    <s v="Yes"/>
    <s v="Credit Card"/>
    <s v="Free Shipping"/>
    <s v="Yes"/>
    <s v="Yes"/>
    <n v="37"/>
    <x v="1"/>
    <s v="Weekly"/>
    <n v="1"/>
    <x v="2"/>
  </r>
  <r>
    <n v="922"/>
    <n v="70"/>
    <s v="Male"/>
    <s v="Coat"/>
    <x v="2"/>
    <n v="24"/>
    <x v="45"/>
    <s v="L"/>
    <s v="Silver"/>
    <x v="2"/>
    <n v="4.0999999999999996"/>
    <s v="Yes"/>
    <s v="Venmo"/>
    <s v="Express"/>
    <s v="Yes"/>
    <s v="Yes"/>
    <n v="18"/>
    <x v="3"/>
    <s v="Weekly"/>
    <n v="1"/>
    <x v="0"/>
  </r>
  <r>
    <n v="923"/>
    <n v="63"/>
    <s v="Male"/>
    <s v="Sneakers"/>
    <x v="1"/>
    <n v="60"/>
    <x v="42"/>
    <s v="M"/>
    <s v="Cyan"/>
    <x v="3"/>
    <n v="4.2"/>
    <s v="Yes"/>
    <s v="Venmo"/>
    <s v="Standard"/>
    <s v="Yes"/>
    <s v="Yes"/>
    <n v="13"/>
    <x v="2"/>
    <s v="Monthly"/>
    <n v="1"/>
    <x v="0"/>
  </r>
  <r>
    <n v="924"/>
    <n v="55"/>
    <s v="Male"/>
    <s v="Shirt"/>
    <x v="0"/>
    <n v="24"/>
    <x v="10"/>
    <s v="M"/>
    <s v="Silver"/>
    <x v="1"/>
    <n v="4.2"/>
    <s v="Yes"/>
    <s v="PayPal"/>
    <s v="2-Day Shipping"/>
    <s v="Yes"/>
    <s v="Yes"/>
    <n v="7"/>
    <x v="3"/>
    <s v="Weekly"/>
    <n v="1"/>
    <x v="0"/>
  </r>
  <r>
    <n v="925"/>
    <n v="52"/>
    <s v="Male"/>
    <s v="Socks"/>
    <x v="0"/>
    <n v="78"/>
    <x v="23"/>
    <s v="XL"/>
    <s v="Beige"/>
    <x v="0"/>
    <n v="3.1"/>
    <s v="Yes"/>
    <s v="Credit Card"/>
    <s v="Standard"/>
    <s v="Yes"/>
    <s v="Yes"/>
    <n v="37"/>
    <x v="1"/>
    <s v="Quarterly"/>
    <n v="1"/>
    <x v="0"/>
  </r>
  <r>
    <n v="926"/>
    <n v="22"/>
    <s v="Male"/>
    <s v="Jeans"/>
    <x v="0"/>
    <n v="88"/>
    <x v="28"/>
    <s v="L"/>
    <s v="Teal"/>
    <x v="0"/>
    <n v="4.9000000000000004"/>
    <s v="Yes"/>
    <s v="Credit Card"/>
    <s v="Express"/>
    <s v="Yes"/>
    <s v="Yes"/>
    <n v="8"/>
    <x v="1"/>
    <s v="Monthly"/>
    <n v="1"/>
    <x v="1"/>
  </r>
  <r>
    <n v="927"/>
    <n v="54"/>
    <s v="Male"/>
    <s v="Jeans"/>
    <x v="0"/>
    <n v="63"/>
    <x v="2"/>
    <s v="XL"/>
    <s v="Green"/>
    <x v="1"/>
    <n v="4.4000000000000004"/>
    <s v="Yes"/>
    <s v="PayPal"/>
    <s v="Express"/>
    <s v="Yes"/>
    <s v="Yes"/>
    <n v="11"/>
    <x v="1"/>
    <s v="Bi-Weekly"/>
    <n v="1"/>
    <x v="0"/>
  </r>
  <r>
    <n v="928"/>
    <n v="28"/>
    <s v="Male"/>
    <s v="Sneakers"/>
    <x v="1"/>
    <n v="78"/>
    <x v="35"/>
    <s v="L"/>
    <s v="Black"/>
    <x v="2"/>
    <n v="4.4000000000000004"/>
    <s v="Yes"/>
    <s v="Bank Transfer"/>
    <s v="Standard"/>
    <s v="Yes"/>
    <s v="Yes"/>
    <n v="8"/>
    <x v="0"/>
    <s v="Bi-Weekly"/>
    <n v="1"/>
    <x v="3"/>
  </r>
  <r>
    <n v="929"/>
    <n v="67"/>
    <s v="Male"/>
    <s v="Dress"/>
    <x v="0"/>
    <n v="37"/>
    <x v="10"/>
    <s v="XL"/>
    <s v="Yellow"/>
    <x v="0"/>
    <n v="3.4"/>
    <s v="Yes"/>
    <s v="Bank Transfer"/>
    <s v="Store Pickup"/>
    <s v="Yes"/>
    <s v="Yes"/>
    <n v="31"/>
    <x v="1"/>
    <s v="Every 3 Months"/>
    <n v="1"/>
    <x v="0"/>
  </r>
  <r>
    <n v="930"/>
    <n v="59"/>
    <s v="Male"/>
    <s v="Boots"/>
    <x v="1"/>
    <n v="94"/>
    <x v="43"/>
    <s v="M"/>
    <s v="White"/>
    <x v="3"/>
    <n v="4.5"/>
    <s v="Yes"/>
    <s v="Venmo"/>
    <s v="2-Day Shipping"/>
    <s v="Yes"/>
    <s v="Yes"/>
    <n v="26"/>
    <x v="5"/>
    <s v="Fortnightly"/>
    <n v="1"/>
    <x v="0"/>
  </r>
  <r>
    <n v="931"/>
    <n v="26"/>
    <s v="Male"/>
    <s v="T-shirt"/>
    <x v="0"/>
    <n v="78"/>
    <x v="11"/>
    <s v="L"/>
    <s v="Green"/>
    <x v="3"/>
    <n v="4.5"/>
    <s v="Yes"/>
    <s v="Credit Card"/>
    <s v="Store Pickup"/>
    <s v="Yes"/>
    <s v="Yes"/>
    <n v="20"/>
    <x v="2"/>
    <s v="Bi-Weekly"/>
    <n v="1"/>
    <x v="3"/>
  </r>
  <r>
    <n v="932"/>
    <n v="24"/>
    <s v="Male"/>
    <s v="Coat"/>
    <x v="2"/>
    <n v="36"/>
    <x v="43"/>
    <s v="M"/>
    <s v="Silver"/>
    <x v="0"/>
    <n v="4.0999999999999996"/>
    <s v="Yes"/>
    <s v="Cash"/>
    <s v="Standard"/>
    <s v="Yes"/>
    <s v="Yes"/>
    <n v="24"/>
    <x v="4"/>
    <s v="Fortnightly"/>
    <n v="1"/>
    <x v="1"/>
  </r>
  <r>
    <n v="933"/>
    <n v="62"/>
    <s v="Male"/>
    <s v="Skirt"/>
    <x v="0"/>
    <n v="24"/>
    <x v="27"/>
    <s v="L"/>
    <s v="Blue"/>
    <x v="0"/>
    <n v="3.2"/>
    <s v="Yes"/>
    <s v="Venmo"/>
    <s v="Standard"/>
    <s v="Yes"/>
    <s v="Yes"/>
    <n v="45"/>
    <x v="5"/>
    <s v="Bi-Weekly"/>
    <n v="1"/>
    <x v="0"/>
  </r>
  <r>
    <n v="934"/>
    <n v="70"/>
    <s v="Male"/>
    <s v="Sneakers"/>
    <x v="1"/>
    <n v="84"/>
    <x v="24"/>
    <s v="M"/>
    <s v="Magenta"/>
    <x v="1"/>
    <n v="2.7"/>
    <s v="Yes"/>
    <s v="Debit Card"/>
    <s v="Store Pickup"/>
    <s v="Yes"/>
    <s v="Yes"/>
    <n v="33"/>
    <x v="5"/>
    <s v="Monthly"/>
    <n v="1"/>
    <x v="0"/>
  </r>
  <r>
    <n v="935"/>
    <n v="45"/>
    <s v="Male"/>
    <s v="Jeans"/>
    <x v="0"/>
    <n v="47"/>
    <x v="4"/>
    <s v="S"/>
    <s v="Yellow"/>
    <x v="1"/>
    <n v="3.7"/>
    <s v="Yes"/>
    <s v="Bank Transfer"/>
    <s v="Express"/>
    <s v="Yes"/>
    <s v="Yes"/>
    <n v="21"/>
    <x v="4"/>
    <s v="Monthly"/>
    <n v="1"/>
    <x v="2"/>
  </r>
  <r>
    <n v="936"/>
    <n v="58"/>
    <s v="Male"/>
    <s v="Hoodie"/>
    <x v="0"/>
    <n v="51"/>
    <x v="31"/>
    <s v="L"/>
    <s v="White"/>
    <x v="3"/>
    <n v="2.6"/>
    <s v="Yes"/>
    <s v="Credit Card"/>
    <s v="Store Pickup"/>
    <s v="Yes"/>
    <s v="Yes"/>
    <n v="2"/>
    <x v="4"/>
    <s v="Fortnightly"/>
    <n v="1"/>
    <x v="0"/>
  </r>
  <r>
    <n v="937"/>
    <n v="31"/>
    <s v="Male"/>
    <s v="Shoes"/>
    <x v="1"/>
    <n v="84"/>
    <x v="1"/>
    <s v="M"/>
    <s v="Pink"/>
    <x v="2"/>
    <n v="2.7"/>
    <s v="Yes"/>
    <s v="Debit Card"/>
    <s v="Free Shipping"/>
    <s v="Yes"/>
    <s v="Yes"/>
    <n v="28"/>
    <x v="1"/>
    <s v="Weekly"/>
    <n v="1"/>
    <x v="3"/>
  </r>
  <r>
    <n v="938"/>
    <n v="32"/>
    <s v="Male"/>
    <s v="Shorts"/>
    <x v="0"/>
    <n v="24"/>
    <x v="44"/>
    <s v="M"/>
    <s v="Magenta"/>
    <x v="2"/>
    <n v="2.7"/>
    <s v="Yes"/>
    <s v="Debit Card"/>
    <s v="Express"/>
    <s v="Yes"/>
    <s v="Yes"/>
    <n v="18"/>
    <x v="0"/>
    <s v="Quarterly"/>
    <n v="1"/>
    <x v="3"/>
  </r>
  <r>
    <n v="939"/>
    <n v="36"/>
    <s v="Male"/>
    <s v="Blouse"/>
    <x v="0"/>
    <n v="97"/>
    <x v="48"/>
    <s v="S"/>
    <s v="Teal"/>
    <x v="3"/>
    <n v="4.8"/>
    <s v="Yes"/>
    <s v="Bank Transfer"/>
    <s v="Free Shipping"/>
    <s v="Yes"/>
    <s v="Yes"/>
    <n v="21"/>
    <x v="5"/>
    <s v="Fortnightly"/>
    <n v="1"/>
    <x v="2"/>
  </r>
  <r>
    <n v="940"/>
    <n v="25"/>
    <s v="Male"/>
    <s v="T-shirt"/>
    <x v="0"/>
    <n v="89"/>
    <x v="14"/>
    <s v="L"/>
    <s v="Indigo"/>
    <x v="0"/>
    <n v="4.8"/>
    <s v="Yes"/>
    <s v="Venmo"/>
    <s v="Next Day Air"/>
    <s v="Yes"/>
    <s v="Yes"/>
    <n v="24"/>
    <x v="2"/>
    <s v="Monthly"/>
    <n v="1"/>
    <x v="1"/>
  </r>
  <r>
    <n v="941"/>
    <n v="48"/>
    <s v="Male"/>
    <s v="Belt"/>
    <x v="3"/>
    <n v="44"/>
    <x v="24"/>
    <s v="S"/>
    <s v="Maroon"/>
    <x v="1"/>
    <n v="2.6"/>
    <s v="Yes"/>
    <s v="PayPal"/>
    <s v="Store Pickup"/>
    <s v="Yes"/>
    <s v="Yes"/>
    <n v="15"/>
    <x v="3"/>
    <s v="Every 3 Months"/>
    <n v="1"/>
    <x v="0"/>
  </r>
  <r>
    <n v="942"/>
    <n v="39"/>
    <s v="Male"/>
    <s v="Handbag"/>
    <x v="3"/>
    <n v="35"/>
    <x v="26"/>
    <s v="L"/>
    <s v="Black"/>
    <x v="0"/>
    <n v="4.5"/>
    <s v="Yes"/>
    <s v="Bank Transfer"/>
    <s v="2-Day Shipping"/>
    <s v="Yes"/>
    <s v="Yes"/>
    <n v="38"/>
    <x v="3"/>
    <s v="Every 3 Months"/>
    <n v="1"/>
    <x v="2"/>
  </r>
  <r>
    <n v="943"/>
    <n v="26"/>
    <s v="Male"/>
    <s v="Dress"/>
    <x v="0"/>
    <n v="91"/>
    <x v="28"/>
    <s v="M"/>
    <s v="Cyan"/>
    <x v="0"/>
    <n v="3.2"/>
    <s v="Yes"/>
    <s v="Cash"/>
    <s v="Express"/>
    <s v="Yes"/>
    <s v="Yes"/>
    <n v="38"/>
    <x v="3"/>
    <s v="Bi-Weekly"/>
    <n v="1"/>
    <x v="3"/>
  </r>
  <r>
    <n v="944"/>
    <n v="32"/>
    <s v="Male"/>
    <s v="Hat"/>
    <x v="3"/>
    <n v="63"/>
    <x v="19"/>
    <s v="L"/>
    <s v="Cyan"/>
    <x v="0"/>
    <n v="3.8"/>
    <s v="Yes"/>
    <s v="PayPal"/>
    <s v="Next Day Air"/>
    <s v="Yes"/>
    <s v="Yes"/>
    <n v="13"/>
    <x v="0"/>
    <s v="Fortnightly"/>
    <n v="1"/>
    <x v="3"/>
  </r>
  <r>
    <n v="945"/>
    <n v="54"/>
    <s v="Male"/>
    <s v="Belt"/>
    <x v="3"/>
    <n v="97"/>
    <x v="27"/>
    <s v="S"/>
    <s v="Gray"/>
    <x v="1"/>
    <n v="4.8"/>
    <s v="Yes"/>
    <s v="Debit Card"/>
    <s v="Express"/>
    <s v="Yes"/>
    <s v="Yes"/>
    <n v="39"/>
    <x v="1"/>
    <s v="Bi-Weekly"/>
    <n v="1"/>
    <x v="0"/>
  </r>
  <r>
    <n v="946"/>
    <n v="38"/>
    <s v="Male"/>
    <s v="Boots"/>
    <x v="1"/>
    <n v="38"/>
    <x v="46"/>
    <s v="M"/>
    <s v="Violet"/>
    <x v="2"/>
    <n v="4.0999999999999996"/>
    <s v="Yes"/>
    <s v="Debit Card"/>
    <s v="Store Pickup"/>
    <s v="Yes"/>
    <s v="Yes"/>
    <n v="8"/>
    <x v="0"/>
    <s v="Every 3 Months"/>
    <n v="1"/>
    <x v="2"/>
  </r>
  <r>
    <n v="947"/>
    <n v="46"/>
    <s v="Male"/>
    <s v="Coat"/>
    <x v="2"/>
    <n v="24"/>
    <x v="38"/>
    <s v="XL"/>
    <s v="Blue"/>
    <x v="1"/>
    <n v="2.8"/>
    <s v="Yes"/>
    <s v="PayPal"/>
    <s v="Next Day Air"/>
    <s v="Yes"/>
    <s v="Yes"/>
    <n v="4"/>
    <x v="3"/>
    <s v="Quarterly"/>
    <n v="1"/>
    <x v="0"/>
  </r>
  <r>
    <n v="948"/>
    <n v="57"/>
    <s v="Male"/>
    <s v="Blouse"/>
    <x v="0"/>
    <n v="32"/>
    <x v="27"/>
    <s v="M"/>
    <s v="Charcoal"/>
    <x v="0"/>
    <n v="3.9"/>
    <s v="Yes"/>
    <s v="Cash"/>
    <s v="Store Pickup"/>
    <s v="Yes"/>
    <s v="Yes"/>
    <n v="6"/>
    <x v="1"/>
    <s v="Every 3 Months"/>
    <n v="1"/>
    <x v="0"/>
  </r>
  <r>
    <n v="949"/>
    <n v="49"/>
    <s v="Male"/>
    <s v="Hat"/>
    <x v="3"/>
    <n v="90"/>
    <x v="15"/>
    <s v="L"/>
    <s v="Olive"/>
    <x v="2"/>
    <n v="4.9000000000000004"/>
    <s v="Yes"/>
    <s v="Venmo"/>
    <s v="Express"/>
    <s v="Yes"/>
    <s v="Yes"/>
    <n v="11"/>
    <x v="0"/>
    <s v="Every 3 Months"/>
    <n v="1"/>
    <x v="0"/>
  </r>
  <r>
    <n v="950"/>
    <n v="33"/>
    <s v="Male"/>
    <s v="Jeans"/>
    <x v="0"/>
    <n v="36"/>
    <x v="6"/>
    <s v="M"/>
    <s v="Olive"/>
    <x v="2"/>
    <n v="3.4"/>
    <s v="Yes"/>
    <s v="Cash"/>
    <s v="Standard"/>
    <s v="Yes"/>
    <s v="Yes"/>
    <n v="49"/>
    <x v="0"/>
    <s v="Monthly"/>
    <n v="1"/>
    <x v="3"/>
  </r>
  <r>
    <n v="951"/>
    <n v="54"/>
    <s v="Male"/>
    <s v="Backpack"/>
    <x v="3"/>
    <n v="37"/>
    <x v="35"/>
    <s v="XL"/>
    <s v="Turquoise"/>
    <x v="0"/>
    <n v="4.0999999999999996"/>
    <s v="Yes"/>
    <s v="Cash"/>
    <s v="Free Shipping"/>
    <s v="Yes"/>
    <s v="Yes"/>
    <n v="30"/>
    <x v="3"/>
    <s v="Quarterly"/>
    <n v="1"/>
    <x v="0"/>
  </r>
  <r>
    <n v="952"/>
    <n v="47"/>
    <s v="Male"/>
    <s v="Dress"/>
    <x v="0"/>
    <n v="51"/>
    <x v="29"/>
    <s v="M"/>
    <s v="Cyan"/>
    <x v="2"/>
    <n v="2.9"/>
    <s v="Yes"/>
    <s v="Venmo"/>
    <s v="Express"/>
    <s v="Yes"/>
    <s v="Yes"/>
    <n v="34"/>
    <x v="4"/>
    <s v="Monthly"/>
    <n v="1"/>
    <x v="0"/>
  </r>
  <r>
    <n v="953"/>
    <n v="36"/>
    <s v="Male"/>
    <s v="Hat"/>
    <x v="3"/>
    <n v="71"/>
    <x v="37"/>
    <s v="S"/>
    <s v="Red"/>
    <x v="3"/>
    <n v="3.1"/>
    <s v="Yes"/>
    <s v="Bank Transfer"/>
    <s v="2-Day Shipping"/>
    <s v="Yes"/>
    <s v="Yes"/>
    <n v="28"/>
    <x v="3"/>
    <s v="Monthly"/>
    <n v="1"/>
    <x v="2"/>
  </r>
  <r>
    <n v="954"/>
    <n v="68"/>
    <s v="Male"/>
    <s v="Sunglasses"/>
    <x v="3"/>
    <n v="50"/>
    <x v="40"/>
    <s v="S"/>
    <s v="Cyan"/>
    <x v="1"/>
    <n v="3.6"/>
    <s v="Yes"/>
    <s v="Credit Card"/>
    <s v="2-Day Shipping"/>
    <s v="Yes"/>
    <s v="Yes"/>
    <n v="36"/>
    <x v="0"/>
    <s v="Quarterly"/>
    <n v="1"/>
    <x v="0"/>
  </r>
  <r>
    <n v="955"/>
    <n v="60"/>
    <s v="Male"/>
    <s v="Hat"/>
    <x v="3"/>
    <n v="74"/>
    <x v="7"/>
    <s v="S"/>
    <s v="Turquoise"/>
    <x v="3"/>
    <n v="3.5"/>
    <s v="Yes"/>
    <s v="Venmo"/>
    <s v="Standard"/>
    <s v="Yes"/>
    <s v="Yes"/>
    <n v="18"/>
    <x v="2"/>
    <s v="Every 3 Months"/>
    <n v="1"/>
    <x v="0"/>
  </r>
  <r>
    <n v="956"/>
    <n v="55"/>
    <s v="Male"/>
    <s v="Dress"/>
    <x v="0"/>
    <n v="75"/>
    <x v="16"/>
    <s v="L"/>
    <s v="Lavender"/>
    <x v="2"/>
    <n v="3.4"/>
    <s v="Yes"/>
    <s v="Venmo"/>
    <s v="Free Shipping"/>
    <s v="Yes"/>
    <s v="Yes"/>
    <n v="4"/>
    <x v="3"/>
    <s v="Monthly"/>
    <n v="1"/>
    <x v="0"/>
  </r>
  <r>
    <n v="957"/>
    <n v="29"/>
    <s v="Male"/>
    <s v="Shirt"/>
    <x v="0"/>
    <n v="99"/>
    <x v="16"/>
    <s v="XL"/>
    <s v="Cyan"/>
    <x v="1"/>
    <n v="2.9"/>
    <s v="Yes"/>
    <s v="Venmo"/>
    <s v="2-Day Shipping"/>
    <s v="Yes"/>
    <s v="Yes"/>
    <n v="42"/>
    <x v="5"/>
    <s v="Quarterly"/>
    <n v="1"/>
    <x v="3"/>
  </r>
  <r>
    <n v="958"/>
    <n v="38"/>
    <s v="Male"/>
    <s v="Scarf"/>
    <x v="3"/>
    <n v="23"/>
    <x v="27"/>
    <s v="XL"/>
    <s v="Violet"/>
    <x v="1"/>
    <n v="4.7"/>
    <s v="Yes"/>
    <s v="Bank Transfer"/>
    <s v="Store Pickup"/>
    <s v="Yes"/>
    <s v="Yes"/>
    <n v="11"/>
    <x v="1"/>
    <s v="Quarterly"/>
    <n v="1"/>
    <x v="2"/>
  </r>
  <r>
    <n v="959"/>
    <n v="70"/>
    <s v="Male"/>
    <s v="Sneakers"/>
    <x v="1"/>
    <n v="53"/>
    <x v="47"/>
    <s v="XL"/>
    <s v="Beige"/>
    <x v="0"/>
    <n v="4.4000000000000004"/>
    <s v="Yes"/>
    <s v="Cash"/>
    <s v="Free Shipping"/>
    <s v="Yes"/>
    <s v="Yes"/>
    <n v="31"/>
    <x v="2"/>
    <s v="Bi-Weekly"/>
    <n v="1"/>
    <x v="0"/>
  </r>
  <r>
    <n v="960"/>
    <n v="36"/>
    <s v="Male"/>
    <s v="Skirt"/>
    <x v="0"/>
    <n v="99"/>
    <x v="22"/>
    <s v="M"/>
    <s v="Cyan"/>
    <x v="1"/>
    <n v="2.6"/>
    <s v="Yes"/>
    <s v="Cash"/>
    <s v="Standard"/>
    <s v="Yes"/>
    <s v="Yes"/>
    <n v="12"/>
    <x v="1"/>
    <s v="Fortnightly"/>
    <n v="1"/>
    <x v="2"/>
  </r>
  <r>
    <n v="961"/>
    <n v="18"/>
    <s v="Male"/>
    <s v="Jewelry"/>
    <x v="3"/>
    <n v="48"/>
    <x v="7"/>
    <s v="XL"/>
    <s v="Indigo"/>
    <x v="1"/>
    <n v="4.4000000000000004"/>
    <s v="Yes"/>
    <s v="Debit Card"/>
    <s v="Standard"/>
    <s v="Yes"/>
    <s v="Yes"/>
    <n v="20"/>
    <x v="0"/>
    <s v="Quarterly"/>
    <n v="1"/>
    <x v="1"/>
  </r>
  <r>
    <n v="962"/>
    <n v="62"/>
    <s v="Male"/>
    <s v="Boots"/>
    <x v="1"/>
    <n v="72"/>
    <x v="38"/>
    <s v="L"/>
    <s v="Olive"/>
    <x v="3"/>
    <n v="3.7"/>
    <s v="Yes"/>
    <s v="Venmo"/>
    <s v="Next Day Air"/>
    <s v="Yes"/>
    <s v="Yes"/>
    <n v="37"/>
    <x v="5"/>
    <s v="Quarterly"/>
    <n v="1"/>
    <x v="0"/>
  </r>
  <r>
    <n v="963"/>
    <n v="29"/>
    <s v="Male"/>
    <s v="Sunglasses"/>
    <x v="3"/>
    <n v="64"/>
    <x v="49"/>
    <s v="L"/>
    <s v="Green"/>
    <x v="1"/>
    <n v="4.4000000000000004"/>
    <s v="Yes"/>
    <s v="Cash"/>
    <s v="Standard"/>
    <s v="Yes"/>
    <s v="Yes"/>
    <n v="26"/>
    <x v="5"/>
    <s v="Fortnightly"/>
    <n v="1"/>
    <x v="3"/>
  </r>
  <r>
    <n v="964"/>
    <n v="21"/>
    <s v="Male"/>
    <s v="Boots"/>
    <x v="1"/>
    <n v="63"/>
    <x v="36"/>
    <s v="L"/>
    <s v="Green"/>
    <x v="1"/>
    <n v="2.5"/>
    <s v="Yes"/>
    <s v="Cash"/>
    <s v="2-Day Shipping"/>
    <s v="Yes"/>
    <s v="Yes"/>
    <n v="14"/>
    <x v="2"/>
    <s v="Weekly"/>
    <n v="1"/>
    <x v="1"/>
  </r>
  <r>
    <n v="965"/>
    <n v="42"/>
    <s v="Male"/>
    <s v="Sandals"/>
    <x v="1"/>
    <n v="51"/>
    <x v="28"/>
    <s v="M"/>
    <s v="Beige"/>
    <x v="1"/>
    <n v="2.6"/>
    <s v="Yes"/>
    <s v="Bank Transfer"/>
    <s v="Next Day Air"/>
    <s v="Yes"/>
    <s v="Yes"/>
    <n v="12"/>
    <x v="0"/>
    <s v="Bi-Weekly"/>
    <n v="1"/>
    <x v="2"/>
  </r>
  <r>
    <n v="966"/>
    <n v="43"/>
    <s v="Male"/>
    <s v="Boots"/>
    <x v="1"/>
    <n v="55"/>
    <x v="12"/>
    <s v="L"/>
    <s v="Black"/>
    <x v="1"/>
    <n v="5"/>
    <s v="Yes"/>
    <s v="Debit Card"/>
    <s v="Store Pickup"/>
    <s v="Yes"/>
    <s v="Yes"/>
    <n v="10"/>
    <x v="2"/>
    <s v="Annually"/>
    <n v="1"/>
    <x v="2"/>
  </r>
  <r>
    <n v="967"/>
    <n v="58"/>
    <s v="Male"/>
    <s v="Dress"/>
    <x v="0"/>
    <n v="55"/>
    <x v="0"/>
    <s v="M"/>
    <s v="Brown"/>
    <x v="1"/>
    <n v="4.9000000000000004"/>
    <s v="Yes"/>
    <s v="Cash"/>
    <s v="Express"/>
    <s v="Yes"/>
    <s v="Yes"/>
    <n v="19"/>
    <x v="1"/>
    <s v="Annually"/>
    <n v="1"/>
    <x v="0"/>
  </r>
  <r>
    <n v="968"/>
    <n v="27"/>
    <s v="Male"/>
    <s v="Hoodie"/>
    <x v="0"/>
    <n v="26"/>
    <x v="42"/>
    <s v="S"/>
    <s v="Silver"/>
    <x v="2"/>
    <n v="3.7"/>
    <s v="Yes"/>
    <s v="Debit Card"/>
    <s v="Store Pickup"/>
    <s v="Yes"/>
    <s v="Yes"/>
    <n v="4"/>
    <x v="1"/>
    <s v="Weekly"/>
    <n v="1"/>
    <x v="3"/>
  </r>
  <r>
    <n v="969"/>
    <n v="57"/>
    <s v="Male"/>
    <s v="Shorts"/>
    <x v="0"/>
    <n v="67"/>
    <x v="17"/>
    <s v="L"/>
    <s v="Gray"/>
    <x v="2"/>
    <n v="3.1"/>
    <s v="Yes"/>
    <s v="Debit Card"/>
    <s v="Next Day Air"/>
    <s v="Yes"/>
    <s v="Yes"/>
    <n v="48"/>
    <x v="4"/>
    <s v="Quarterly"/>
    <n v="1"/>
    <x v="0"/>
  </r>
  <r>
    <n v="970"/>
    <n v="40"/>
    <s v="Male"/>
    <s v="Coat"/>
    <x v="2"/>
    <n v="31"/>
    <x v="18"/>
    <s v="S"/>
    <s v="Pink"/>
    <x v="3"/>
    <n v="3.2"/>
    <s v="Yes"/>
    <s v="Debit Card"/>
    <s v="Express"/>
    <s v="Yes"/>
    <s v="Yes"/>
    <n v="37"/>
    <x v="3"/>
    <s v="Monthly"/>
    <n v="1"/>
    <x v="2"/>
  </r>
  <r>
    <n v="971"/>
    <n v="45"/>
    <s v="Male"/>
    <s v="Jeans"/>
    <x v="0"/>
    <n v="66"/>
    <x v="18"/>
    <s v="S"/>
    <s v="Maroon"/>
    <x v="0"/>
    <n v="4.4000000000000004"/>
    <s v="Yes"/>
    <s v="PayPal"/>
    <s v="Free Shipping"/>
    <s v="Yes"/>
    <s v="Yes"/>
    <n v="4"/>
    <x v="1"/>
    <s v="Monthly"/>
    <n v="1"/>
    <x v="2"/>
  </r>
  <r>
    <n v="972"/>
    <n v="47"/>
    <s v="Male"/>
    <s v="Sunglasses"/>
    <x v="3"/>
    <n v="67"/>
    <x v="27"/>
    <s v="M"/>
    <s v="Cyan"/>
    <x v="2"/>
    <n v="4.3"/>
    <s v="Yes"/>
    <s v="Bank Transfer"/>
    <s v="Next Day Air"/>
    <s v="Yes"/>
    <s v="Yes"/>
    <n v="15"/>
    <x v="2"/>
    <s v="Weekly"/>
    <n v="1"/>
    <x v="0"/>
  </r>
  <r>
    <n v="973"/>
    <n v="61"/>
    <s v="Male"/>
    <s v="Sneakers"/>
    <x v="1"/>
    <n v="61"/>
    <x v="24"/>
    <s v="L"/>
    <s v="Gold"/>
    <x v="0"/>
    <n v="3"/>
    <s v="Yes"/>
    <s v="Venmo"/>
    <s v="Standard"/>
    <s v="Yes"/>
    <s v="Yes"/>
    <n v="33"/>
    <x v="2"/>
    <s v="Weekly"/>
    <n v="1"/>
    <x v="0"/>
  </r>
  <r>
    <n v="974"/>
    <n v="60"/>
    <s v="Male"/>
    <s v="Jacket"/>
    <x v="2"/>
    <n v="75"/>
    <x v="24"/>
    <s v="M"/>
    <s v="Teal"/>
    <x v="3"/>
    <n v="3.5"/>
    <s v="Yes"/>
    <s v="Venmo"/>
    <s v="2-Day Shipping"/>
    <s v="Yes"/>
    <s v="Yes"/>
    <n v="30"/>
    <x v="4"/>
    <s v="Quarterly"/>
    <n v="1"/>
    <x v="0"/>
  </r>
  <r>
    <n v="975"/>
    <n v="69"/>
    <s v="Male"/>
    <s v="Skirt"/>
    <x v="0"/>
    <n v="90"/>
    <x v="17"/>
    <s v="M"/>
    <s v="Beige"/>
    <x v="1"/>
    <n v="3.6"/>
    <s v="Yes"/>
    <s v="Credit Card"/>
    <s v="2-Day Shipping"/>
    <s v="Yes"/>
    <s v="Yes"/>
    <n v="23"/>
    <x v="4"/>
    <s v="Monthly"/>
    <n v="1"/>
    <x v="0"/>
  </r>
  <r>
    <n v="976"/>
    <n v="58"/>
    <s v="Male"/>
    <s v="Sweater"/>
    <x v="0"/>
    <n v="40"/>
    <x v="47"/>
    <s v="M"/>
    <s v="Olive"/>
    <x v="2"/>
    <n v="3.8"/>
    <s v="Yes"/>
    <s v="Bank Transfer"/>
    <s v="2-Day Shipping"/>
    <s v="Yes"/>
    <s v="Yes"/>
    <n v="2"/>
    <x v="4"/>
    <s v="Weekly"/>
    <n v="1"/>
    <x v="0"/>
  </r>
  <r>
    <n v="977"/>
    <n v="34"/>
    <s v="Male"/>
    <s v="T-shirt"/>
    <x v="0"/>
    <n v="90"/>
    <x v="20"/>
    <s v="M"/>
    <s v="Gray"/>
    <x v="3"/>
    <n v="3.6"/>
    <s v="Yes"/>
    <s v="PayPal"/>
    <s v="Express"/>
    <s v="Yes"/>
    <s v="Yes"/>
    <n v="50"/>
    <x v="2"/>
    <s v="Every 3 Months"/>
    <n v="1"/>
    <x v="3"/>
  </r>
  <r>
    <n v="978"/>
    <n v="20"/>
    <s v="Male"/>
    <s v="Belt"/>
    <x v="3"/>
    <n v="20"/>
    <x v="47"/>
    <s v="M"/>
    <s v="Black"/>
    <x v="1"/>
    <n v="4.5999999999999996"/>
    <s v="Yes"/>
    <s v="Credit Card"/>
    <s v="Express"/>
    <s v="Yes"/>
    <s v="Yes"/>
    <n v="34"/>
    <x v="1"/>
    <s v="Bi-Weekly"/>
    <n v="1"/>
    <x v="1"/>
  </r>
  <r>
    <n v="979"/>
    <n v="56"/>
    <s v="Male"/>
    <s v="Gloves"/>
    <x v="3"/>
    <n v="40"/>
    <x v="24"/>
    <s v="M"/>
    <s v="Turquoise"/>
    <x v="2"/>
    <n v="2.5"/>
    <s v="Yes"/>
    <s v="Cash"/>
    <s v="Standard"/>
    <s v="Yes"/>
    <s v="Yes"/>
    <n v="33"/>
    <x v="2"/>
    <s v="Weekly"/>
    <n v="1"/>
    <x v="0"/>
  </r>
  <r>
    <n v="980"/>
    <n v="64"/>
    <s v="Male"/>
    <s v="Hat"/>
    <x v="3"/>
    <n v="33"/>
    <x v="13"/>
    <s v="S"/>
    <s v="Brown"/>
    <x v="3"/>
    <n v="3.5"/>
    <s v="Yes"/>
    <s v="Venmo"/>
    <s v="Store Pickup"/>
    <s v="Yes"/>
    <s v="Yes"/>
    <n v="34"/>
    <x v="5"/>
    <s v="Monthly"/>
    <n v="1"/>
    <x v="0"/>
  </r>
  <r>
    <n v="981"/>
    <n v="56"/>
    <s v="Male"/>
    <s v="Boots"/>
    <x v="1"/>
    <n v="98"/>
    <x v="33"/>
    <s v="S"/>
    <s v="Magenta"/>
    <x v="1"/>
    <n v="4"/>
    <s v="Yes"/>
    <s v="Bank Transfer"/>
    <s v="Free Shipping"/>
    <s v="Yes"/>
    <s v="Yes"/>
    <n v="39"/>
    <x v="3"/>
    <s v="Every 3 Months"/>
    <n v="1"/>
    <x v="0"/>
  </r>
  <r>
    <n v="982"/>
    <n v="27"/>
    <s v="Male"/>
    <s v="Belt"/>
    <x v="3"/>
    <n v="42"/>
    <x v="33"/>
    <s v="M"/>
    <s v="Silver"/>
    <x v="1"/>
    <n v="3.5"/>
    <s v="Yes"/>
    <s v="Debit Card"/>
    <s v="Next Day Air"/>
    <s v="Yes"/>
    <s v="Yes"/>
    <n v="47"/>
    <x v="2"/>
    <s v="Quarterly"/>
    <n v="1"/>
    <x v="3"/>
  </r>
  <r>
    <n v="983"/>
    <n v="35"/>
    <s v="Male"/>
    <s v="Coat"/>
    <x v="2"/>
    <n v="62"/>
    <x v="21"/>
    <s v="S"/>
    <s v="Red"/>
    <x v="2"/>
    <n v="3.2"/>
    <s v="Yes"/>
    <s v="Venmo"/>
    <s v="Standard"/>
    <s v="Yes"/>
    <s v="Yes"/>
    <n v="37"/>
    <x v="3"/>
    <s v="Monthly"/>
    <n v="1"/>
    <x v="3"/>
  </r>
  <r>
    <n v="984"/>
    <n v="24"/>
    <s v="Male"/>
    <s v="Hat"/>
    <x v="3"/>
    <n v="45"/>
    <x v="35"/>
    <s v="L"/>
    <s v="Indigo"/>
    <x v="0"/>
    <n v="3.5"/>
    <s v="Yes"/>
    <s v="Credit Card"/>
    <s v="Free Shipping"/>
    <s v="Yes"/>
    <s v="Yes"/>
    <n v="40"/>
    <x v="0"/>
    <s v="Bi-Weekly"/>
    <n v="1"/>
    <x v="1"/>
  </r>
  <r>
    <n v="985"/>
    <n v="26"/>
    <s v="Male"/>
    <s v="Shoes"/>
    <x v="1"/>
    <n v="78"/>
    <x v="40"/>
    <s v="M"/>
    <s v="Green"/>
    <x v="2"/>
    <n v="3.4"/>
    <s v="Yes"/>
    <s v="Cash"/>
    <s v="Free Shipping"/>
    <s v="Yes"/>
    <s v="Yes"/>
    <n v="8"/>
    <x v="2"/>
    <s v="Bi-Weekly"/>
    <n v="1"/>
    <x v="3"/>
  </r>
  <r>
    <n v="986"/>
    <n v="32"/>
    <s v="Male"/>
    <s v="Handbag"/>
    <x v="3"/>
    <n v="80"/>
    <x v="8"/>
    <s v="M"/>
    <s v="Gray"/>
    <x v="3"/>
    <n v="5"/>
    <s v="Yes"/>
    <s v="Credit Card"/>
    <s v="Express"/>
    <s v="Yes"/>
    <s v="Yes"/>
    <n v="12"/>
    <x v="4"/>
    <s v="Annually"/>
    <n v="1"/>
    <x v="3"/>
  </r>
  <r>
    <n v="987"/>
    <n v="54"/>
    <s v="Male"/>
    <s v="Scarf"/>
    <x v="3"/>
    <n v="96"/>
    <x v="39"/>
    <s v="S"/>
    <s v="Peach"/>
    <x v="1"/>
    <n v="4.5"/>
    <s v="Yes"/>
    <s v="Credit Card"/>
    <s v="Store Pickup"/>
    <s v="Yes"/>
    <s v="Yes"/>
    <n v="36"/>
    <x v="4"/>
    <s v="Monthly"/>
    <n v="1"/>
    <x v="0"/>
  </r>
  <r>
    <n v="988"/>
    <n v="62"/>
    <s v="Male"/>
    <s v="Handbag"/>
    <x v="3"/>
    <n v="47"/>
    <x v="8"/>
    <s v="M"/>
    <s v="Charcoal"/>
    <x v="2"/>
    <n v="2.8"/>
    <s v="Yes"/>
    <s v="PayPal"/>
    <s v="Express"/>
    <s v="Yes"/>
    <s v="Yes"/>
    <n v="48"/>
    <x v="3"/>
    <s v="Weekly"/>
    <n v="1"/>
    <x v="0"/>
  </r>
  <r>
    <n v="989"/>
    <n v="50"/>
    <s v="Male"/>
    <s v="Pants"/>
    <x v="0"/>
    <n v="84"/>
    <x v="31"/>
    <s v="M"/>
    <s v="Orange"/>
    <x v="0"/>
    <n v="4.9000000000000004"/>
    <s v="Yes"/>
    <s v="Venmo"/>
    <s v="2-Day Shipping"/>
    <s v="Yes"/>
    <s v="Yes"/>
    <n v="47"/>
    <x v="3"/>
    <s v="Fortnightly"/>
    <n v="1"/>
    <x v="0"/>
  </r>
  <r>
    <n v="990"/>
    <n v="70"/>
    <s v="Male"/>
    <s v="Shoes"/>
    <x v="1"/>
    <n v="31"/>
    <x v="21"/>
    <s v="M"/>
    <s v="Beige"/>
    <x v="1"/>
    <n v="3.1"/>
    <s v="Yes"/>
    <s v="Bank Transfer"/>
    <s v="Store Pickup"/>
    <s v="Yes"/>
    <s v="Yes"/>
    <n v="2"/>
    <x v="4"/>
    <s v="Monthly"/>
    <n v="1"/>
    <x v="0"/>
  </r>
  <r>
    <n v="991"/>
    <n v="48"/>
    <s v="Male"/>
    <s v="Sunglasses"/>
    <x v="3"/>
    <n v="63"/>
    <x v="47"/>
    <s v="S"/>
    <s v="Yellow"/>
    <x v="1"/>
    <n v="4.8"/>
    <s v="Yes"/>
    <s v="PayPal"/>
    <s v="Store Pickup"/>
    <s v="Yes"/>
    <s v="Yes"/>
    <n v="24"/>
    <x v="1"/>
    <s v="Weekly"/>
    <n v="1"/>
    <x v="0"/>
  </r>
  <r>
    <n v="992"/>
    <n v="20"/>
    <s v="Male"/>
    <s v="Shorts"/>
    <x v="0"/>
    <n v="97"/>
    <x v="48"/>
    <s v="XL"/>
    <s v="White"/>
    <x v="1"/>
    <n v="2.7"/>
    <s v="Yes"/>
    <s v="Debit Card"/>
    <s v="Standard"/>
    <s v="Yes"/>
    <s v="Yes"/>
    <n v="40"/>
    <x v="4"/>
    <s v="Bi-Weekly"/>
    <n v="1"/>
    <x v="1"/>
  </r>
  <r>
    <n v="993"/>
    <n v="46"/>
    <s v="Male"/>
    <s v="Jacket"/>
    <x v="2"/>
    <n v="99"/>
    <x v="7"/>
    <s v="M"/>
    <s v="Gray"/>
    <x v="0"/>
    <n v="4.5999999999999996"/>
    <s v="Yes"/>
    <s v="Credit Card"/>
    <s v="Express"/>
    <s v="Yes"/>
    <s v="Yes"/>
    <n v="50"/>
    <x v="5"/>
    <s v="Weekly"/>
    <n v="1"/>
    <x v="0"/>
  </r>
  <r>
    <n v="994"/>
    <n v="51"/>
    <s v="Male"/>
    <s v="Sandals"/>
    <x v="1"/>
    <n v="90"/>
    <x v="44"/>
    <s v="M"/>
    <s v="Peach"/>
    <x v="0"/>
    <n v="4.4000000000000004"/>
    <s v="Yes"/>
    <s v="Cash"/>
    <s v="Store Pickup"/>
    <s v="Yes"/>
    <s v="Yes"/>
    <n v="25"/>
    <x v="1"/>
    <s v="Weekly"/>
    <n v="1"/>
    <x v="0"/>
  </r>
  <r>
    <n v="995"/>
    <n v="53"/>
    <s v="Male"/>
    <s v="Shoes"/>
    <x v="1"/>
    <n v="68"/>
    <x v="14"/>
    <s v="L"/>
    <s v="Violet"/>
    <x v="3"/>
    <n v="3.2"/>
    <s v="Yes"/>
    <s v="PayPal"/>
    <s v="Express"/>
    <s v="Yes"/>
    <s v="Yes"/>
    <n v="20"/>
    <x v="5"/>
    <s v="Monthly"/>
    <n v="1"/>
    <x v="0"/>
  </r>
  <r>
    <n v="996"/>
    <n v="44"/>
    <s v="Male"/>
    <s v="Jewelry"/>
    <x v="3"/>
    <n v="80"/>
    <x v="37"/>
    <s v="M"/>
    <s v="Magenta"/>
    <x v="1"/>
    <n v="3"/>
    <s v="Yes"/>
    <s v="Venmo"/>
    <s v="2-Day Shipping"/>
    <s v="Yes"/>
    <s v="Yes"/>
    <n v="10"/>
    <x v="0"/>
    <s v="Weekly"/>
    <n v="1"/>
    <x v="2"/>
  </r>
  <r>
    <n v="997"/>
    <n v="29"/>
    <s v="Male"/>
    <s v="Sandals"/>
    <x v="1"/>
    <n v="91"/>
    <x v="12"/>
    <s v="L"/>
    <s v="Maroon"/>
    <x v="2"/>
    <n v="4.9000000000000004"/>
    <s v="Yes"/>
    <s v="Bank Transfer"/>
    <s v="Standard"/>
    <s v="Yes"/>
    <s v="Yes"/>
    <n v="32"/>
    <x v="4"/>
    <s v="Quarterly"/>
    <n v="1"/>
    <x v="3"/>
  </r>
  <r>
    <n v="998"/>
    <n v="64"/>
    <s v="Male"/>
    <s v="Pants"/>
    <x v="0"/>
    <n v="30"/>
    <x v="0"/>
    <s v="M"/>
    <s v="Cyan"/>
    <x v="1"/>
    <n v="3.6"/>
    <s v="Yes"/>
    <s v="Debit Card"/>
    <s v="Express"/>
    <s v="Yes"/>
    <s v="Yes"/>
    <n v="31"/>
    <x v="1"/>
    <s v="Fortnightly"/>
    <n v="1"/>
    <x v="0"/>
  </r>
  <r>
    <n v="999"/>
    <n v="51"/>
    <s v="Male"/>
    <s v="Shoes"/>
    <x v="1"/>
    <n v="90"/>
    <x v="39"/>
    <s v="M"/>
    <s v="White"/>
    <x v="1"/>
    <n v="3.8"/>
    <s v="Yes"/>
    <s v="Venmo"/>
    <s v="Next Day Air"/>
    <s v="Yes"/>
    <s v="Yes"/>
    <n v="48"/>
    <x v="4"/>
    <s v="Bi-Weekly"/>
    <n v="1"/>
    <x v="0"/>
  </r>
  <r>
    <n v="1000"/>
    <n v="50"/>
    <s v="Male"/>
    <s v="Socks"/>
    <x v="0"/>
    <n v="28"/>
    <x v="35"/>
    <s v="L"/>
    <s v="Brown"/>
    <x v="1"/>
    <n v="2.9"/>
    <s v="Yes"/>
    <s v="Venmo"/>
    <s v="Standard"/>
    <s v="Yes"/>
    <s v="Yes"/>
    <n v="23"/>
    <x v="5"/>
    <s v="Monthly"/>
    <n v="1"/>
    <x v="0"/>
  </r>
  <r>
    <n v="1001"/>
    <n v="43"/>
    <s v="Male"/>
    <s v="Socks"/>
    <x v="0"/>
    <n v="46"/>
    <x v="42"/>
    <s v="M"/>
    <s v="Red"/>
    <x v="0"/>
    <n v="3.9"/>
    <s v="Yes"/>
    <s v="Credit Card"/>
    <s v="Express"/>
    <s v="Yes"/>
    <s v="Yes"/>
    <n v="1"/>
    <x v="4"/>
    <s v="Bi-Weekly"/>
    <n v="1"/>
    <x v="2"/>
  </r>
  <r>
    <n v="1002"/>
    <n v="61"/>
    <s v="Male"/>
    <s v="Dress"/>
    <x v="0"/>
    <n v="60"/>
    <x v="47"/>
    <s v="M"/>
    <s v="Orange"/>
    <x v="3"/>
    <n v="3.6"/>
    <s v="Yes"/>
    <s v="Credit Card"/>
    <s v="Standard"/>
    <s v="Yes"/>
    <s v="Yes"/>
    <n v="4"/>
    <x v="5"/>
    <s v="Fortnightly"/>
    <n v="1"/>
    <x v="0"/>
  </r>
  <r>
    <n v="1003"/>
    <n v="55"/>
    <s v="Male"/>
    <s v="Shoes"/>
    <x v="1"/>
    <n v="59"/>
    <x v="25"/>
    <s v="M"/>
    <s v="White"/>
    <x v="1"/>
    <n v="3.5"/>
    <s v="Yes"/>
    <s v="Credit Card"/>
    <s v="Store Pickup"/>
    <s v="Yes"/>
    <s v="Yes"/>
    <n v="3"/>
    <x v="4"/>
    <s v="Bi-Weekly"/>
    <n v="1"/>
    <x v="0"/>
  </r>
  <r>
    <n v="1004"/>
    <n v="56"/>
    <s v="Male"/>
    <s v="Hat"/>
    <x v="3"/>
    <n v="68"/>
    <x v="31"/>
    <s v="M"/>
    <s v="Green"/>
    <x v="3"/>
    <n v="4"/>
    <s v="Yes"/>
    <s v="Cash"/>
    <s v="Store Pickup"/>
    <s v="Yes"/>
    <s v="Yes"/>
    <n v="3"/>
    <x v="1"/>
    <s v="Bi-Weekly"/>
    <n v="1"/>
    <x v="0"/>
  </r>
  <r>
    <n v="1005"/>
    <n v="33"/>
    <s v="Male"/>
    <s v="Backpack"/>
    <x v="3"/>
    <n v="79"/>
    <x v="30"/>
    <s v="M"/>
    <s v="Black"/>
    <x v="2"/>
    <n v="4.8"/>
    <s v="Yes"/>
    <s v="Cash"/>
    <s v="2-Day Shipping"/>
    <s v="Yes"/>
    <s v="Yes"/>
    <n v="44"/>
    <x v="1"/>
    <s v="Annually"/>
    <n v="1"/>
    <x v="3"/>
  </r>
  <r>
    <n v="1006"/>
    <n v="43"/>
    <s v="Male"/>
    <s v="Backpack"/>
    <x v="3"/>
    <n v="94"/>
    <x v="14"/>
    <s v="M"/>
    <s v="Gold"/>
    <x v="0"/>
    <n v="3.9"/>
    <s v="Yes"/>
    <s v="Credit Card"/>
    <s v="Store Pickup"/>
    <s v="Yes"/>
    <s v="Yes"/>
    <n v="5"/>
    <x v="5"/>
    <s v="Bi-Weekly"/>
    <n v="1"/>
    <x v="2"/>
  </r>
  <r>
    <n v="1007"/>
    <n v="21"/>
    <s v="Male"/>
    <s v="Pants"/>
    <x v="0"/>
    <n v="83"/>
    <x v="49"/>
    <s v="S"/>
    <s v="Lavender"/>
    <x v="2"/>
    <n v="4.5"/>
    <s v="Yes"/>
    <s v="Credit Card"/>
    <s v="Next Day Air"/>
    <s v="Yes"/>
    <s v="Yes"/>
    <n v="50"/>
    <x v="0"/>
    <s v="Quarterly"/>
    <n v="1"/>
    <x v="1"/>
  </r>
  <r>
    <n v="1008"/>
    <n v="58"/>
    <s v="Male"/>
    <s v="Gloves"/>
    <x v="3"/>
    <n v="62"/>
    <x v="42"/>
    <s v="XL"/>
    <s v="Turquoise"/>
    <x v="1"/>
    <n v="4.8"/>
    <s v="Yes"/>
    <s v="Venmo"/>
    <s v="Standard"/>
    <s v="Yes"/>
    <s v="Yes"/>
    <n v="2"/>
    <x v="2"/>
    <s v="Annually"/>
    <n v="1"/>
    <x v="0"/>
  </r>
  <r>
    <n v="1009"/>
    <n v="41"/>
    <s v="Male"/>
    <s v="Scarf"/>
    <x v="3"/>
    <n v="85"/>
    <x v="35"/>
    <s v="M"/>
    <s v="Pink"/>
    <x v="1"/>
    <n v="2.6"/>
    <s v="Yes"/>
    <s v="Cash"/>
    <s v="Store Pickup"/>
    <s v="Yes"/>
    <s v="Yes"/>
    <n v="29"/>
    <x v="3"/>
    <s v="Annually"/>
    <n v="1"/>
    <x v="2"/>
  </r>
  <r>
    <n v="1010"/>
    <n v="39"/>
    <s v="Male"/>
    <s v="Hoodie"/>
    <x v="0"/>
    <n v="30"/>
    <x v="7"/>
    <s v="M"/>
    <s v="Silver"/>
    <x v="2"/>
    <n v="3.1"/>
    <s v="Yes"/>
    <s v="Bank Transfer"/>
    <s v="Express"/>
    <s v="Yes"/>
    <s v="Yes"/>
    <n v="11"/>
    <x v="0"/>
    <s v="Annually"/>
    <n v="1"/>
    <x v="2"/>
  </r>
  <r>
    <n v="1011"/>
    <n v="54"/>
    <s v="Male"/>
    <s v="Jeans"/>
    <x v="0"/>
    <n v="24"/>
    <x v="45"/>
    <s v="XL"/>
    <s v="Gray"/>
    <x v="1"/>
    <n v="4.7"/>
    <s v="Yes"/>
    <s v="PayPal"/>
    <s v="2-Day Shipping"/>
    <s v="Yes"/>
    <s v="Yes"/>
    <n v="37"/>
    <x v="2"/>
    <s v="Fortnightly"/>
    <n v="1"/>
    <x v="0"/>
  </r>
  <r>
    <n v="1012"/>
    <n v="43"/>
    <s v="Male"/>
    <s v="Backpack"/>
    <x v="3"/>
    <n v="25"/>
    <x v="6"/>
    <s v="L"/>
    <s v="Indigo"/>
    <x v="1"/>
    <n v="2.9"/>
    <s v="Yes"/>
    <s v="PayPal"/>
    <s v="Next Day Air"/>
    <s v="Yes"/>
    <s v="Yes"/>
    <n v="32"/>
    <x v="5"/>
    <s v="Fortnightly"/>
    <n v="1"/>
    <x v="2"/>
  </r>
  <r>
    <n v="1013"/>
    <n v="28"/>
    <s v="Male"/>
    <s v="Sandals"/>
    <x v="1"/>
    <n v="37"/>
    <x v="35"/>
    <s v="L"/>
    <s v="Teal"/>
    <x v="2"/>
    <n v="3.8"/>
    <s v="Yes"/>
    <s v="Cash"/>
    <s v="Express"/>
    <s v="Yes"/>
    <s v="Yes"/>
    <n v="27"/>
    <x v="2"/>
    <s v="Annually"/>
    <n v="1"/>
    <x v="3"/>
  </r>
  <r>
    <n v="1014"/>
    <n v="59"/>
    <s v="Male"/>
    <s v="Belt"/>
    <x v="3"/>
    <n v="69"/>
    <x v="36"/>
    <s v="XL"/>
    <s v="Green"/>
    <x v="2"/>
    <n v="3.8"/>
    <s v="Yes"/>
    <s v="Bank Transfer"/>
    <s v="2-Day Shipping"/>
    <s v="Yes"/>
    <s v="Yes"/>
    <n v="31"/>
    <x v="0"/>
    <s v="Bi-Weekly"/>
    <n v="1"/>
    <x v="0"/>
  </r>
  <r>
    <n v="1015"/>
    <n v="28"/>
    <s v="Male"/>
    <s v="Shoes"/>
    <x v="1"/>
    <n v="97"/>
    <x v="31"/>
    <s v="M"/>
    <s v="Violet"/>
    <x v="2"/>
    <n v="3"/>
    <s v="Yes"/>
    <s v="Bank Transfer"/>
    <s v="Standard"/>
    <s v="Yes"/>
    <s v="Yes"/>
    <n v="36"/>
    <x v="5"/>
    <s v="Fortnightly"/>
    <n v="1"/>
    <x v="3"/>
  </r>
  <r>
    <n v="1016"/>
    <n v="68"/>
    <s v="Male"/>
    <s v="Gloves"/>
    <x v="3"/>
    <n v="24"/>
    <x v="17"/>
    <s v="M"/>
    <s v="Cyan"/>
    <x v="2"/>
    <n v="4.0999999999999996"/>
    <s v="Yes"/>
    <s v="Debit Card"/>
    <s v="Standard"/>
    <s v="Yes"/>
    <s v="Yes"/>
    <n v="34"/>
    <x v="1"/>
    <s v="Weekly"/>
    <n v="1"/>
    <x v="0"/>
  </r>
  <r>
    <n v="1017"/>
    <n v="20"/>
    <s v="Male"/>
    <s v="Belt"/>
    <x v="3"/>
    <n v="30"/>
    <x v="37"/>
    <s v="XL"/>
    <s v="Blue"/>
    <x v="2"/>
    <n v="3.4"/>
    <s v="Yes"/>
    <s v="Cash"/>
    <s v="Express"/>
    <s v="Yes"/>
    <s v="Yes"/>
    <n v="15"/>
    <x v="4"/>
    <s v="Every 3 Months"/>
    <n v="1"/>
    <x v="1"/>
  </r>
  <r>
    <n v="1018"/>
    <n v="21"/>
    <s v="Male"/>
    <s v="Jacket"/>
    <x v="2"/>
    <n v="53"/>
    <x v="19"/>
    <s v="L"/>
    <s v="Orange"/>
    <x v="3"/>
    <n v="2.5"/>
    <s v="Yes"/>
    <s v="Cash"/>
    <s v="Express"/>
    <s v="Yes"/>
    <s v="Yes"/>
    <n v="14"/>
    <x v="2"/>
    <s v="Annually"/>
    <n v="1"/>
    <x v="1"/>
  </r>
  <r>
    <n v="1019"/>
    <n v="50"/>
    <s v="Male"/>
    <s v="Dress"/>
    <x v="0"/>
    <n v="70"/>
    <x v="42"/>
    <s v="XL"/>
    <s v="Charcoal"/>
    <x v="1"/>
    <n v="4.9000000000000004"/>
    <s v="Yes"/>
    <s v="Credit Card"/>
    <s v="Next Day Air"/>
    <s v="Yes"/>
    <s v="Yes"/>
    <n v="46"/>
    <x v="1"/>
    <s v="Weekly"/>
    <n v="1"/>
    <x v="0"/>
  </r>
  <r>
    <n v="1020"/>
    <n v="32"/>
    <s v="Male"/>
    <s v="Shirt"/>
    <x v="0"/>
    <n v="76"/>
    <x v="0"/>
    <s v="S"/>
    <s v="Beige"/>
    <x v="0"/>
    <n v="2.8"/>
    <s v="Yes"/>
    <s v="Debit Card"/>
    <s v="Standard"/>
    <s v="Yes"/>
    <s v="Yes"/>
    <n v="33"/>
    <x v="0"/>
    <s v="Bi-Weekly"/>
    <n v="1"/>
    <x v="3"/>
  </r>
  <r>
    <n v="1021"/>
    <n v="24"/>
    <s v="Male"/>
    <s v="Scarf"/>
    <x v="3"/>
    <n v="95"/>
    <x v="12"/>
    <s v="M"/>
    <s v="Black"/>
    <x v="3"/>
    <n v="4.5"/>
    <s v="Yes"/>
    <s v="Bank Transfer"/>
    <s v="Express"/>
    <s v="Yes"/>
    <s v="Yes"/>
    <n v="41"/>
    <x v="5"/>
    <s v="Annually"/>
    <n v="1"/>
    <x v="1"/>
  </r>
  <r>
    <n v="1022"/>
    <n v="55"/>
    <s v="Male"/>
    <s v="Coat"/>
    <x v="2"/>
    <n v="51"/>
    <x v="2"/>
    <s v="S"/>
    <s v="Lavender"/>
    <x v="0"/>
    <n v="4.9000000000000004"/>
    <s v="Yes"/>
    <s v="Credit Card"/>
    <s v="2-Day Shipping"/>
    <s v="Yes"/>
    <s v="Yes"/>
    <n v="39"/>
    <x v="3"/>
    <s v="Weekly"/>
    <n v="1"/>
    <x v="0"/>
  </r>
  <r>
    <n v="1023"/>
    <n v="61"/>
    <s v="Male"/>
    <s v="Handbag"/>
    <x v="3"/>
    <n v="41"/>
    <x v="43"/>
    <s v="M"/>
    <s v="Lavender"/>
    <x v="0"/>
    <n v="4.9000000000000004"/>
    <s v="Yes"/>
    <s v="Cash"/>
    <s v="Store Pickup"/>
    <s v="Yes"/>
    <s v="Yes"/>
    <n v="7"/>
    <x v="1"/>
    <s v="Annually"/>
    <n v="1"/>
    <x v="0"/>
  </r>
  <r>
    <n v="1024"/>
    <n v="61"/>
    <s v="Male"/>
    <s v="Sunglasses"/>
    <x v="3"/>
    <n v="71"/>
    <x v="1"/>
    <s v="S"/>
    <s v="Turquoise"/>
    <x v="0"/>
    <n v="3.5"/>
    <s v="Yes"/>
    <s v="Bank Transfer"/>
    <s v="Free Shipping"/>
    <s v="Yes"/>
    <s v="Yes"/>
    <n v="29"/>
    <x v="4"/>
    <s v="Every 3 Months"/>
    <n v="1"/>
    <x v="0"/>
  </r>
  <r>
    <n v="1025"/>
    <n v="28"/>
    <s v="Male"/>
    <s v="T-shirt"/>
    <x v="0"/>
    <n v="66"/>
    <x v="38"/>
    <s v="M"/>
    <s v="Purple"/>
    <x v="2"/>
    <n v="3.5"/>
    <s v="Yes"/>
    <s v="Debit Card"/>
    <s v="Free Shipping"/>
    <s v="Yes"/>
    <s v="Yes"/>
    <n v="18"/>
    <x v="0"/>
    <s v="Quarterly"/>
    <n v="1"/>
    <x v="3"/>
  </r>
  <r>
    <n v="1026"/>
    <n v="60"/>
    <s v="Male"/>
    <s v="Shirt"/>
    <x v="0"/>
    <n v="84"/>
    <x v="43"/>
    <s v="M"/>
    <s v="Olive"/>
    <x v="0"/>
    <n v="4.9000000000000004"/>
    <s v="Yes"/>
    <s v="Bank Transfer"/>
    <s v="Free Shipping"/>
    <s v="Yes"/>
    <s v="Yes"/>
    <n v="15"/>
    <x v="2"/>
    <s v="Annually"/>
    <n v="1"/>
    <x v="0"/>
  </r>
  <r>
    <n v="1027"/>
    <n v="49"/>
    <s v="Male"/>
    <s v="Handbag"/>
    <x v="3"/>
    <n v="95"/>
    <x v="41"/>
    <s v="L"/>
    <s v="Turquoise"/>
    <x v="0"/>
    <n v="3"/>
    <s v="Yes"/>
    <s v="Venmo"/>
    <s v="Express"/>
    <s v="Yes"/>
    <s v="Yes"/>
    <n v="39"/>
    <x v="3"/>
    <s v="Bi-Weekly"/>
    <n v="1"/>
    <x v="0"/>
  </r>
  <r>
    <n v="1028"/>
    <n v="33"/>
    <s v="Male"/>
    <s v="Jewelry"/>
    <x v="3"/>
    <n v="90"/>
    <x v="31"/>
    <s v="L"/>
    <s v="Teal"/>
    <x v="2"/>
    <n v="2.8"/>
    <s v="Yes"/>
    <s v="Cash"/>
    <s v="Next Day Air"/>
    <s v="Yes"/>
    <s v="Yes"/>
    <n v="11"/>
    <x v="1"/>
    <s v="Monthly"/>
    <n v="1"/>
    <x v="3"/>
  </r>
  <r>
    <n v="1029"/>
    <n v="45"/>
    <s v="Male"/>
    <s v="Hoodie"/>
    <x v="0"/>
    <n v="36"/>
    <x v="43"/>
    <s v="S"/>
    <s v="Lavender"/>
    <x v="2"/>
    <n v="3.7"/>
    <s v="Yes"/>
    <s v="Venmo"/>
    <s v="Standard"/>
    <s v="Yes"/>
    <s v="Yes"/>
    <n v="4"/>
    <x v="1"/>
    <s v="Fortnightly"/>
    <n v="1"/>
    <x v="2"/>
  </r>
  <r>
    <n v="1030"/>
    <n v="29"/>
    <s v="Male"/>
    <s v="Gloves"/>
    <x v="3"/>
    <n v="22"/>
    <x v="31"/>
    <s v="M"/>
    <s v="Purple"/>
    <x v="1"/>
    <n v="3.6"/>
    <s v="Yes"/>
    <s v="Credit Card"/>
    <s v="2-Day Shipping"/>
    <s v="Yes"/>
    <s v="Yes"/>
    <n v="33"/>
    <x v="0"/>
    <s v="Bi-Weekly"/>
    <n v="1"/>
    <x v="3"/>
  </r>
  <r>
    <n v="1031"/>
    <n v="58"/>
    <s v="Male"/>
    <s v="Coat"/>
    <x v="2"/>
    <n v="89"/>
    <x v="0"/>
    <s v="L"/>
    <s v="Blue"/>
    <x v="0"/>
    <n v="3.3"/>
    <s v="Yes"/>
    <s v="Credit Card"/>
    <s v="Next Day Air"/>
    <s v="Yes"/>
    <s v="Yes"/>
    <n v="37"/>
    <x v="5"/>
    <s v="Quarterly"/>
    <n v="1"/>
    <x v="0"/>
  </r>
  <r>
    <n v="1032"/>
    <n v="22"/>
    <s v="Male"/>
    <s v="Sandals"/>
    <x v="1"/>
    <n v="50"/>
    <x v="30"/>
    <s v="M"/>
    <s v="Teal"/>
    <x v="1"/>
    <n v="3.4"/>
    <s v="Yes"/>
    <s v="Cash"/>
    <s v="Free Shipping"/>
    <s v="Yes"/>
    <s v="Yes"/>
    <n v="32"/>
    <x v="1"/>
    <s v="Quarterly"/>
    <n v="1"/>
    <x v="1"/>
  </r>
  <r>
    <n v="1033"/>
    <n v="55"/>
    <s v="Male"/>
    <s v="Boots"/>
    <x v="1"/>
    <n v="36"/>
    <x v="1"/>
    <s v="M"/>
    <s v="Lavender"/>
    <x v="3"/>
    <n v="4"/>
    <s v="Yes"/>
    <s v="Bank Transfer"/>
    <s v="Free Shipping"/>
    <s v="Yes"/>
    <s v="Yes"/>
    <n v="44"/>
    <x v="2"/>
    <s v="Quarterly"/>
    <n v="1"/>
    <x v="0"/>
  </r>
  <r>
    <n v="1034"/>
    <n v="19"/>
    <s v="Male"/>
    <s v="Pants"/>
    <x v="0"/>
    <n v="52"/>
    <x v="6"/>
    <s v="S"/>
    <s v="Silver"/>
    <x v="1"/>
    <n v="4.5999999999999996"/>
    <s v="Yes"/>
    <s v="Credit Card"/>
    <s v="Free Shipping"/>
    <s v="Yes"/>
    <s v="Yes"/>
    <n v="41"/>
    <x v="4"/>
    <s v="Quarterly"/>
    <n v="1"/>
    <x v="1"/>
  </r>
  <r>
    <n v="1035"/>
    <n v="68"/>
    <s v="Male"/>
    <s v="Socks"/>
    <x v="0"/>
    <n v="29"/>
    <x v="33"/>
    <s v="M"/>
    <s v="Olive"/>
    <x v="3"/>
    <n v="4.2"/>
    <s v="Yes"/>
    <s v="Venmo"/>
    <s v="Next Day Air"/>
    <s v="Yes"/>
    <s v="Yes"/>
    <n v="44"/>
    <x v="4"/>
    <s v="Weekly"/>
    <n v="1"/>
    <x v="0"/>
  </r>
  <r>
    <n v="1036"/>
    <n v="61"/>
    <s v="Male"/>
    <s v="Blouse"/>
    <x v="0"/>
    <n v="89"/>
    <x v="42"/>
    <s v="M"/>
    <s v="Brown"/>
    <x v="3"/>
    <n v="2.8"/>
    <s v="Yes"/>
    <s v="Venmo"/>
    <s v="Express"/>
    <s v="Yes"/>
    <s v="Yes"/>
    <n v="32"/>
    <x v="0"/>
    <s v="Annually"/>
    <n v="1"/>
    <x v="0"/>
  </r>
  <r>
    <n v="1037"/>
    <n v="68"/>
    <s v="Male"/>
    <s v="Handbag"/>
    <x v="3"/>
    <n v="47"/>
    <x v="11"/>
    <s v="M"/>
    <s v="Yellow"/>
    <x v="3"/>
    <n v="3.7"/>
    <s v="Yes"/>
    <s v="Credit Card"/>
    <s v="2-Day Shipping"/>
    <s v="Yes"/>
    <s v="Yes"/>
    <n v="13"/>
    <x v="4"/>
    <s v="Monthly"/>
    <n v="1"/>
    <x v="0"/>
  </r>
  <r>
    <n v="1038"/>
    <n v="52"/>
    <s v="Male"/>
    <s v="Jewelry"/>
    <x v="3"/>
    <n v="25"/>
    <x v="3"/>
    <s v="XL"/>
    <s v="Brown"/>
    <x v="1"/>
    <n v="3.4"/>
    <s v="Yes"/>
    <s v="Bank Transfer"/>
    <s v="Standard"/>
    <s v="Yes"/>
    <s v="Yes"/>
    <n v="48"/>
    <x v="5"/>
    <s v="Quarterly"/>
    <n v="1"/>
    <x v="0"/>
  </r>
  <r>
    <n v="1039"/>
    <n v="41"/>
    <s v="Male"/>
    <s v="Pants"/>
    <x v="0"/>
    <n v="74"/>
    <x v="43"/>
    <s v="XL"/>
    <s v="Cyan"/>
    <x v="3"/>
    <n v="3"/>
    <s v="Yes"/>
    <s v="Bank Transfer"/>
    <s v="Express"/>
    <s v="Yes"/>
    <s v="Yes"/>
    <n v="3"/>
    <x v="4"/>
    <s v="Weekly"/>
    <n v="1"/>
    <x v="2"/>
  </r>
  <r>
    <n v="1040"/>
    <n v="29"/>
    <s v="Male"/>
    <s v="Belt"/>
    <x v="3"/>
    <n v="46"/>
    <x v="49"/>
    <s v="M"/>
    <s v="Magenta"/>
    <x v="3"/>
    <n v="4.8"/>
    <s v="Yes"/>
    <s v="PayPal"/>
    <s v="Standard"/>
    <s v="Yes"/>
    <s v="Yes"/>
    <n v="39"/>
    <x v="0"/>
    <s v="Monthly"/>
    <n v="1"/>
    <x v="3"/>
  </r>
  <r>
    <n v="1041"/>
    <n v="68"/>
    <s v="Male"/>
    <s v="Jeans"/>
    <x v="0"/>
    <n v="22"/>
    <x v="17"/>
    <s v="S"/>
    <s v="Magenta"/>
    <x v="3"/>
    <n v="4"/>
    <s v="Yes"/>
    <s v="Venmo"/>
    <s v="Next Day Air"/>
    <s v="Yes"/>
    <s v="Yes"/>
    <n v="7"/>
    <x v="1"/>
    <s v="Fortnightly"/>
    <n v="1"/>
    <x v="0"/>
  </r>
  <r>
    <n v="1042"/>
    <n v="36"/>
    <s v="Male"/>
    <s v="Shirt"/>
    <x v="0"/>
    <n v="25"/>
    <x v="46"/>
    <s v="M"/>
    <s v="Orange"/>
    <x v="2"/>
    <n v="4.9000000000000004"/>
    <s v="Yes"/>
    <s v="Venmo"/>
    <s v="Next Day Air"/>
    <s v="Yes"/>
    <s v="Yes"/>
    <n v="11"/>
    <x v="1"/>
    <s v="Fortnightly"/>
    <n v="1"/>
    <x v="2"/>
  </r>
  <r>
    <n v="1043"/>
    <n v="55"/>
    <s v="Male"/>
    <s v="Belt"/>
    <x v="3"/>
    <n v="80"/>
    <x v="33"/>
    <s v="M"/>
    <s v="Maroon"/>
    <x v="1"/>
    <n v="4.9000000000000004"/>
    <s v="Yes"/>
    <s v="Venmo"/>
    <s v="Next Day Air"/>
    <s v="Yes"/>
    <s v="Yes"/>
    <n v="47"/>
    <x v="2"/>
    <s v="Weekly"/>
    <n v="1"/>
    <x v="0"/>
  </r>
  <r>
    <n v="1044"/>
    <n v="28"/>
    <s v="Male"/>
    <s v="Jeans"/>
    <x v="0"/>
    <n v="76"/>
    <x v="11"/>
    <s v="M"/>
    <s v="Green"/>
    <x v="1"/>
    <n v="3.3"/>
    <s v="Yes"/>
    <s v="Bank Transfer"/>
    <s v="2-Day Shipping"/>
    <s v="Yes"/>
    <s v="Yes"/>
    <n v="28"/>
    <x v="5"/>
    <s v="Fortnightly"/>
    <n v="1"/>
    <x v="3"/>
  </r>
  <r>
    <n v="1045"/>
    <n v="39"/>
    <s v="Male"/>
    <s v="Jeans"/>
    <x v="0"/>
    <n v="30"/>
    <x v="4"/>
    <s v="L"/>
    <s v="Teal"/>
    <x v="2"/>
    <n v="4.4000000000000004"/>
    <s v="Yes"/>
    <s v="Credit Card"/>
    <s v="Next Day Air"/>
    <s v="Yes"/>
    <s v="Yes"/>
    <n v="17"/>
    <x v="4"/>
    <s v="Every 3 Months"/>
    <n v="1"/>
    <x v="2"/>
  </r>
  <r>
    <n v="1046"/>
    <n v="54"/>
    <s v="Male"/>
    <s v="Sweater"/>
    <x v="0"/>
    <n v="79"/>
    <x v="35"/>
    <s v="L"/>
    <s v="Black"/>
    <x v="3"/>
    <n v="3.5"/>
    <s v="Yes"/>
    <s v="Cash"/>
    <s v="2-Day Shipping"/>
    <s v="Yes"/>
    <s v="Yes"/>
    <n v="11"/>
    <x v="3"/>
    <s v="Bi-Weekly"/>
    <n v="1"/>
    <x v="0"/>
  </r>
  <r>
    <n v="1047"/>
    <n v="40"/>
    <s v="Male"/>
    <s v="Sneakers"/>
    <x v="1"/>
    <n v="22"/>
    <x v="26"/>
    <s v="M"/>
    <s v="Magenta"/>
    <x v="0"/>
    <n v="4.2"/>
    <s v="Yes"/>
    <s v="Credit Card"/>
    <s v="Standard"/>
    <s v="Yes"/>
    <s v="Yes"/>
    <n v="12"/>
    <x v="0"/>
    <s v="Annually"/>
    <n v="1"/>
    <x v="2"/>
  </r>
  <r>
    <n v="1048"/>
    <n v="31"/>
    <s v="Male"/>
    <s v="Socks"/>
    <x v="0"/>
    <n v="36"/>
    <x v="40"/>
    <s v="S"/>
    <s v="Olive"/>
    <x v="3"/>
    <n v="4.2"/>
    <s v="Yes"/>
    <s v="Debit Card"/>
    <s v="Standard"/>
    <s v="Yes"/>
    <s v="Yes"/>
    <n v="7"/>
    <x v="2"/>
    <s v="Fortnightly"/>
    <n v="1"/>
    <x v="3"/>
  </r>
  <r>
    <n v="1049"/>
    <n v="30"/>
    <s v="Male"/>
    <s v="Socks"/>
    <x v="0"/>
    <n v="77"/>
    <x v="1"/>
    <s v="L"/>
    <s v="Yellow"/>
    <x v="3"/>
    <n v="2.7"/>
    <s v="Yes"/>
    <s v="Cash"/>
    <s v="Standard"/>
    <s v="Yes"/>
    <s v="Yes"/>
    <n v="19"/>
    <x v="0"/>
    <s v="Fortnightly"/>
    <n v="1"/>
    <x v="3"/>
  </r>
  <r>
    <n v="1050"/>
    <n v="45"/>
    <s v="Male"/>
    <s v="Sunglasses"/>
    <x v="3"/>
    <n v="33"/>
    <x v="41"/>
    <s v="S"/>
    <s v="Purple"/>
    <x v="3"/>
    <n v="2.8"/>
    <s v="Yes"/>
    <s v="Credit Card"/>
    <s v="Store Pickup"/>
    <s v="Yes"/>
    <s v="Yes"/>
    <n v="24"/>
    <x v="1"/>
    <s v="Quarterly"/>
    <n v="1"/>
    <x v="2"/>
  </r>
  <r>
    <n v="1051"/>
    <n v="48"/>
    <s v="Male"/>
    <s v="Sneakers"/>
    <x v="1"/>
    <n v="64"/>
    <x v="20"/>
    <s v="M"/>
    <s v="Beige"/>
    <x v="0"/>
    <n v="3.8"/>
    <s v="Yes"/>
    <s v="Credit Card"/>
    <s v="Next Day Air"/>
    <s v="Yes"/>
    <s v="Yes"/>
    <n v="19"/>
    <x v="0"/>
    <s v="Monthly"/>
    <n v="1"/>
    <x v="0"/>
  </r>
  <r>
    <n v="1052"/>
    <n v="45"/>
    <s v="Male"/>
    <s v="Socks"/>
    <x v="0"/>
    <n v="53"/>
    <x v="31"/>
    <s v="M"/>
    <s v="Indigo"/>
    <x v="3"/>
    <n v="2.6"/>
    <s v="Yes"/>
    <s v="PayPal"/>
    <s v="Free Shipping"/>
    <s v="Yes"/>
    <s v="Yes"/>
    <n v="39"/>
    <x v="3"/>
    <s v="Annually"/>
    <n v="1"/>
    <x v="2"/>
  </r>
  <r>
    <n v="1053"/>
    <n v="60"/>
    <s v="Male"/>
    <s v="Shoes"/>
    <x v="1"/>
    <n v="36"/>
    <x v="41"/>
    <s v="XL"/>
    <s v="Pink"/>
    <x v="3"/>
    <n v="3"/>
    <s v="Yes"/>
    <s v="Venmo"/>
    <s v="2-Day Shipping"/>
    <s v="Yes"/>
    <s v="Yes"/>
    <n v="1"/>
    <x v="2"/>
    <s v="Fortnightly"/>
    <n v="1"/>
    <x v="0"/>
  </r>
  <r>
    <n v="1054"/>
    <n v="59"/>
    <s v="Male"/>
    <s v="Blouse"/>
    <x v="0"/>
    <n v="70"/>
    <x v="23"/>
    <s v="M"/>
    <s v="Blue"/>
    <x v="1"/>
    <n v="3.3"/>
    <s v="No"/>
    <s v="Cash"/>
    <s v="2-Day Shipping"/>
    <s v="Yes"/>
    <s v="Yes"/>
    <n v="10"/>
    <x v="5"/>
    <s v="Bi-Weekly"/>
    <n v="1"/>
    <x v="0"/>
  </r>
  <r>
    <n v="1055"/>
    <n v="18"/>
    <s v="Male"/>
    <s v="Shorts"/>
    <x v="0"/>
    <n v="96"/>
    <x v="10"/>
    <s v="L"/>
    <s v="Cyan"/>
    <x v="0"/>
    <n v="4.9000000000000004"/>
    <s v="No"/>
    <s v="Debit Card"/>
    <s v="Express"/>
    <s v="Yes"/>
    <s v="Yes"/>
    <n v="48"/>
    <x v="3"/>
    <s v="Quarterly"/>
    <n v="1"/>
    <x v="1"/>
  </r>
  <r>
    <n v="1056"/>
    <n v="70"/>
    <s v="Male"/>
    <s v="Jacket"/>
    <x v="2"/>
    <n v="27"/>
    <x v="2"/>
    <s v="M"/>
    <s v="Orange"/>
    <x v="1"/>
    <n v="3.3"/>
    <s v="No"/>
    <s v="PayPal"/>
    <s v="Next Day Air"/>
    <s v="Yes"/>
    <s v="Yes"/>
    <n v="24"/>
    <x v="5"/>
    <s v="Annually"/>
    <n v="1"/>
    <x v="0"/>
  </r>
  <r>
    <n v="1057"/>
    <n v="20"/>
    <s v="Male"/>
    <s v="Sweater"/>
    <x v="0"/>
    <n v="64"/>
    <x v="37"/>
    <s v="L"/>
    <s v="Black"/>
    <x v="0"/>
    <n v="2.9"/>
    <s v="No"/>
    <s v="Debit Card"/>
    <s v="2-Day Shipping"/>
    <s v="Yes"/>
    <s v="Yes"/>
    <n v="42"/>
    <x v="0"/>
    <s v="Fortnightly"/>
    <n v="1"/>
    <x v="1"/>
  </r>
  <r>
    <n v="1058"/>
    <n v="65"/>
    <s v="Male"/>
    <s v="Jacket"/>
    <x v="2"/>
    <n v="23"/>
    <x v="48"/>
    <s v="S"/>
    <s v="Maroon"/>
    <x v="1"/>
    <n v="4.4000000000000004"/>
    <s v="No"/>
    <s v="Bank Transfer"/>
    <s v="2-Day Shipping"/>
    <s v="Yes"/>
    <s v="Yes"/>
    <n v="20"/>
    <x v="2"/>
    <s v="Weekly"/>
    <n v="1"/>
    <x v="0"/>
  </r>
  <r>
    <n v="1059"/>
    <n v="29"/>
    <s v="Male"/>
    <s v="Scarf"/>
    <x v="3"/>
    <n v="33"/>
    <x v="35"/>
    <s v="L"/>
    <s v="Violet"/>
    <x v="2"/>
    <n v="3.1"/>
    <s v="No"/>
    <s v="Credit Card"/>
    <s v="Next Day Air"/>
    <s v="Yes"/>
    <s v="Yes"/>
    <n v="49"/>
    <x v="4"/>
    <s v="Every 3 Months"/>
    <n v="1"/>
    <x v="3"/>
  </r>
  <r>
    <n v="1060"/>
    <n v="22"/>
    <s v="Male"/>
    <s v="Jacket"/>
    <x v="2"/>
    <n v="34"/>
    <x v="17"/>
    <s v="M"/>
    <s v="Beige"/>
    <x v="0"/>
    <n v="2.5"/>
    <s v="No"/>
    <s v="Venmo"/>
    <s v="Standard"/>
    <s v="Yes"/>
    <s v="Yes"/>
    <n v="25"/>
    <x v="5"/>
    <s v="Monthly"/>
    <n v="1"/>
    <x v="1"/>
  </r>
  <r>
    <n v="1061"/>
    <n v="27"/>
    <s v="Male"/>
    <s v="Sweater"/>
    <x v="0"/>
    <n v="35"/>
    <x v="44"/>
    <s v="S"/>
    <s v="Gray"/>
    <x v="2"/>
    <n v="2.6"/>
    <s v="No"/>
    <s v="PayPal"/>
    <s v="Next Day Air"/>
    <s v="Yes"/>
    <s v="Yes"/>
    <n v="21"/>
    <x v="5"/>
    <s v="Every 3 Months"/>
    <n v="1"/>
    <x v="3"/>
  </r>
  <r>
    <n v="1062"/>
    <n v="36"/>
    <s v="Male"/>
    <s v="Coat"/>
    <x v="2"/>
    <n v="62"/>
    <x v="37"/>
    <s v="M"/>
    <s v="Gray"/>
    <x v="2"/>
    <n v="4.4000000000000004"/>
    <s v="No"/>
    <s v="Debit Card"/>
    <s v="Free Shipping"/>
    <s v="Yes"/>
    <s v="Yes"/>
    <n v="12"/>
    <x v="0"/>
    <s v="Every 3 Months"/>
    <n v="1"/>
    <x v="2"/>
  </r>
  <r>
    <n v="1063"/>
    <n v="59"/>
    <s v="Male"/>
    <s v="Boots"/>
    <x v="1"/>
    <n v="75"/>
    <x v="31"/>
    <s v="M"/>
    <s v="Brown"/>
    <x v="3"/>
    <n v="2.6"/>
    <s v="No"/>
    <s v="Venmo"/>
    <s v="Next Day Air"/>
    <s v="Yes"/>
    <s v="Yes"/>
    <n v="21"/>
    <x v="5"/>
    <s v="Every 3 Months"/>
    <n v="1"/>
    <x v="0"/>
  </r>
  <r>
    <n v="1064"/>
    <n v="62"/>
    <s v="Male"/>
    <s v="Hoodie"/>
    <x v="0"/>
    <n v="29"/>
    <x v="15"/>
    <s v="S"/>
    <s v="Indigo"/>
    <x v="2"/>
    <n v="3.3"/>
    <s v="No"/>
    <s v="Bank Transfer"/>
    <s v="Free Shipping"/>
    <s v="Yes"/>
    <s v="Yes"/>
    <n v="35"/>
    <x v="1"/>
    <s v="Monthly"/>
    <n v="1"/>
    <x v="0"/>
  </r>
  <r>
    <n v="1065"/>
    <n v="34"/>
    <s v="Male"/>
    <s v="Hat"/>
    <x v="3"/>
    <n v="28"/>
    <x v="5"/>
    <s v="M"/>
    <s v="Violet"/>
    <x v="1"/>
    <n v="3.5"/>
    <s v="No"/>
    <s v="Debit Card"/>
    <s v="Express"/>
    <s v="Yes"/>
    <s v="Yes"/>
    <n v="42"/>
    <x v="2"/>
    <s v="Every 3 Months"/>
    <n v="1"/>
    <x v="3"/>
  </r>
  <r>
    <n v="1066"/>
    <n v="59"/>
    <s v="Male"/>
    <s v="T-shirt"/>
    <x v="0"/>
    <n v="20"/>
    <x v="15"/>
    <s v="XL"/>
    <s v="Blue"/>
    <x v="1"/>
    <n v="4.0999999999999996"/>
    <s v="No"/>
    <s v="Cash"/>
    <s v="Store Pickup"/>
    <s v="Yes"/>
    <s v="Yes"/>
    <n v="3"/>
    <x v="3"/>
    <s v="Every 3 Months"/>
    <n v="1"/>
    <x v="0"/>
  </r>
  <r>
    <n v="1067"/>
    <n v="49"/>
    <s v="Male"/>
    <s v="Coat"/>
    <x v="2"/>
    <n v="96"/>
    <x v="16"/>
    <s v="M"/>
    <s v="Red"/>
    <x v="0"/>
    <n v="4"/>
    <s v="No"/>
    <s v="Credit Card"/>
    <s v="Store Pickup"/>
    <s v="Yes"/>
    <s v="Yes"/>
    <n v="11"/>
    <x v="3"/>
    <s v="Bi-Weekly"/>
    <n v="1"/>
    <x v="0"/>
  </r>
  <r>
    <n v="1068"/>
    <n v="18"/>
    <s v="Male"/>
    <s v="Dress"/>
    <x v="0"/>
    <n v="43"/>
    <x v="38"/>
    <s v="S"/>
    <s v="Peach"/>
    <x v="2"/>
    <n v="2.7"/>
    <s v="No"/>
    <s v="Venmo"/>
    <s v="2-Day Shipping"/>
    <s v="Yes"/>
    <s v="Yes"/>
    <n v="22"/>
    <x v="3"/>
    <s v="Quarterly"/>
    <n v="1"/>
    <x v="1"/>
  </r>
  <r>
    <n v="1069"/>
    <n v="55"/>
    <s v="Male"/>
    <s v="Shirt"/>
    <x v="0"/>
    <n v="94"/>
    <x v="5"/>
    <s v="M"/>
    <s v="Olive"/>
    <x v="3"/>
    <n v="2.5"/>
    <s v="No"/>
    <s v="Bank Transfer"/>
    <s v="Standard"/>
    <s v="Yes"/>
    <s v="Yes"/>
    <n v="47"/>
    <x v="2"/>
    <s v="Weekly"/>
    <n v="1"/>
    <x v="0"/>
  </r>
  <r>
    <n v="1070"/>
    <n v="38"/>
    <s v="Male"/>
    <s v="Skirt"/>
    <x v="0"/>
    <n v="81"/>
    <x v="33"/>
    <s v="XL"/>
    <s v="White"/>
    <x v="3"/>
    <n v="4.3"/>
    <s v="No"/>
    <s v="Credit Card"/>
    <s v="Next Day Air"/>
    <s v="Yes"/>
    <s v="Yes"/>
    <n v="33"/>
    <x v="0"/>
    <s v="Every 3 Months"/>
    <n v="1"/>
    <x v="2"/>
  </r>
  <r>
    <n v="1071"/>
    <n v="50"/>
    <s v="Male"/>
    <s v="Jewelry"/>
    <x v="3"/>
    <n v="75"/>
    <x v="17"/>
    <s v="M"/>
    <s v="Magenta"/>
    <x v="2"/>
    <n v="3.3"/>
    <s v="No"/>
    <s v="Venmo"/>
    <s v="Free Shipping"/>
    <s v="Yes"/>
    <s v="Yes"/>
    <n v="50"/>
    <x v="5"/>
    <s v="Weekly"/>
    <n v="1"/>
    <x v="0"/>
  </r>
  <r>
    <n v="1072"/>
    <n v="61"/>
    <s v="Male"/>
    <s v="Hat"/>
    <x v="3"/>
    <n v="81"/>
    <x v="38"/>
    <s v="M"/>
    <s v="Beige"/>
    <x v="2"/>
    <n v="2.6"/>
    <s v="No"/>
    <s v="Cash"/>
    <s v="Express"/>
    <s v="Yes"/>
    <s v="Yes"/>
    <n v="46"/>
    <x v="2"/>
    <s v="Monthly"/>
    <n v="1"/>
    <x v="0"/>
  </r>
  <r>
    <n v="1073"/>
    <n v="48"/>
    <s v="Male"/>
    <s v="Shorts"/>
    <x v="0"/>
    <n v="92"/>
    <x v="37"/>
    <s v="L"/>
    <s v="Gold"/>
    <x v="3"/>
    <n v="3.5"/>
    <s v="No"/>
    <s v="Bank Transfer"/>
    <s v="Express"/>
    <s v="Yes"/>
    <s v="Yes"/>
    <n v="34"/>
    <x v="5"/>
    <s v="Fortnightly"/>
    <n v="1"/>
    <x v="0"/>
  </r>
  <r>
    <n v="1074"/>
    <n v="22"/>
    <s v="Male"/>
    <s v="Scarf"/>
    <x v="3"/>
    <n v="96"/>
    <x v="18"/>
    <s v="XL"/>
    <s v="Purple"/>
    <x v="1"/>
    <n v="4"/>
    <s v="No"/>
    <s v="Cash"/>
    <s v="Store Pickup"/>
    <s v="Yes"/>
    <s v="Yes"/>
    <n v="33"/>
    <x v="2"/>
    <s v="Monthly"/>
    <n v="1"/>
    <x v="1"/>
  </r>
  <r>
    <n v="1075"/>
    <n v="48"/>
    <s v="Male"/>
    <s v="Jewelry"/>
    <x v="3"/>
    <n v="71"/>
    <x v="30"/>
    <s v="S"/>
    <s v="White"/>
    <x v="3"/>
    <n v="2.6"/>
    <s v="No"/>
    <s v="PayPal"/>
    <s v="Standard"/>
    <s v="Yes"/>
    <s v="Yes"/>
    <n v="45"/>
    <x v="4"/>
    <s v="Fortnightly"/>
    <n v="1"/>
    <x v="0"/>
  </r>
  <r>
    <n v="1076"/>
    <n v="57"/>
    <s v="Male"/>
    <s v="Sunglasses"/>
    <x v="3"/>
    <n v="50"/>
    <x v="9"/>
    <s v="L"/>
    <s v="Indigo"/>
    <x v="2"/>
    <n v="4.9000000000000004"/>
    <s v="No"/>
    <s v="Debit Card"/>
    <s v="Next Day Air"/>
    <s v="Yes"/>
    <s v="Yes"/>
    <n v="32"/>
    <x v="5"/>
    <s v="Bi-Weekly"/>
    <n v="1"/>
    <x v="0"/>
  </r>
  <r>
    <n v="1077"/>
    <n v="33"/>
    <s v="Male"/>
    <s v="Coat"/>
    <x v="2"/>
    <n v="72"/>
    <x v="25"/>
    <s v="L"/>
    <s v="Charcoal"/>
    <x v="1"/>
    <n v="2.9"/>
    <s v="No"/>
    <s v="Bank Transfer"/>
    <s v="Standard"/>
    <s v="Yes"/>
    <s v="Yes"/>
    <n v="47"/>
    <x v="0"/>
    <s v="Bi-Weekly"/>
    <n v="1"/>
    <x v="3"/>
  </r>
  <r>
    <n v="1078"/>
    <n v="58"/>
    <s v="Male"/>
    <s v="Jacket"/>
    <x v="2"/>
    <n v="28"/>
    <x v="8"/>
    <s v="M"/>
    <s v="Pink"/>
    <x v="0"/>
    <n v="3.7"/>
    <s v="No"/>
    <s v="Cash"/>
    <s v="Standard"/>
    <s v="Yes"/>
    <s v="Yes"/>
    <n v="5"/>
    <x v="3"/>
    <s v="Quarterly"/>
    <n v="1"/>
    <x v="0"/>
  </r>
  <r>
    <n v="1079"/>
    <n v="37"/>
    <s v="Male"/>
    <s v="Sweater"/>
    <x v="0"/>
    <n v="59"/>
    <x v="28"/>
    <s v="M"/>
    <s v="Silver"/>
    <x v="3"/>
    <n v="4.4000000000000004"/>
    <s v="No"/>
    <s v="Cash"/>
    <s v="Express"/>
    <s v="Yes"/>
    <s v="Yes"/>
    <n v="49"/>
    <x v="2"/>
    <s v="Fortnightly"/>
    <n v="1"/>
    <x v="2"/>
  </r>
  <r>
    <n v="1080"/>
    <n v="18"/>
    <s v="Male"/>
    <s v="Coat"/>
    <x v="2"/>
    <n v="33"/>
    <x v="19"/>
    <s v="S"/>
    <s v="Blue"/>
    <x v="2"/>
    <n v="4.4000000000000004"/>
    <s v="No"/>
    <s v="Bank Transfer"/>
    <s v="Free Shipping"/>
    <s v="Yes"/>
    <s v="Yes"/>
    <n v="48"/>
    <x v="4"/>
    <s v="Monthly"/>
    <n v="1"/>
    <x v="1"/>
  </r>
  <r>
    <n v="1081"/>
    <n v="65"/>
    <s v="Male"/>
    <s v="Scarf"/>
    <x v="3"/>
    <n v="59"/>
    <x v="38"/>
    <s v="L"/>
    <s v="Blue"/>
    <x v="3"/>
    <n v="3.8"/>
    <s v="No"/>
    <s v="Bank Transfer"/>
    <s v="Express"/>
    <s v="Yes"/>
    <s v="Yes"/>
    <n v="22"/>
    <x v="1"/>
    <s v="Every 3 Months"/>
    <n v="1"/>
    <x v="0"/>
  </r>
  <r>
    <n v="1082"/>
    <n v="62"/>
    <s v="Male"/>
    <s v="Belt"/>
    <x v="3"/>
    <n v="30"/>
    <x v="37"/>
    <s v="XL"/>
    <s v="Brown"/>
    <x v="1"/>
    <n v="4.5"/>
    <s v="No"/>
    <s v="Cash"/>
    <s v="Standard"/>
    <s v="Yes"/>
    <s v="Yes"/>
    <n v="45"/>
    <x v="2"/>
    <s v="Annually"/>
    <n v="1"/>
    <x v="0"/>
  </r>
  <r>
    <n v="1083"/>
    <n v="54"/>
    <s v="Male"/>
    <s v="Hat"/>
    <x v="3"/>
    <n v="85"/>
    <x v="36"/>
    <s v="XL"/>
    <s v="Cyan"/>
    <x v="0"/>
    <n v="2.6"/>
    <s v="No"/>
    <s v="PayPal"/>
    <s v="Next Day Air"/>
    <s v="Yes"/>
    <s v="Yes"/>
    <n v="30"/>
    <x v="0"/>
    <s v="Quarterly"/>
    <n v="1"/>
    <x v="0"/>
  </r>
  <r>
    <n v="1084"/>
    <n v="35"/>
    <s v="Male"/>
    <s v="Backpack"/>
    <x v="3"/>
    <n v="97"/>
    <x v="47"/>
    <s v="L"/>
    <s v="Teal"/>
    <x v="2"/>
    <n v="3.3"/>
    <s v="No"/>
    <s v="Credit Card"/>
    <s v="Store Pickup"/>
    <s v="Yes"/>
    <s v="Yes"/>
    <n v="43"/>
    <x v="1"/>
    <s v="Weekly"/>
    <n v="1"/>
    <x v="3"/>
  </r>
  <r>
    <n v="1085"/>
    <n v="34"/>
    <s v="Male"/>
    <s v="T-shirt"/>
    <x v="0"/>
    <n v="36"/>
    <x v="10"/>
    <s v="S"/>
    <s v="Purple"/>
    <x v="3"/>
    <n v="4.0999999999999996"/>
    <s v="No"/>
    <s v="Credit Card"/>
    <s v="Next Day Air"/>
    <s v="Yes"/>
    <s v="Yes"/>
    <n v="48"/>
    <x v="1"/>
    <s v="Quarterly"/>
    <n v="1"/>
    <x v="3"/>
  </r>
  <r>
    <n v="1086"/>
    <n v="25"/>
    <s v="Male"/>
    <s v="Jewelry"/>
    <x v="3"/>
    <n v="85"/>
    <x v="40"/>
    <s v="M"/>
    <s v="Turquoise"/>
    <x v="0"/>
    <n v="3"/>
    <s v="No"/>
    <s v="PayPal"/>
    <s v="Store Pickup"/>
    <s v="Yes"/>
    <s v="Yes"/>
    <n v="23"/>
    <x v="0"/>
    <s v="Fortnightly"/>
    <n v="1"/>
    <x v="1"/>
  </r>
  <r>
    <n v="1087"/>
    <n v="53"/>
    <s v="Male"/>
    <s v="Sunglasses"/>
    <x v="3"/>
    <n v="62"/>
    <x v="29"/>
    <s v="M"/>
    <s v="Olive"/>
    <x v="0"/>
    <n v="3"/>
    <s v="No"/>
    <s v="PayPal"/>
    <s v="Free Shipping"/>
    <s v="Yes"/>
    <s v="Yes"/>
    <n v="27"/>
    <x v="3"/>
    <s v="Bi-Weekly"/>
    <n v="1"/>
    <x v="0"/>
  </r>
  <r>
    <n v="1088"/>
    <n v="45"/>
    <s v="Male"/>
    <s v="Jeans"/>
    <x v="0"/>
    <n v="71"/>
    <x v="8"/>
    <s v="S"/>
    <s v="White"/>
    <x v="0"/>
    <n v="3.4"/>
    <s v="No"/>
    <s v="PayPal"/>
    <s v="Next Day Air"/>
    <s v="Yes"/>
    <s v="Yes"/>
    <n v="7"/>
    <x v="4"/>
    <s v="Monthly"/>
    <n v="1"/>
    <x v="2"/>
  </r>
  <r>
    <n v="1089"/>
    <n v="49"/>
    <s v="Male"/>
    <s v="Pants"/>
    <x v="0"/>
    <n v="21"/>
    <x v="7"/>
    <s v="M"/>
    <s v="Turquoise"/>
    <x v="0"/>
    <n v="2.7"/>
    <s v="No"/>
    <s v="Bank Transfer"/>
    <s v="Free Shipping"/>
    <s v="Yes"/>
    <s v="Yes"/>
    <n v="2"/>
    <x v="3"/>
    <s v="Weekly"/>
    <n v="1"/>
    <x v="0"/>
  </r>
  <r>
    <n v="1090"/>
    <n v="40"/>
    <s v="Male"/>
    <s v="Backpack"/>
    <x v="3"/>
    <n v="61"/>
    <x v="28"/>
    <s v="M"/>
    <s v="Silver"/>
    <x v="1"/>
    <n v="3.8"/>
    <s v="No"/>
    <s v="Debit Card"/>
    <s v="Next Day Air"/>
    <s v="Yes"/>
    <s v="Yes"/>
    <n v="33"/>
    <x v="3"/>
    <s v="Bi-Weekly"/>
    <n v="1"/>
    <x v="2"/>
  </r>
  <r>
    <n v="1091"/>
    <n v="38"/>
    <s v="Male"/>
    <s v="Scarf"/>
    <x v="3"/>
    <n v="58"/>
    <x v="39"/>
    <s v="M"/>
    <s v="Violet"/>
    <x v="1"/>
    <n v="4.2"/>
    <s v="No"/>
    <s v="Bank Transfer"/>
    <s v="Store Pickup"/>
    <s v="Yes"/>
    <s v="Yes"/>
    <n v="27"/>
    <x v="1"/>
    <s v="Fortnightly"/>
    <n v="1"/>
    <x v="2"/>
  </r>
  <r>
    <n v="1092"/>
    <n v="44"/>
    <s v="Male"/>
    <s v="Sweater"/>
    <x v="0"/>
    <n v="80"/>
    <x v="17"/>
    <s v="L"/>
    <s v="Lavender"/>
    <x v="1"/>
    <n v="4.7"/>
    <s v="No"/>
    <s v="Cash"/>
    <s v="Store Pickup"/>
    <s v="Yes"/>
    <s v="Yes"/>
    <n v="6"/>
    <x v="2"/>
    <s v="Fortnightly"/>
    <n v="1"/>
    <x v="2"/>
  </r>
  <r>
    <n v="1093"/>
    <n v="68"/>
    <s v="Male"/>
    <s v="Jewelry"/>
    <x v="3"/>
    <n v="50"/>
    <x v="45"/>
    <s v="L"/>
    <s v="Magenta"/>
    <x v="1"/>
    <n v="4.0999999999999996"/>
    <s v="No"/>
    <s v="Credit Card"/>
    <s v="2-Day Shipping"/>
    <s v="Yes"/>
    <s v="Yes"/>
    <n v="20"/>
    <x v="0"/>
    <s v="Quarterly"/>
    <n v="1"/>
    <x v="0"/>
  </r>
  <r>
    <n v="1094"/>
    <n v="60"/>
    <s v="Male"/>
    <s v="Sneakers"/>
    <x v="1"/>
    <n v="48"/>
    <x v="12"/>
    <s v="S"/>
    <s v="Indigo"/>
    <x v="0"/>
    <n v="4.2"/>
    <s v="No"/>
    <s v="PayPal"/>
    <s v="2-Day Shipping"/>
    <s v="Yes"/>
    <s v="Yes"/>
    <n v="46"/>
    <x v="0"/>
    <s v="Every 3 Months"/>
    <n v="1"/>
    <x v="0"/>
  </r>
  <r>
    <n v="1095"/>
    <n v="25"/>
    <s v="Male"/>
    <s v="Jewelry"/>
    <x v="3"/>
    <n v="40"/>
    <x v="39"/>
    <s v="M"/>
    <s v="Black"/>
    <x v="0"/>
    <n v="4.8"/>
    <s v="No"/>
    <s v="Credit Card"/>
    <s v="Next Day Air"/>
    <s v="Yes"/>
    <s v="Yes"/>
    <n v="25"/>
    <x v="1"/>
    <s v="Quarterly"/>
    <n v="1"/>
    <x v="1"/>
  </r>
  <r>
    <n v="1096"/>
    <n v="19"/>
    <s v="Male"/>
    <s v="Coat"/>
    <x v="2"/>
    <n v="34"/>
    <x v="30"/>
    <s v="S"/>
    <s v="Peach"/>
    <x v="2"/>
    <n v="3"/>
    <s v="No"/>
    <s v="Debit Card"/>
    <s v="Free Shipping"/>
    <s v="Yes"/>
    <s v="Yes"/>
    <n v="30"/>
    <x v="4"/>
    <s v="Quarterly"/>
    <n v="1"/>
    <x v="1"/>
  </r>
  <r>
    <n v="1097"/>
    <n v="57"/>
    <s v="Male"/>
    <s v="Coat"/>
    <x v="2"/>
    <n v="46"/>
    <x v="13"/>
    <s v="S"/>
    <s v="Beige"/>
    <x v="3"/>
    <n v="2.6"/>
    <s v="No"/>
    <s v="Credit Card"/>
    <s v="Standard"/>
    <s v="Yes"/>
    <s v="Yes"/>
    <n v="48"/>
    <x v="2"/>
    <s v="Annually"/>
    <n v="1"/>
    <x v="0"/>
  </r>
  <r>
    <n v="1098"/>
    <n v="58"/>
    <s v="Male"/>
    <s v="Sunglasses"/>
    <x v="3"/>
    <n v="27"/>
    <x v="34"/>
    <s v="M"/>
    <s v="Black"/>
    <x v="2"/>
    <n v="3.2"/>
    <s v="No"/>
    <s v="Venmo"/>
    <s v="Store Pickup"/>
    <s v="Yes"/>
    <s v="Yes"/>
    <n v="47"/>
    <x v="4"/>
    <s v="Weekly"/>
    <n v="1"/>
    <x v="0"/>
  </r>
  <r>
    <n v="1099"/>
    <n v="49"/>
    <s v="Male"/>
    <s v="Handbag"/>
    <x v="3"/>
    <n v="98"/>
    <x v="37"/>
    <s v="S"/>
    <s v="Turquoise"/>
    <x v="1"/>
    <n v="3.6"/>
    <s v="No"/>
    <s v="PayPal"/>
    <s v="Next Day Air"/>
    <s v="Yes"/>
    <s v="Yes"/>
    <n v="27"/>
    <x v="2"/>
    <s v="Weekly"/>
    <n v="1"/>
    <x v="0"/>
  </r>
  <r>
    <n v="1100"/>
    <n v="19"/>
    <s v="Male"/>
    <s v="Sweater"/>
    <x v="0"/>
    <n v="73"/>
    <x v="17"/>
    <s v="M"/>
    <s v="Peach"/>
    <x v="3"/>
    <n v="2.6"/>
    <s v="No"/>
    <s v="Cash"/>
    <s v="Next Day Air"/>
    <s v="Yes"/>
    <s v="Yes"/>
    <n v="45"/>
    <x v="4"/>
    <s v="Fortnightly"/>
    <n v="1"/>
    <x v="1"/>
  </r>
  <r>
    <n v="1101"/>
    <n v="50"/>
    <s v="Male"/>
    <s v="Pants"/>
    <x v="0"/>
    <n v="28"/>
    <x v="22"/>
    <s v="L"/>
    <s v="Gold"/>
    <x v="1"/>
    <n v="4.4000000000000004"/>
    <s v="No"/>
    <s v="Debit Card"/>
    <s v="Express"/>
    <s v="Yes"/>
    <s v="Yes"/>
    <n v="2"/>
    <x v="2"/>
    <s v="Weekly"/>
    <n v="1"/>
    <x v="0"/>
  </r>
  <r>
    <n v="1102"/>
    <n v="30"/>
    <s v="Male"/>
    <s v="Gloves"/>
    <x v="3"/>
    <n v="76"/>
    <x v="12"/>
    <s v="XL"/>
    <s v="Silver"/>
    <x v="3"/>
    <n v="3"/>
    <s v="No"/>
    <s v="Cash"/>
    <s v="Free Shipping"/>
    <s v="Yes"/>
    <s v="Yes"/>
    <n v="39"/>
    <x v="1"/>
    <s v="Fortnightly"/>
    <n v="1"/>
    <x v="3"/>
  </r>
  <r>
    <n v="1103"/>
    <n v="52"/>
    <s v="Male"/>
    <s v="Sweater"/>
    <x v="0"/>
    <n v="83"/>
    <x v="21"/>
    <s v="M"/>
    <s v="Peach"/>
    <x v="3"/>
    <n v="2.9"/>
    <s v="No"/>
    <s v="Credit Card"/>
    <s v="Express"/>
    <s v="Yes"/>
    <s v="Yes"/>
    <n v="24"/>
    <x v="1"/>
    <s v="Fortnightly"/>
    <n v="1"/>
    <x v="0"/>
  </r>
  <r>
    <n v="1104"/>
    <n v="35"/>
    <s v="Male"/>
    <s v="Hoodie"/>
    <x v="0"/>
    <n v="23"/>
    <x v="30"/>
    <s v="S"/>
    <s v="Charcoal"/>
    <x v="1"/>
    <n v="4.3"/>
    <s v="No"/>
    <s v="Debit Card"/>
    <s v="Free Shipping"/>
    <s v="Yes"/>
    <s v="Yes"/>
    <n v="8"/>
    <x v="5"/>
    <s v="Bi-Weekly"/>
    <n v="1"/>
    <x v="3"/>
  </r>
  <r>
    <n v="1105"/>
    <n v="35"/>
    <s v="Male"/>
    <s v="Hat"/>
    <x v="3"/>
    <n v="28"/>
    <x v="12"/>
    <s v="M"/>
    <s v="Beige"/>
    <x v="3"/>
    <n v="3.1"/>
    <s v="No"/>
    <s v="Bank Transfer"/>
    <s v="Express"/>
    <s v="Yes"/>
    <s v="Yes"/>
    <n v="8"/>
    <x v="4"/>
    <s v="Quarterly"/>
    <n v="1"/>
    <x v="3"/>
  </r>
  <r>
    <n v="1106"/>
    <n v="33"/>
    <s v="Male"/>
    <s v="T-shirt"/>
    <x v="0"/>
    <n v="83"/>
    <x v="2"/>
    <s v="S"/>
    <s v="Olive"/>
    <x v="1"/>
    <n v="3"/>
    <s v="No"/>
    <s v="Credit Card"/>
    <s v="Next Day Air"/>
    <s v="Yes"/>
    <s v="Yes"/>
    <n v="6"/>
    <x v="0"/>
    <s v="Every 3 Months"/>
    <n v="1"/>
    <x v="3"/>
  </r>
  <r>
    <n v="1107"/>
    <n v="52"/>
    <s v="Male"/>
    <s v="Skirt"/>
    <x v="0"/>
    <n v="96"/>
    <x v="46"/>
    <s v="L"/>
    <s v="Violet"/>
    <x v="0"/>
    <n v="3.6"/>
    <s v="No"/>
    <s v="Credit Card"/>
    <s v="Store Pickup"/>
    <s v="Yes"/>
    <s v="Yes"/>
    <n v="12"/>
    <x v="0"/>
    <s v="Fortnightly"/>
    <n v="1"/>
    <x v="0"/>
  </r>
  <r>
    <n v="1108"/>
    <n v="69"/>
    <s v="Male"/>
    <s v="Sneakers"/>
    <x v="1"/>
    <n v="62"/>
    <x v="21"/>
    <s v="M"/>
    <s v="Peach"/>
    <x v="3"/>
    <n v="2.8"/>
    <s v="No"/>
    <s v="Venmo"/>
    <s v="Store Pickup"/>
    <s v="Yes"/>
    <s v="Yes"/>
    <n v="26"/>
    <x v="4"/>
    <s v="Weekly"/>
    <n v="1"/>
    <x v="0"/>
  </r>
  <r>
    <n v="1109"/>
    <n v="27"/>
    <s v="Male"/>
    <s v="Shorts"/>
    <x v="0"/>
    <n v="25"/>
    <x v="43"/>
    <s v="M"/>
    <s v="Teal"/>
    <x v="3"/>
    <n v="2.8"/>
    <s v="No"/>
    <s v="Venmo"/>
    <s v="Standard"/>
    <s v="Yes"/>
    <s v="Yes"/>
    <n v="50"/>
    <x v="1"/>
    <s v="Fortnightly"/>
    <n v="1"/>
    <x v="3"/>
  </r>
  <r>
    <n v="1110"/>
    <n v="66"/>
    <s v="Male"/>
    <s v="Hoodie"/>
    <x v="0"/>
    <n v="97"/>
    <x v="19"/>
    <s v="L"/>
    <s v="Violet"/>
    <x v="0"/>
    <n v="4.9000000000000004"/>
    <s v="No"/>
    <s v="Debit Card"/>
    <s v="Next Day Air"/>
    <s v="Yes"/>
    <s v="Yes"/>
    <n v="2"/>
    <x v="0"/>
    <s v="Weekly"/>
    <n v="1"/>
    <x v="0"/>
  </r>
  <r>
    <n v="1111"/>
    <n v="28"/>
    <s v="Male"/>
    <s v="Hoodie"/>
    <x v="0"/>
    <n v="61"/>
    <x v="21"/>
    <s v="L"/>
    <s v="Cyan"/>
    <x v="3"/>
    <n v="3"/>
    <s v="No"/>
    <s v="Debit Card"/>
    <s v="Standard"/>
    <s v="Yes"/>
    <s v="Yes"/>
    <n v="31"/>
    <x v="1"/>
    <s v="Bi-Weekly"/>
    <n v="1"/>
    <x v="3"/>
  </r>
  <r>
    <n v="1112"/>
    <n v="22"/>
    <s v="Male"/>
    <s v="Shoes"/>
    <x v="1"/>
    <n v="66"/>
    <x v="14"/>
    <s v="S"/>
    <s v="Olive"/>
    <x v="2"/>
    <n v="4.0999999999999996"/>
    <s v="No"/>
    <s v="Bank Transfer"/>
    <s v="Next Day Air"/>
    <s v="Yes"/>
    <s v="Yes"/>
    <n v="4"/>
    <x v="2"/>
    <s v="Bi-Weekly"/>
    <n v="1"/>
    <x v="1"/>
  </r>
  <r>
    <n v="1113"/>
    <n v="69"/>
    <s v="Male"/>
    <s v="Hoodie"/>
    <x v="0"/>
    <n v="67"/>
    <x v="47"/>
    <s v="XL"/>
    <s v="Pink"/>
    <x v="1"/>
    <n v="4.5999999999999996"/>
    <s v="No"/>
    <s v="Credit Card"/>
    <s v="Free Shipping"/>
    <s v="Yes"/>
    <s v="Yes"/>
    <n v="32"/>
    <x v="3"/>
    <s v="Quarterly"/>
    <n v="1"/>
    <x v="0"/>
  </r>
  <r>
    <n v="1114"/>
    <n v="28"/>
    <s v="Male"/>
    <s v="Sunglasses"/>
    <x v="3"/>
    <n v="80"/>
    <x v="33"/>
    <s v="M"/>
    <s v="Purple"/>
    <x v="2"/>
    <n v="4.8"/>
    <s v="No"/>
    <s v="Cash"/>
    <s v="Next Day Air"/>
    <s v="Yes"/>
    <s v="Yes"/>
    <n v="11"/>
    <x v="3"/>
    <s v="Bi-Weekly"/>
    <n v="1"/>
    <x v="3"/>
  </r>
  <r>
    <n v="1115"/>
    <n v="55"/>
    <s v="Male"/>
    <s v="Skirt"/>
    <x v="0"/>
    <n v="25"/>
    <x v="13"/>
    <s v="L"/>
    <s v="Violet"/>
    <x v="3"/>
    <n v="2.6"/>
    <s v="No"/>
    <s v="Cash"/>
    <s v="Next Day Air"/>
    <s v="Yes"/>
    <s v="Yes"/>
    <n v="47"/>
    <x v="4"/>
    <s v="Every 3 Months"/>
    <n v="1"/>
    <x v="0"/>
  </r>
  <r>
    <n v="1116"/>
    <n v="30"/>
    <s v="Male"/>
    <s v="Hat"/>
    <x v="3"/>
    <n v="58"/>
    <x v="14"/>
    <s v="S"/>
    <s v="Peach"/>
    <x v="3"/>
    <n v="4"/>
    <s v="No"/>
    <s v="Bank Transfer"/>
    <s v="2-Day Shipping"/>
    <s v="Yes"/>
    <s v="Yes"/>
    <n v="37"/>
    <x v="1"/>
    <s v="Weekly"/>
    <n v="1"/>
    <x v="3"/>
  </r>
  <r>
    <n v="1117"/>
    <n v="67"/>
    <s v="Male"/>
    <s v="Backpack"/>
    <x v="3"/>
    <n v="96"/>
    <x v="11"/>
    <s v="M"/>
    <s v="Charcoal"/>
    <x v="0"/>
    <n v="4.2"/>
    <s v="No"/>
    <s v="Venmo"/>
    <s v="Express"/>
    <s v="Yes"/>
    <s v="Yes"/>
    <n v="39"/>
    <x v="3"/>
    <s v="Fortnightly"/>
    <n v="1"/>
    <x v="0"/>
  </r>
  <r>
    <n v="1118"/>
    <n v="25"/>
    <s v="Male"/>
    <s v="Sunglasses"/>
    <x v="3"/>
    <n v="77"/>
    <x v="18"/>
    <s v="L"/>
    <s v="Lavender"/>
    <x v="1"/>
    <n v="4.5"/>
    <s v="No"/>
    <s v="PayPal"/>
    <s v="Store Pickup"/>
    <s v="Yes"/>
    <s v="Yes"/>
    <n v="24"/>
    <x v="2"/>
    <s v="Monthly"/>
    <n v="1"/>
    <x v="1"/>
  </r>
  <r>
    <n v="1119"/>
    <n v="49"/>
    <s v="Male"/>
    <s v="Belt"/>
    <x v="3"/>
    <n v="65"/>
    <x v="27"/>
    <s v="M"/>
    <s v="Purple"/>
    <x v="2"/>
    <n v="4.9000000000000004"/>
    <s v="No"/>
    <s v="Debit Card"/>
    <s v="Standard"/>
    <s v="Yes"/>
    <s v="Yes"/>
    <n v="11"/>
    <x v="3"/>
    <s v="Every 3 Months"/>
    <n v="1"/>
    <x v="0"/>
  </r>
  <r>
    <n v="1120"/>
    <n v="34"/>
    <s v="Male"/>
    <s v="Jewelry"/>
    <x v="3"/>
    <n v="36"/>
    <x v="7"/>
    <s v="M"/>
    <s v="Indigo"/>
    <x v="1"/>
    <n v="3.1"/>
    <s v="No"/>
    <s v="Venmo"/>
    <s v="Standard"/>
    <s v="Yes"/>
    <s v="Yes"/>
    <n v="36"/>
    <x v="2"/>
    <s v="Weekly"/>
    <n v="1"/>
    <x v="3"/>
  </r>
  <r>
    <n v="1121"/>
    <n v="22"/>
    <s v="Male"/>
    <s v="Sneakers"/>
    <x v="1"/>
    <n v="84"/>
    <x v="38"/>
    <s v="M"/>
    <s v="Magenta"/>
    <x v="0"/>
    <n v="4"/>
    <s v="No"/>
    <s v="Venmo"/>
    <s v="Next Day Air"/>
    <s v="Yes"/>
    <s v="Yes"/>
    <n v="40"/>
    <x v="5"/>
    <s v="Monthly"/>
    <n v="1"/>
    <x v="1"/>
  </r>
  <r>
    <n v="1122"/>
    <n v="63"/>
    <s v="Male"/>
    <s v="T-shirt"/>
    <x v="0"/>
    <n v="58"/>
    <x v="20"/>
    <s v="XL"/>
    <s v="Peach"/>
    <x v="3"/>
    <n v="3.2"/>
    <s v="No"/>
    <s v="Cash"/>
    <s v="Express"/>
    <s v="Yes"/>
    <s v="Yes"/>
    <n v="25"/>
    <x v="1"/>
    <s v="Quarterly"/>
    <n v="1"/>
    <x v="0"/>
  </r>
  <r>
    <n v="1123"/>
    <n v="70"/>
    <s v="Male"/>
    <s v="Handbag"/>
    <x v="3"/>
    <n v="62"/>
    <x v="17"/>
    <s v="S"/>
    <s v="Charcoal"/>
    <x v="1"/>
    <n v="4.3"/>
    <s v="No"/>
    <s v="PayPal"/>
    <s v="2-Day Shipping"/>
    <s v="Yes"/>
    <s v="Yes"/>
    <n v="12"/>
    <x v="2"/>
    <s v="Annually"/>
    <n v="1"/>
    <x v="0"/>
  </r>
  <r>
    <n v="1124"/>
    <n v="36"/>
    <s v="Male"/>
    <s v="Hat"/>
    <x v="3"/>
    <n v="67"/>
    <x v="2"/>
    <s v="S"/>
    <s v="Purple"/>
    <x v="3"/>
    <n v="2.5"/>
    <s v="No"/>
    <s v="Debit Card"/>
    <s v="Store Pickup"/>
    <s v="Yes"/>
    <s v="Yes"/>
    <n v="38"/>
    <x v="1"/>
    <s v="Monthly"/>
    <n v="1"/>
    <x v="2"/>
  </r>
  <r>
    <n v="1125"/>
    <n v="42"/>
    <s v="Male"/>
    <s v="Sweater"/>
    <x v="0"/>
    <n v="20"/>
    <x v="44"/>
    <s v="M"/>
    <s v="Orange"/>
    <x v="1"/>
    <n v="4.9000000000000004"/>
    <s v="No"/>
    <s v="Debit Card"/>
    <s v="Express"/>
    <s v="Yes"/>
    <s v="Yes"/>
    <n v="40"/>
    <x v="1"/>
    <s v="Quarterly"/>
    <n v="1"/>
    <x v="2"/>
  </r>
  <r>
    <n v="1126"/>
    <n v="27"/>
    <s v="Male"/>
    <s v="Sandals"/>
    <x v="1"/>
    <n v="90"/>
    <x v="25"/>
    <s v="M"/>
    <s v="Lavender"/>
    <x v="2"/>
    <n v="2.7"/>
    <s v="No"/>
    <s v="Debit Card"/>
    <s v="2-Day Shipping"/>
    <s v="Yes"/>
    <s v="Yes"/>
    <n v="10"/>
    <x v="4"/>
    <s v="Weekly"/>
    <n v="1"/>
    <x v="3"/>
  </r>
  <r>
    <n v="1127"/>
    <n v="23"/>
    <s v="Male"/>
    <s v="Scarf"/>
    <x v="3"/>
    <n v="58"/>
    <x v="44"/>
    <s v="L"/>
    <s v="Beige"/>
    <x v="0"/>
    <n v="3.4"/>
    <s v="No"/>
    <s v="Venmo"/>
    <s v="Standard"/>
    <s v="Yes"/>
    <s v="Yes"/>
    <n v="47"/>
    <x v="0"/>
    <s v="Fortnightly"/>
    <n v="1"/>
    <x v="1"/>
  </r>
  <r>
    <n v="1128"/>
    <n v="50"/>
    <s v="Male"/>
    <s v="Shirt"/>
    <x v="0"/>
    <n v="53"/>
    <x v="12"/>
    <s v="XL"/>
    <s v="Maroon"/>
    <x v="1"/>
    <n v="4.8"/>
    <s v="No"/>
    <s v="Venmo"/>
    <s v="Store Pickup"/>
    <s v="Yes"/>
    <s v="Yes"/>
    <n v="22"/>
    <x v="5"/>
    <s v="Monthly"/>
    <n v="1"/>
    <x v="0"/>
  </r>
  <r>
    <n v="1129"/>
    <n v="56"/>
    <s v="Male"/>
    <s v="Gloves"/>
    <x v="3"/>
    <n v="30"/>
    <x v="14"/>
    <s v="L"/>
    <s v="Charcoal"/>
    <x v="0"/>
    <n v="4.7"/>
    <s v="No"/>
    <s v="PayPal"/>
    <s v="Next Day Air"/>
    <s v="Yes"/>
    <s v="Yes"/>
    <n v="35"/>
    <x v="5"/>
    <s v="Monthly"/>
    <n v="1"/>
    <x v="0"/>
  </r>
  <r>
    <n v="1130"/>
    <n v="37"/>
    <s v="Male"/>
    <s v="Hoodie"/>
    <x v="0"/>
    <n v="65"/>
    <x v="13"/>
    <s v="XL"/>
    <s v="White"/>
    <x v="0"/>
    <n v="4.7"/>
    <s v="No"/>
    <s v="Credit Card"/>
    <s v="Express"/>
    <s v="Yes"/>
    <s v="Yes"/>
    <n v="46"/>
    <x v="0"/>
    <s v="Fortnightly"/>
    <n v="1"/>
    <x v="2"/>
  </r>
  <r>
    <n v="1131"/>
    <n v="67"/>
    <s v="Male"/>
    <s v="Jewelry"/>
    <x v="3"/>
    <n v="41"/>
    <x v="0"/>
    <s v="M"/>
    <s v="Lavender"/>
    <x v="2"/>
    <n v="3.9"/>
    <s v="No"/>
    <s v="Cash"/>
    <s v="Standard"/>
    <s v="Yes"/>
    <s v="Yes"/>
    <n v="30"/>
    <x v="3"/>
    <s v="Bi-Weekly"/>
    <n v="1"/>
    <x v="0"/>
  </r>
  <r>
    <n v="1132"/>
    <n v="67"/>
    <s v="Male"/>
    <s v="Shirt"/>
    <x v="0"/>
    <n v="73"/>
    <x v="26"/>
    <s v="M"/>
    <s v="Black"/>
    <x v="1"/>
    <n v="3.7"/>
    <s v="No"/>
    <s v="Credit Card"/>
    <s v="Express"/>
    <s v="Yes"/>
    <s v="Yes"/>
    <n v="20"/>
    <x v="4"/>
    <s v="Monthly"/>
    <n v="1"/>
    <x v="0"/>
  </r>
  <r>
    <n v="1133"/>
    <n v="50"/>
    <s v="Male"/>
    <s v="Hoodie"/>
    <x v="0"/>
    <n v="98"/>
    <x v="17"/>
    <s v="S"/>
    <s v="Teal"/>
    <x v="1"/>
    <n v="4.3"/>
    <s v="No"/>
    <s v="PayPal"/>
    <s v="Store Pickup"/>
    <s v="Yes"/>
    <s v="Yes"/>
    <n v="25"/>
    <x v="1"/>
    <s v="Fortnightly"/>
    <n v="1"/>
    <x v="0"/>
  </r>
  <r>
    <n v="1134"/>
    <n v="36"/>
    <s v="Male"/>
    <s v="Shoes"/>
    <x v="1"/>
    <n v="36"/>
    <x v="39"/>
    <s v="XL"/>
    <s v="Magenta"/>
    <x v="0"/>
    <n v="4.0999999999999996"/>
    <s v="No"/>
    <s v="PayPal"/>
    <s v="2-Day Shipping"/>
    <s v="Yes"/>
    <s v="Yes"/>
    <n v="29"/>
    <x v="1"/>
    <s v="Weekly"/>
    <n v="1"/>
    <x v="2"/>
  </r>
  <r>
    <n v="1135"/>
    <n v="62"/>
    <s v="Male"/>
    <s v="T-shirt"/>
    <x v="0"/>
    <n v="81"/>
    <x v="48"/>
    <s v="M"/>
    <s v="Brown"/>
    <x v="2"/>
    <n v="4.5999999999999996"/>
    <s v="No"/>
    <s v="Bank Transfer"/>
    <s v="Express"/>
    <s v="Yes"/>
    <s v="Yes"/>
    <n v="2"/>
    <x v="0"/>
    <s v="Every 3 Months"/>
    <n v="1"/>
    <x v="0"/>
  </r>
  <r>
    <n v="1136"/>
    <n v="65"/>
    <s v="Male"/>
    <s v="Skirt"/>
    <x v="0"/>
    <n v="90"/>
    <x v="2"/>
    <s v="L"/>
    <s v="Peach"/>
    <x v="0"/>
    <n v="3.6"/>
    <s v="No"/>
    <s v="PayPal"/>
    <s v="2-Day Shipping"/>
    <s v="Yes"/>
    <s v="Yes"/>
    <n v="32"/>
    <x v="4"/>
    <s v="Quarterly"/>
    <n v="1"/>
    <x v="0"/>
  </r>
  <r>
    <n v="1137"/>
    <n v="23"/>
    <s v="Male"/>
    <s v="Handbag"/>
    <x v="3"/>
    <n v="83"/>
    <x v="26"/>
    <s v="S"/>
    <s v="Cyan"/>
    <x v="2"/>
    <n v="4.8"/>
    <s v="No"/>
    <s v="Debit Card"/>
    <s v="Free Shipping"/>
    <s v="Yes"/>
    <s v="Yes"/>
    <n v="37"/>
    <x v="1"/>
    <s v="Monthly"/>
    <n v="1"/>
    <x v="1"/>
  </r>
  <r>
    <n v="1138"/>
    <n v="46"/>
    <s v="Male"/>
    <s v="Shirt"/>
    <x v="0"/>
    <n v="91"/>
    <x v="35"/>
    <s v="XL"/>
    <s v="Pink"/>
    <x v="0"/>
    <n v="2.8"/>
    <s v="No"/>
    <s v="Credit Card"/>
    <s v="2-Day Shipping"/>
    <s v="Yes"/>
    <s v="Yes"/>
    <n v="16"/>
    <x v="4"/>
    <s v="Every 3 Months"/>
    <n v="1"/>
    <x v="0"/>
  </r>
  <r>
    <n v="1139"/>
    <n v="18"/>
    <s v="Male"/>
    <s v="Pants"/>
    <x v="0"/>
    <n v="36"/>
    <x v="44"/>
    <s v="M"/>
    <s v="Purple"/>
    <x v="2"/>
    <n v="4.7"/>
    <s v="No"/>
    <s v="Venmo"/>
    <s v="Express"/>
    <s v="Yes"/>
    <s v="Yes"/>
    <n v="32"/>
    <x v="0"/>
    <s v="Fortnightly"/>
    <n v="1"/>
    <x v="1"/>
  </r>
  <r>
    <n v="1140"/>
    <n v="58"/>
    <s v="Male"/>
    <s v="Coat"/>
    <x v="2"/>
    <n v="53"/>
    <x v="15"/>
    <s v="L"/>
    <s v="Purple"/>
    <x v="1"/>
    <n v="3.9"/>
    <s v="No"/>
    <s v="PayPal"/>
    <s v="Standard"/>
    <s v="Yes"/>
    <s v="Yes"/>
    <n v="42"/>
    <x v="5"/>
    <s v="Bi-Weekly"/>
    <n v="1"/>
    <x v="0"/>
  </r>
  <r>
    <n v="1141"/>
    <n v="31"/>
    <s v="Male"/>
    <s v="Jeans"/>
    <x v="0"/>
    <n v="39"/>
    <x v="33"/>
    <s v="M"/>
    <s v="White"/>
    <x v="0"/>
    <n v="2.6"/>
    <s v="No"/>
    <s v="Cash"/>
    <s v="Store Pickup"/>
    <s v="Yes"/>
    <s v="Yes"/>
    <n v="6"/>
    <x v="2"/>
    <s v="Every 3 Months"/>
    <n v="1"/>
    <x v="3"/>
  </r>
  <r>
    <n v="1142"/>
    <n v="39"/>
    <s v="Male"/>
    <s v="Gloves"/>
    <x v="3"/>
    <n v="33"/>
    <x v="31"/>
    <s v="S"/>
    <s v="Silver"/>
    <x v="0"/>
    <n v="4.7"/>
    <s v="No"/>
    <s v="Debit Card"/>
    <s v="Next Day Air"/>
    <s v="Yes"/>
    <s v="Yes"/>
    <n v="23"/>
    <x v="3"/>
    <s v="Fortnightly"/>
    <n v="1"/>
    <x v="2"/>
  </r>
  <r>
    <n v="1143"/>
    <n v="69"/>
    <s v="Male"/>
    <s v="T-shirt"/>
    <x v="0"/>
    <n v="76"/>
    <x v="31"/>
    <s v="L"/>
    <s v="Green"/>
    <x v="1"/>
    <n v="3.5"/>
    <s v="No"/>
    <s v="Cash"/>
    <s v="Store Pickup"/>
    <s v="Yes"/>
    <s v="Yes"/>
    <n v="27"/>
    <x v="0"/>
    <s v="Bi-Weekly"/>
    <n v="1"/>
    <x v="0"/>
  </r>
  <r>
    <n v="1144"/>
    <n v="68"/>
    <s v="Male"/>
    <s v="Boots"/>
    <x v="1"/>
    <n v="23"/>
    <x v="22"/>
    <s v="L"/>
    <s v="Teal"/>
    <x v="0"/>
    <n v="4.4000000000000004"/>
    <s v="No"/>
    <s v="Cash"/>
    <s v="Standard"/>
    <s v="Yes"/>
    <s v="Yes"/>
    <n v="43"/>
    <x v="3"/>
    <s v="Quarterly"/>
    <n v="1"/>
    <x v="0"/>
  </r>
  <r>
    <n v="1145"/>
    <n v="41"/>
    <s v="Male"/>
    <s v="Jeans"/>
    <x v="0"/>
    <n v="54"/>
    <x v="36"/>
    <s v="S"/>
    <s v="Indigo"/>
    <x v="3"/>
    <n v="4.4000000000000004"/>
    <s v="No"/>
    <s v="PayPal"/>
    <s v="2-Day Shipping"/>
    <s v="Yes"/>
    <s v="Yes"/>
    <n v="25"/>
    <x v="4"/>
    <s v="Fortnightly"/>
    <n v="1"/>
    <x v="2"/>
  </r>
  <r>
    <n v="1146"/>
    <n v="31"/>
    <s v="Male"/>
    <s v="Sneakers"/>
    <x v="1"/>
    <n v="89"/>
    <x v="22"/>
    <s v="L"/>
    <s v="Pink"/>
    <x v="2"/>
    <n v="3"/>
    <s v="No"/>
    <s v="Venmo"/>
    <s v="Express"/>
    <s v="Yes"/>
    <s v="Yes"/>
    <n v="30"/>
    <x v="1"/>
    <s v="Every 3 Months"/>
    <n v="1"/>
    <x v="3"/>
  </r>
  <r>
    <n v="1147"/>
    <n v="48"/>
    <s v="Male"/>
    <s v="Sneakers"/>
    <x v="1"/>
    <n v="38"/>
    <x v="48"/>
    <s v="M"/>
    <s v="Indigo"/>
    <x v="2"/>
    <n v="4.2"/>
    <s v="No"/>
    <s v="Debit Card"/>
    <s v="Standard"/>
    <s v="Yes"/>
    <s v="Yes"/>
    <n v="7"/>
    <x v="4"/>
    <s v="Every 3 Months"/>
    <n v="1"/>
    <x v="0"/>
  </r>
  <r>
    <n v="1148"/>
    <n v="59"/>
    <s v="Male"/>
    <s v="Hat"/>
    <x v="3"/>
    <n v="36"/>
    <x v="30"/>
    <s v="XL"/>
    <s v="Red"/>
    <x v="0"/>
    <n v="4.3"/>
    <s v="No"/>
    <s v="PayPal"/>
    <s v="Next Day Air"/>
    <s v="Yes"/>
    <s v="Yes"/>
    <n v="17"/>
    <x v="5"/>
    <s v="Annually"/>
    <n v="1"/>
    <x v="0"/>
  </r>
  <r>
    <n v="1149"/>
    <n v="34"/>
    <s v="Male"/>
    <s v="Pants"/>
    <x v="0"/>
    <n v="66"/>
    <x v="20"/>
    <s v="M"/>
    <s v="Violet"/>
    <x v="1"/>
    <n v="2.6"/>
    <s v="No"/>
    <s v="Bank Transfer"/>
    <s v="Store Pickup"/>
    <s v="Yes"/>
    <s v="Yes"/>
    <n v="10"/>
    <x v="3"/>
    <s v="Fortnightly"/>
    <n v="1"/>
    <x v="3"/>
  </r>
  <r>
    <n v="1150"/>
    <n v="21"/>
    <s v="Male"/>
    <s v="Jewelry"/>
    <x v="3"/>
    <n v="42"/>
    <x v="42"/>
    <s v="L"/>
    <s v="Cyan"/>
    <x v="1"/>
    <n v="3.3"/>
    <s v="No"/>
    <s v="Cash"/>
    <s v="Store Pickup"/>
    <s v="Yes"/>
    <s v="Yes"/>
    <n v="40"/>
    <x v="0"/>
    <s v="Annually"/>
    <n v="1"/>
    <x v="1"/>
  </r>
  <r>
    <n v="1151"/>
    <n v="29"/>
    <s v="Male"/>
    <s v="Jewelry"/>
    <x v="3"/>
    <n v="36"/>
    <x v="0"/>
    <s v="S"/>
    <s v="Red"/>
    <x v="0"/>
    <n v="2.7"/>
    <s v="No"/>
    <s v="Debit Card"/>
    <s v="Next Day Air"/>
    <s v="Yes"/>
    <s v="Yes"/>
    <n v="50"/>
    <x v="0"/>
    <s v="Bi-Weekly"/>
    <n v="1"/>
    <x v="3"/>
  </r>
  <r>
    <n v="1152"/>
    <n v="41"/>
    <s v="Male"/>
    <s v="Blouse"/>
    <x v="0"/>
    <n v="86"/>
    <x v="31"/>
    <s v="M"/>
    <s v="Gray"/>
    <x v="1"/>
    <n v="4.2"/>
    <s v="No"/>
    <s v="Bank Transfer"/>
    <s v="Express"/>
    <s v="Yes"/>
    <s v="Yes"/>
    <n v="24"/>
    <x v="2"/>
    <s v="Weekly"/>
    <n v="1"/>
    <x v="2"/>
  </r>
  <r>
    <n v="1153"/>
    <n v="62"/>
    <s v="Male"/>
    <s v="Handbag"/>
    <x v="3"/>
    <n v="49"/>
    <x v="39"/>
    <s v="M"/>
    <s v="Gold"/>
    <x v="3"/>
    <n v="4"/>
    <s v="No"/>
    <s v="Cash"/>
    <s v="Standard"/>
    <s v="Yes"/>
    <s v="Yes"/>
    <n v="8"/>
    <x v="3"/>
    <s v="Every 3 Months"/>
    <n v="1"/>
    <x v="0"/>
  </r>
  <r>
    <n v="1154"/>
    <n v="27"/>
    <s v="Male"/>
    <s v="Shirt"/>
    <x v="0"/>
    <n v="41"/>
    <x v="37"/>
    <s v="M"/>
    <s v="Pink"/>
    <x v="2"/>
    <n v="4"/>
    <s v="No"/>
    <s v="PayPal"/>
    <s v="Free Shipping"/>
    <s v="Yes"/>
    <s v="Yes"/>
    <n v="6"/>
    <x v="4"/>
    <s v="Quarterly"/>
    <n v="1"/>
    <x v="3"/>
  </r>
  <r>
    <n v="1155"/>
    <n v="49"/>
    <s v="Male"/>
    <s v="Dress"/>
    <x v="0"/>
    <n v="82"/>
    <x v="42"/>
    <s v="L"/>
    <s v="Cyan"/>
    <x v="1"/>
    <n v="2.9"/>
    <s v="No"/>
    <s v="Venmo"/>
    <s v="2-Day Shipping"/>
    <s v="Yes"/>
    <s v="Yes"/>
    <n v="44"/>
    <x v="2"/>
    <s v="Bi-Weekly"/>
    <n v="1"/>
    <x v="0"/>
  </r>
  <r>
    <n v="1156"/>
    <n v="67"/>
    <s v="Male"/>
    <s v="T-shirt"/>
    <x v="0"/>
    <n v="53"/>
    <x v="30"/>
    <s v="S"/>
    <s v="Red"/>
    <x v="3"/>
    <n v="2.6"/>
    <s v="No"/>
    <s v="Debit Card"/>
    <s v="Express"/>
    <s v="Yes"/>
    <s v="Yes"/>
    <n v="47"/>
    <x v="3"/>
    <s v="Quarterly"/>
    <n v="1"/>
    <x v="0"/>
  </r>
  <r>
    <n v="1157"/>
    <n v="20"/>
    <s v="Male"/>
    <s v="Shoes"/>
    <x v="1"/>
    <n v="21"/>
    <x v="11"/>
    <s v="M"/>
    <s v="Gold"/>
    <x v="2"/>
    <n v="4.8"/>
    <s v="No"/>
    <s v="PayPal"/>
    <s v="Express"/>
    <s v="Yes"/>
    <s v="Yes"/>
    <n v="6"/>
    <x v="0"/>
    <s v="Every 3 Months"/>
    <n v="1"/>
    <x v="1"/>
  </r>
  <r>
    <n v="1158"/>
    <n v="37"/>
    <s v="Male"/>
    <s v="Belt"/>
    <x v="3"/>
    <n v="66"/>
    <x v="33"/>
    <s v="M"/>
    <s v="Charcoal"/>
    <x v="3"/>
    <n v="4.4000000000000004"/>
    <s v="No"/>
    <s v="Credit Card"/>
    <s v="Standard"/>
    <s v="Yes"/>
    <s v="Yes"/>
    <n v="11"/>
    <x v="1"/>
    <s v="Quarterly"/>
    <n v="1"/>
    <x v="2"/>
  </r>
  <r>
    <n v="1159"/>
    <n v="69"/>
    <s v="Male"/>
    <s v="Belt"/>
    <x v="3"/>
    <n v="89"/>
    <x v="22"/>
    <s v="L"/>
    <s v="Orange"/>
    <x v="2"/>
    <n v="4"/>
    <s v="No"/>
    <s v="Venmo"/>
    <s v="2-Day Shipping"/>
    <s v="Yes"/>
    <s v="Yes"/>
    <n v="41"/>
    <x v="4"/>
    <s v="Annually"/>
    <n v="1"/>
    <x v="0"/>
  </r>
  <r>
    <n v="1160"/>
    <n v="66"/>
    <s v="Male"/>
    <s v="Handbag"/>
    <x v="3"/>
    <n v="55"/>
    <x v="13"/>
    <s v="L"/>
    <s v="Blue"/>
    <x v="3"/>
    <n v="3.6"/>
    <s v="No"/>
    <s v="Debit Card"/>
    <s v="2-Day Shipping"/>
    <s v="Yes"/>
    <s v="Yes"/>
    <n v="46"/>
    <x v="0"/>
    <s v="Every 3 Months"/>
    <n v="1"/>
    <x v="0"/>
  </r>
  <r>
    <n v="1161"/>
    <n v="37"/>
    <s v="Male"/>
    <s v="Scarf"/>
    <x v="3"/>
    <n v="42"/>
    <x v="25"/>
    <s v="S"/>
    <s v="Blue"/>
    <x v="2"/>
    <n v="3.2"/>
    <s v="No"/>
    <s v="Cash"/>
    <s v="Next Day Air"/>
    <s v="Yes"/>
    <s v="Yes"/>
    <n v="9"/>
    <x v="0"/>
    <s v="Bi-Weekly"/>
    <n v="1"/>
    <x v="2"/>
  </r>
  <r>
    <n v="1162"/>
    <n v="63"/>
    <s v="Male"/>
    <s v="Shorts"/>
    <x v="0"/>
    <n v="52"/>
    <x v="19"/>
    <s v="S"/>
    <s v="Orange"/>
    <x v="3"/>
    <n v="3.1"/>
    <s v="No"/>
    <s v="Bank Transfer"/>
    <s v="2-Day Shipping"/>
    <s v="Yes"/>
    <s v="Yes"/>
    <n v="37"/>
    <x v="3"/>
    <s v="Monthly"/>
    <n v="1"/>
    <x v="0"/>
  </r>
  <r>
    <n v="1163"/>
    <n v="47"/>
    <s v="Male"/>
    <s v="Sandals"/>
    <x v="1"/>
    <n v="92"/>
    <x v="17"/>
    <s v="M"/>
    <s v="Blue"/>
    <x v="0"/>
    <n v="4.2"/>
    <s v="No"/>
    <s v="Venmo"/>
    <s v="Express"/>
    <s v="Yes"/>
    <s v="Yes"/>
    <n v="13"/>
    <x v="3"/>
    <s v="Weekly"/>
    <n v="1"/>
    <x v="0"/>
  </r>
  <r>
    <n v="1164"/>
    <n v="26"/>
    <s v="Male"/>
    <s v="Pants"/>
    <x v="0"/>
    <n v="56"/>
    <x v="30"/>
    <s v="L"/>
    <s v="White"/>
    <x v="2"/>
    <n v="3"/>
    <s v="No"/>
    <s v="Credit Card"/>
    <s v="2-Day Shipping"/>
    <s v="Yes"/>
    <s v="Yes"/>
    <n v="24"/>
    <x v="5"/>
    <s v="Monthly"/>
    <n v="1"/>
    <x v="3"/>
  </r>
  <r>
    <n v="1165"/>
    <n v="68"/>
    <s v="Male"/>
    <s v="Dress"/>
    <x v="0"/>
    <n v="96"/>
    <x v="6"/>
    <s v="M"/>
    <s v="Green"/>
    <x v="0"/>
    <n v="4.2"/>
    <s v="No"/>
    <s v="Credit Card"/>
    <s v="Standard"/>
    <s v="Yes"/>
    <s v="Yes"/>
    <n v="47"/>
    <x v="3"/>
    <s v="Quarterly"/>
    <n v="1"/>
    <x v="0"/>
  </r>
  <r>
    <n v="1166"/>
    <n v="51"/>
    <s v="Male"/>
    <s v="T-shirt"/>
    <x v="0"/>
    <n v="64"/>
    <x v="48"/>
    <s v="M"/>
    <s v="Silver"/>
    <x v="0"/>
    <n v="2.9"/>
    <s v="No"/>
    <s v="Cash"/>
    <s v="Next Day Air"/>
    <s v="Yes"/>
    <s v="Yes"/>
    <n v="21"/>
    <x v="0"/>
    <s v="Every 3 Months"/>
    <n v="1"/>
    <x v="0"/>
  </r>
  <r>
    <n v="1167"/>
    <n v="48"/>
    <s v="Male"/>
    <s v="Dress"/>
    <x v="0"/>
    <n v="48"/>
    <x v="39"/>
    <s v="S"/>
    <s v="Lavender"/>
    <x v="0"/>
    <n v="3.7"/>
    <s v="No"/>
    <s v="Cash"/>
    <s v="Store Pickup"/>
    <s v="Yes"/>
    <s v="Yes"/>
    <n v="22"/>
    <x v="0"/>
    <s v="Fortnightly"/>
    <n v="1"/>
    <x v="0"/>
  </r>
  <r>
    <n v="1168"/>
    <n v="60"/>
    <s v="Male"/>
    <s v="Socks"/>
    <x v="0"/>
    <n v="83"/>
    <x v="32"/>
    <s v="XL"/>
    <s v="Beige"/>
    <x v="2"/>
    <n v="3.6"/>
    <s v="No"/>
    <s v="PayPal"/>
    <s v="Free Shipping"/>
    <s v="Yes"/>
    <s v="Yes"/>
    <n v="16"/>
    <x v="3"/>
    <s v="Quarterly"/>
    <n v="1"/>
    <x v="0"/>
  </r>
  <r>
    <n v="1169"/>
    <n v="68"/>
    <s v="Male"/>
    <s v="Scarf"/>
    <x v="3"/>
    <n v="91"/>
    <x v="16"/>
    <s v="L"/>
    <s v="Violet"/>
    <x v="2"/>
    <n v="3.6"/>
    <s v="No"/>
    <s v="PayPal"/>
    <s v="Standard"/>
    <s v="Yes"/>
    <s v="Yes"/>
    <n v="37"/>
    <x v="5"/>
    <s v="Fortnightly"/>
    <n v="1"/>
    <x v="0"/>
  </r>
  <r>
    <n v="1170"/>
    <n v="25"/>
    <s v="Male"/>
    <s v="Backpack"/>
    <x v="3"/>
    <n v="94"/>
    <x v="5"/>
    <s v="S"/>
    <s v="Gray"/>
    <x v="3"/>
    <n v="4.5"/>
    <s v="No"/>
    <s v="Venmo"/>
    <s v="2-Day Shipping"/>
    <s v="Yes"/>
    <s v="Yes"/>
    <n v="3"/>
    <x v="1"/>
    <s v="Annually"/>
    <n v="1"/>
    <x v="1"/>
  </r>
  <r>
    <n v="1171"/>
    <n v="57"/>
    <s v="Male"/>
    <s v="Skirt"/>
    <x v="0"/>
    <n v="62"/>
    <x v="26"/>
    <s v="S"/>
    <s v="Red"/>
    <x v="1"/>
    <n v="3.2"/>
    <s v="No"/>
    <s v="Bank Transfer"/>
    <s v="Express"/>
    <s v="Yes"/>
    <s v="Yes"/>
    <n v="33"/>
    <x v="1"/>
    <s v="Bi-Weekly"/>
    <n v="1"/>
    <x v="0"/>
  </r>
  <r>
    <n v="1172"/>
    <n v="41"/>
    <s v="Male"/>
    <s v="Socks"/>
    <x v="0"/>
    <n v="55"/>
    <x v="7"/>
    <s v="M"/>
    <s v="Lavender"/>
    <x v="1"/>
    <n v="3.9"/>
    <s v="No"/>
    <s v="Bank Transfer"/>
    <s v="Next Day Air"/>
    <s v="Yes"/>
    <s v="Yes"/>
    <n v="15"/>
    <x v="5"/>
    <s v="Annually"/>
    <n v="1"/>
    <x v="2"/>
  </r>
  <r>
    <n v="1173"/>
    <n v="59"/>
    <s v="Male"/>
    <s v="Coat"/>
    <x v="2"/>
    <n v="68"/>
    <x v="4"/>
    <s v="L"/>
    <s v="Peach"/>
    <x v="1"/>
    <n v="4.5999999999999996"/>
    <s v="No"/>
    <s v="Credit Card"/>
    <s v="Store Pickup"/>
    <s v="Yes"/>
    <s v="Yes"/>
    <n v="42"/>
    <x v="4"/>
    <s v="Bi-Weekly"/>
    <n v="1"/>
    <x v="0"/>
  </r>
  <r>
    <n v="1174"/>
    <n v="44"/>
    <s v="Male"/>
    <s v="Jewelry"/>
    <x v="3"/>
    <n v="76"/>
    <x v="45"/>
    <s v="M"/>
    <s v="Indigo"/>
    <x v="0"/>
    <n v="2.5"/>
    <s v="No"/>
    <s v="Credit Card"/>
    <s v="Express"/>
    <s v="Yes"/>
    <s v="Yes"/>
    <n v="42"/>
    <x v="1"/>
    <s v="Bi-Weekly"/>
    <n v="1"/>
    <x v="2"/>
  </r>
  <r>
    <n v="1175"/>
    <n v="42"/>
    <s v="Male"/>
    <s v="Backpack"/>
    <x v="3"/>
    <n v="31"/>
    <x v="49"/>
    <s v="M"/>
    <s v="Black"/>
    <x v="0"/>
    <n v="4.3"/>
    <s v="No"/>
    <s v="Cash"/>
    <s v="Express"/>
    <s v="Yes"/>
    <s v="Yes"/>
    <n v="19"/>
    <x v="4"/>
    <s v="Bi-Weekly"/>
    <n v="1"/>
    <x v="2"/>
  </r>
  <r>
    <n v="1176"/>
    <n v="35"/>
    <s v="Male"/>
    <s v="Belt"/>
    <x v="3"/>
    <n v="81"/>
    <x v="32"/>
    <s v="M"/>
    <s v="Beige"/>
    <x v="1"/>
    <n v="4.0999999999999996"/>
    <s v="No"/>
    <s v="Credit Card"/>
    <s v="Store Pickup"/>
    <s v="Yes"/>
    <s v="Yes"/>
    <n v="26"/>
    <x v="3"/>
    <s v="Quarterly"/>
    <n v="1"/>
    <x v="3"/>
  </r>
  <r>
    <n v="1177"/>
    <n v="36"/>
    <s v="Male"/>
    <s v="Dress"/>
    <x v="0"/>
    <n v="83"/>
    <x v="4"/>
    <s v="M"/>
    <s v="Red"/>
    <x v="0"/>
    <n v="4.5999999999999996"/>
    <s v="No"/>
    <s v="Credit Card"/>
    <s v="Free Shipping"/>
    <s v="Yes"/>
    <s v="Yes"/>
    <n v="39"/>
    <x v="3"/>
    <s v="Quarterly"/>
    <n v="1"/>
    <x v="2"/>
  </r>
  <r>
    <n v="1178"/>
    <n v="54"/>
    <s v="Male"/>
    <s v="Skirt"/>
    <x v="0"/>
    <n v="21"/>
    <x v="44"/>
    <s v="M"/>
    <s v="Black"/>
    <x v="1"/>
    <n v="4.8"/>
    <s v="No"/>
    <s v="Cash"/>
    <s v="Standard"/>
    <s v="Yes"/>
    <s v="Yes"/>
    <n v="24"/>
    <x v="5"/>
    <s v="Monthly"/>
    <n v="1"/>
    <x v="0"/>
  </r>
  <r>
    <n v="1179"/>
    <n v="37"/>
    <s v="Male"/>
    <s v="Dress"/>
    <x v="0"/>
    <n v="22"/>
    <x v="36"/>
    <s v="M"/>
    <s v="Teal"/>
    <x v="1"/>
    <n v="4.9000000000000004"/>
    <s v="No"/>
    <s v="Credit Card"/>
    <s v="Express"/>
    <s v="Yes"/>
    <s v="Yes"/>
    <n v="23"/>
    <x v="5"/>
    <s v="Annually"/>
    <n v="1"/>
    <x v="2"/>
  </r>
  <r>
    <n v="1180"/>
    <n v="20"/>
    <s v="Male"/>
    <s v="T-shirt"/>
    <x v="0"/>
    <n v="33"/>
    <x v="27"/>
    <s v="M"/>
    <s v="Blue"/>
    <x v="2"/>
    <n v="2.8"/>
    <s v="No"/>
    <s v="Debit Card"/>
    <s v="Free Shipping"/>
    <s v="Yes"/>
    <s v="Yes"/>
    <n v="44"/>
    <x v="4"/>
    <s v="Annually"/>
    <n v="1"/>
    <x v="1"/>
  </r>
  <r>
    <n v="1181"/>
    <n v="23"/>
    <s v="Male"/>
    <s v="Skirt"/>
    <x v="0"/>
    <n v="23"/>
    <x v="4"/>
    <s v="S"/>
    <s v="Beige"/>
    <x v="1"/>
    <n v="4.9000000000000004"/>
    <s v="No"/>
    <s v="Cash"/>
    <s v="Standard"/>
    <s v="Yes"/>
    <s v="Yes"/>
    <n v="34"/>
    <x v="1"/>
    <s v="Monthly"/>
    <n v="1"/>
    <x v="1"/>
  </r>
  <r>
    <n v="1182"/>
    <n v="61"/>
    <s v="Male"/>
    <s v="Shorts"/>
    <x v="0"/>
    <n v="96"/>
    <x v="14"/>
    <s v="L"/>
    <s v="Teal"/>
    <x v="2"/>
    <n v="3.5"/>
    <s v="No"/>
    <s v="Cash"/>
    <s v="Free Shipping"/>
    <s v="Yes"/>
    <s v="Yes"/>
    <n v="43"/>
    <x v="4"/>
    <s v="Quarterly"/>
    <n v="1"/>
    <x v="0"/>
  </r>
  <r>
    <n v="1183"/>
    <n v="37"/>
    <s v="Male"/>
    <s v="Jewelry"/>
    <x v="3"/>
    <n v="21"/>
    <x v="35"/>
    <s v="M"/>
    <s v="Maroon"/>
    <x v="1"/>
    <n v="3.8"/>
    <s v="No"/>
    <s v="Debit Card"/>
    <s v="Express"/>
    <s v="Yes"/>
    <s v="Yes"/>
    <n v="45"/>
    <x v="3"/>
    <s v="Quarterly"/>
    <n v="1"/>
    <x v="2"/>
  </r>
  <r>
    <n v="1184"/>
    <n v="23"/>
    <s v="Male"/>
    <s v="Pants"/>
    <x v="0"/>
    <n v="39"/>
    <x v="7"/>
    <s v="M"/>
    <s v="Yellow"/>
    <x v="1"/>
    <n v="4.5"/>
    <s v="No"/>
    <s v="PayPal"/>
    <s v="2-Day Shipping"/>
    <s v="Yes"/>
    <s v="Yes"/>
    <n v="4"/>
    <x v="2"/>
    <s v="Weekly"/>
    <n v="1"/>
    <x v="1"/>
  </r>
  <r>
    <n v="1185"/>
    <n v="63"/>
    <s v="Male"/>
    <s v="Belt"/>
    <x v="3"/>
    <n v="73"/>
    <x v="36"/>
    <s v="S"/>
    <s v="Indigo"/>
    <x v="3"/>
    <n v="3.4"/>
    <s v="No"/>
    <s v="Bank Transfer"/>
    <s v="Express"/>
    <s v="Yes"/>
    <s v="Yes"/>
    <n v="19"/>
    <x v="2"/>
    <s v="Annually"/>
    <n v="1"/>
    <x v="0"/>
  </r>
  <r>
    <n v="1186"/>
    <n v="47"/>
    <s v="Male"/>
    <s v="Jeans"/>
    <x v="0"/>
    <n v="64"/>
    <x v="1"/>
    <s v="M"/>
    <s v="Magenta"/>
    <x v="1"/>
    <n v="3.9"/>
    <s v="No"/>
    <s v="Debit Card"/>
    <s v="Standard"/>
    <s v="Yes"/>
    <s v="Yes"/>
    <n v="29"/>
    <x v="2"/>
    <s v="Monthly"/>
    <n v="1"/>
    <x v="0"/>
  </r>
  <r>
    <n v="1187"/>
    <n v="63"/>
    <s v="Male"/>
    <s v="Jeans"/>
    <x v="0"/>
    <n v="68"/>
    <x v="27"/>
    <s v="M"/>
    <s v="Beige"/>
    <x v="2"/>
    <n v="4.0999999999999996"/>
    <s v="No"/>
    <s v="Cash"/>
    <s v="2-Day Shipping"/>
    <s v="Yes"/>
    <s v="Yes"/>
    <n v="27"/>
    <x v="2"/>
    <s v="Annually"/>
    <n v="1"/>
    <x v="0"/>
  </r>
  <r>
    <n v="1188"/>
    <n v="56"/>
    <s v="Male"/>
    <s v="Hat"/>
    <x v="3"/>
    <n v="89"/>
    <x v="44"/>
    <s v="L"/>
    <s v="Maroon"/>
    <x v="3"/>
    <n v="3"/>
    <s v="No"/>
    <s v="Cash"/>
    <s v="Express"/>
    <s v="Yes"/>
    <s v="Yes"/>
    <n v="37"/>
    <x v="2"/>
    <s v="Every 3 Months"/>
    <n v="1"/>
    <x v="0"/>
  </r>
  <r>
    <n v="1189"/>
    <n v="68"/>
    <s v="Male"/>
    <s v="Blouse"/>
    <x v="0"/>
    <n v="29"/>
    <x v="16"/>
    <s v="M"/>
    <s v="Magenta"/>
    <x v="2"/>
    <n v="3.3"/>
    <s v="No"/>
    <s v="Credit Card"/>
    <s v="Next Day Air"/>
    <s v="Yes"/>
    <s v="Yes"/>
    <n v="11"/>
    <x v="2"/>
    <s v="Weekly"/>
    <n v="1"/>
    <x v="0"/>
  </r>
  <r>
    <n v="1190"/>
    <n v="64"/>
    <s v="Male"/>
    <s v="Shirt"/>
    <x v="0"/>
    <n v="97"/>
    <x v="10"/>
    <s v="XL"/>
    <s v="Teal"/>
    <x v="2"/>
    <n v="4.9000000000000004"/>
    <s v="No"/>
    <s v="Venmo"/>
    <s v="Free Shipping"/>
    <s v="Yes"/>
    <s v="Yes"/>
    <n v="28"/>
    <x v="5"/>
    <s v="Annually"/>
    <n v="1"/>
    <x v="0"/>
  </r>
  <r>
    <n v="1191"/>
    <n v="62"/>
    <s v="Male"/>
    <s v="Shirt"/>
    <x v="0"/>
    <n v="45"/>
    <x v="36"/>
    <s v="M"/>
    <s v="Orange"/>
    <x v="0"/>
    <n v="4.3"/>
    <s v="No"/>
    <s v="Bank Transfer"/>
    <s v="Next Day Air"/>
    <s v="Yes"/>
    <s v="Yes"/>
    <n v="31"/>
    <x v="2"/>
    <s v="Weekly"/>
    <n v="1"/>
    <x v="0"/>
  </r>
  <r>
    <n v="1192"/>
    <n v="34"/>
    <s v="Male"/>
    <s v="T-shirt"/>
    <x v="0"/>
    <n v="70"/>
    <x v="27"/>
    <s v="L"/>
    <s v="Charcoal"/>
    <x v="0"/>
    <n v="4.0999999999999996"/>
    <s v="No"/>
    <s v="Debit Card"/>
    <s v="Free Shipping"/>
    <s v="Yes"/>
    <s v="Yes"/>
    <n v="50"/>
    <x v="0"/>
    <s v="Quarterly"/>
    <n v="1"/>
    <x v="3"/>
  </r>
  <r>
    <n v="1193"/>
    <n v="49"/>
    <s v="Male"/>
    <s v="Coat"/>
    <x v="2"/>
    <n v="56"/>
    <x v="20"/>
    <s v="M"/>
    <s v="Turquoise"/>
    <x v="2"/>
    <n v="4"/>
    <s v="No"/>
    <s v="PayPal"/>
    <s v="2-Day Shipping"/>
    <s v="Yes"/>
    <s v="Yes"/>
    <n v="42"/>
    <x v="0"/>
    <s v="Quarterly"/>
    <n v="1"/>
    <x v="0"/>
  </r>
  <r>
    <n v="1194"/>
    <n v="40"/>
    <s v="Male"/>
    <s v="Jacket"/>
    <x v="2"/>
    <n v="55"/>
    <x v="29"/>
    <s v="L"/>
    <s v="Pink"/>
    <x v="3"/>
    <n v="5"/>
    <s v="No"/>
    <s v="Venmo"/>
    <s v="2-Day Shipping"/>
    <s v="Yes"/>
    <s v="Yes"/>
    <n v="18"/>
    <x v="2"/>
    <s v="Fortnightly"/>
    <n v="1"/>
    <x v="2"/>
  </r>
  <r>
    <n v="1195"/>
    <n v="50"/>
    <s v="Male"/>
    <s v="Hoodie"/>
    <x v="0"/>
    <n v="46"/>
    <x v="14"/>
    <s v="S"/>
    <s v="Teal"/>
    <x v="0"/>
    <n v="3.1"/>
    <s v="No"/>
    <s v="Debit Card"/>
    <s v="2-Day Shipping"/>
    <s v="Yes"/>
    <s v="Yes"/>
    <n v="6"/>
    <x v="2"/>
    <s v="Fortnightly"/>
    <n v="1"/>
    <x v="0"/>
  </r>
  <r>
    <n v="1196"/>
    <n v="25"/>
    <s v="Male"/>
    <s v="Scarf"/>
    <x v="3"/>
    <n v="95"/>
    <x v="21"/>
    <s v="M"/>
    <s v="White"/>
    <x v="0"/>
    <n v="4"/>
    <s v="No"/>
    <s v="Cash"/>
    <s v="2-Day Shipping"/>
    <s v="Yes"/>
    <s v="Yes"/>
    <n v="33"/>
    <x v="0"/>
    <s v="Monthly"/>
    <n v="1"/>
    <x v="1"/>
  </r>
  <r>
    <n v="1197"/>
    <n v="30"/>
    <s v="Male"/>
    <s v="Belt"/>
    <x v="3"/>
    <n v="88"/>
    <x v="25"/>
    <s v="M"/>
    <s v="Maroon"/>
    <x v="0"/>
    <n v="3.2"/>
    <s v="No"/>
    <s v="PayPal"/>
    <s v="2-Day Shipping"/>
    <s v="Yes"/>
    <s v="Yes"/>
    <n v="13"/>
    <x v="4"/>
    <s v="Bi-Weekly"/>
    <n v="1"/>
    <x v="3"/>
  </r>
  <r>
    <n v="1198"/>
    <n v="54"/>
    <s v="Male"/>
    <s v="Sneakers"/>
    <x v="1"/>
    <n v="92"/>
    <x v="34"/>
    <s v="L"/>
    <s v="Violet"/>
    <x v="3"/>
    <n v="3.9"/>
    <s v="No"/>
    <s v="Debit Card"/>
    <s v="Standard"/>
    <s v="Yes"/>
    <s v="Yes"/>
    <n v="26"/>
    <x v="3"/>
    <s v="Annually"/>
    <n v="1"/>
    <x v="0"/>
  </r>
  <r>
    <n v="1199"/>
    <n v="40"/>
    <s v="Male"/>
    <s v="Socks"/>
    <x v="0"/>
    <n v="49"/>
    <x v="32"/>
    <s v="M"/>
    <s v="Brown"/>
    <x v="2"/>
    <n v="3.9"/>
    <s v="No"/>
    <s v="Bank Transfer"/>
    <s v="2-Day Shipping"/>
    <s v="Yes"/>
    <s v="Yes"/>
    <n v="17"/>
    <x v="1"/>
    <s v="Annually"/>
    <n v="1"/>
    <x v="2"/>
  </r>
  <r>
    <n v="1200"/>
    <n v="49"/>
    <s v="Male"/>
    <s v="Sandals"/>
    <x v="1"/>
    <n v="89"/>
    <x v="33"/>
    <s v="M"/>
    <s v="Indigo"/>
    <x v="3"/>
    <n v="4.5"/>
    <s v="No"/>
    <s v="Credit Card"/>
    <s v="Free Shipping"/>
    <s v="Yes"/>
    <s v="Yes"/>
    <n v="3"/>
    <x v="5"/>
    <s v="Weekly"/>
    <n v="1"/>
    <x v="0"/>
  </r>
  <r>
    <n v="1201"/>
    <n v="27"/>
    <s v="Male"/>
    <s v="Coat"/>
    <x v="2"/>
    <n v="22"/>
    <x v="39"/>
    <s v="XL"/>
    <s v="Black"/>
    <x v="0"/>
    <n v="4.4000000000000004"/>
    <s v="No"/>
    <s v="Bank Transfer"/>
    <s v="Store Pickup"/>
    <s v="Yes"/>
    <s v="Yes"/>
    <n v="7"/>
    <x v="3"/>
    <s v="Weekly"/>
    <n v="1"/>
    <x v="3"/>
  </r>
  <r>
    <n v="1202"/>
    <n v="27"/>
    <s v="Male"/>
    <s v="Shoes"/>
    <x v="1"/>
    <n v="61"/>
    <x v="26"/>
    <s v="XL"/>
    <s v="Black"/>
    <x v="2"/>
    <n v="3.1"/>
    <s v="No"/>
    <s v="Cash"/>
    <s v="2-Day Shipping"/>
    <s v="Yes"/>
    <s v="Yes"/>
    <n v="46"/>
    <x v="0"/>
    <s v="Fortnightly"/>
    <n v="1"/>
    <x v="3"/>
  </r>
  <r>
    <n v="1203"/>
    <n v="48"/>
    <s v="Male"/>
    <s v="Scarf"/>
    <x v="3"/>
    <n v="29"/>
    <x v="33"/>
    <s v="S"/>
    <s v="Olive"/>
    <x v="1"/>
    <n v="2.9"/>
    <s v="No"/>
    <s v="Bank Transfer"/>
    <s v="Standard"/>
    <s v="Yes"/>
    <s v="Yes"/>
    <n v="14"/>
    <x v="0"/>
    <s v="Every 3 Months"/>
    <n v="1"/>
    <x v="0"/>
  </r>
  <r>
    <n v="1204"/>
    <n v="40"/>
    <s v="Male"/>
    <s v="Sneakers"/>
    <x v="1"/>
    <n v="82"/>
    <x v="46"/>
    <s v="M"/>
    <s v="Orange"/>
    <x v="0"/>
    <n v="3.7"/>
    <s v="No"/>
    <s v="Bank Transfer"/>
    <s v="Free Shipping"/>
    <s v="Yes"/>
    <s v="Yes"/>
    <n v="23"/>
    <x v="4"/>
    <s v="Annually"/>
    <n v="1"/>
    <x v="2"/>
  </r>
  <r>
    <n v="1205"/>
    <n v="67"/>
    <s v="Male"/>
    <s v="Belt"/>
    <x v="3"/>
    <n v="94"/>
    <x v="20"/>
    <s v="M"/>
    <s v="Pink"/>
    <x v="1"/>
    <n v="3.2"/>
    <s v="No"/>
    <s v="Bank Transfer"/>
    <s v="2-Day Shipping"/>
    <s v="Yes"/>
    <s v="Yes"/>
    <n v="20"/>
    <x v="2"/>
    <s v="Every 3 Months"/>
    <n v="1"/>
    <x v="0"/>
  </r>
  <r>
    <n v="1206"/>
    <n v="52"/>
    <s v="Male"/>
    <s v="Handbag"/>
    <x v="3"/>
    <n v="99"/>
    <x v="18"/>
    <s v="M"/>
    <s v="Olive"/>
    <x v="1"/>
    <n v="3.5"/>
    <s v="No"/>
    <s v="Credit Card"/>
    <s v="Standard"/>
    <s v="Yes"/>
    <s v="Yes"/>
    <n v="38"/>
    <x v="4"/>
    <s v="Fortnightly"/>
    <n v="1"/>
    <x v="0"/>
  </r>
  <r>
    <n v="1207"/>
    <n v="22"/>
    <s v="Male"/>
    <s v="Handbag"/>
    <x v="3"/>
    <n v="59"/>
    <x v="16"/>
    <s v="S"/>
    <s v="Cyan"/>
    <x v="3"/>
    <n v="3"/>
    <s v="No"/>
    <s v="Cash"/>
    <s v="Free Shipping"/>
    <s v="Yes"/>
    <s v="Yes"/>
    <n v="16"/>
    <x v="0"/>
    <s v="Every 3 Months"/>
    <n v="1"/>
    <x v="1"/>
  </r>
  <r>
    <n v="1208"/>
    <n v="62"/>
    <s v="Male"/>
    <s v="Boots"/>
    <x v="1"/>
    <n v="90"/>
    <x v="47"/>
    <s v="M"/>
    <s v="White"/>
    <x v="2"/>
    <n v="4.0999999999999996"/>
    <s v="No"/>
    <s v="Venmo"/>
    <s v="Next Day Air"/>
    <s v="Yes"/>
    <s v="Yes"/>
    <n v="48"/>
    <x v="2"/>
    <s v="Every 3 Months"/>
    <n v="1"/>
    <x v="0"/>
  </r>
  <r>
    <n v="1209"/>
    <n v="20"/>
    <s v="Male"/>
    <s v="Boots"/>
    <x v="1"/>
    <n v="100"/>
    <x v="48"/>
    <s v="S"/>
    <s v="Red"/>
    <x v="0"/>
    <n v="2.9"/>
    <s v="No"/>
    <s v="Cash"/>
    <s v="2-Day Shipping"/>
    <s v="Yes"/>
    <s v="Yes"/>
    <n v="8"/>
    <x v="5"/>
    <s v="Annually"/>
    <n v="1"/>
    <x v="1"/>
  </r>
  <r>
    <n v="1210"/>
    <n v="41"/>
    <s v="Male"/>
    <s v="Pants"/>
    <x v="0"/>
    <n v="62"/>
    <x v="38"/>
    <s v="M"/>
    <s v="Blue"/>
    <x v="0"/>
    <n v="3.8"/>
    <s v="No"/>
    <s v="PayPal"/>
    <s v="Next Day Air"/>
    <s v="Yes"/>
    <s v="Yes"/>
    <n v="16"/>
    <x v="4"/>
    <s v="Monthly"/>
    <n v="1"/>
    <x v="2"/>
  </r>
  <r>
    <n v="1211"/>
    <n v="34"/>
    <s v="Male"/>
    <s v="Sunglasses"/>
    <x v="3"/>
    <n v="78"/>
    <x v="9"/>
    <s v="M"/>
    <s v="Olive"/>
    <x v="3"/>
    <n v="4.0999999999999996"/>
    <s v="No"/>
    <s v="PayPal"/>
    <s v="Next Day Air"/>
    <s v="Yes"/>
    <s v="Yes"/>
    <n v="5"/>
    <x v="1"/>
    <s v="Quarterly"/>
    <n v="1"/>
    <x v="3"/>
  </r>
  <r>
    <n v="1212"/>
    <n v="23"/>
    <s v="Male"/>
    <s v="Hoodie"/>
    <x v="0"/>
    <n v="94"/>
    <x v="19"/>
    <s v="M"/>
    <s v="Green"/>
    <x v="1"/>
    <n v="4.5999999999999996"/>
    <s v="No"/>
    <s v="Venmo"/>
    <s v="Store Pickup"/>
    <s v="Yes"/>
    <s v="Yes"/>
    <n v="14"/>
    <x v="0"/>
    <s v="Every 3 Months"/>
    <n v="1"/>
    <x v="1"/>
  </r>
  <r>
    <n v="1213"/>
    <n v="32"/>
    <s v="Male"/>
    <s v="Shoes"/>
    <x v="1"/>
    <n v="74"/>
    <x v="38"/>
    <s v="M"/>
    <s v="Yellow"/>
    <x v="2"/>
    <n v="2.5"/>
    <s v="No"/>
    <s v="Venmo"/>
    <s v="Free Shipping"/>
    <s v="Yes"/>
    <s v="Yes"/>
    <n v="18"/>
    <x v="2"/>
    <s v="Weekly"/>
    <n v="1"/>
    <x v="3"/>
  </r>
  <r>
    <n v="1214"/>
    <n v="68"/>
    <s v="Male"/>
    <s v="Handbag"/>
    <x v="3"/>
    <n v="52"/>
    <x v="0"/>
    <s v="XL"/>
    <s v="Black"/>
    <x v="1"/>
    <n v="3.7"/>
    <s v="No"/>
    <s v="Cash"/>
    <s v="Express"/>
    <s v="Yes"/>
    <s v="Yes"/>
    <n v="14"/>
    <x v="5"/>
    <s v="Every 3 Months"/>
    <n v="1"/>
    <x v="0"/>
  </r>
  <r>
    <n v="1215"/>
    <n v="30"/>
    <s v="Male"/>
    <s v="Jacket"/>
    <x v="2"/>
    <n v="81"/>
    <x v="34"/>
    <s v="M"/>
    <s v="Blue"/>
    <x v="3"/>
    <n v="3.8"/>
    <s v="No"/>
    <s v="Cash"/>
    <s v="Free Shipping"/>
    <s v="Yes"/>
    <s v="Yes"/>
    <n v="5"/>
    <x v="1"/>
    <s v="Every 3 Months"/>
    <n v="1"/>
    <x v="3"/>
  </r>
  <r>
    <n v="1216"/>
    <n v="66"/>
    <s v="Male"/>
    <s v="Blouse"/>
    <x v="0"/>
    <n v="20"/>
    <x v="4"/>
    <s v="L"/>
    <s v="Pink"/>
    <x v="0"/>
    <n v="2.6"/>
    <s v="No"/>
    <s v="Cash"/>
    <s v="2-Day Shipping"/>
    <s v="Yes"/>
    <s v="Yes"/>
    <n v="15"/>
    <x v="2"/>
    <s v="Every 3 Months"/>
    <n v="1"/>
    <x v="0"/>
  </r>
  <r>
    <n v="1217"/>
    <n v="62"/>
    <s v="Male"/>
    <s v="Pants"/>
    <x v="0"/>
    <n v="32"/>
    <x v="40"/>
    <s v="XL"/>
    <s v="Lavender"/>
    <x v="2"/>
    <n v="3.7"/>
    <s v="No"/>
    <s v="PayPal"/>
    <s v="Free Shipping"/>
    <s v="Yes"/>
    <s v="Yes"/>
    <n v="3"/>
    <x v="0"/>
    <s v="Every 3 Months"/>
    <n v="1"/>
    <x v="0"/>
  </r>
  <r>
    <n v="1218"/>
    <n v="50"/>
    <s v="Male"/>
    <s v="Boots"/>
    <x v="1"/>
    <n v="63"/>
    <x v="43"/>
    <s v="XL"/>
    <s v="Cyan"/>
    <x v="3"/>
    <n v="2.6"/>
    <s v="No"/>
    <s v="Debit Card"/>
    <s v="Free Shipping"/>
    <s v="Yes"/>
    <s v="Yes"/>
    <n v="12"/>
    <x v="1"/>
    <s v="Every 3 Months"/>
    <n v="1"/>
    <x v="0"/>
  </r>
  <r>
    <n v="1219"/>
    <n v="55"/>
    <s v="Male"/>
    <s v="Boots"/>
    <x v="1"/>
    <n v="79"/>
    <x v="38"/>
    <s v="M"/>
    <s v="Cyan"/>
    <x v="1"/>
    <n v="3.1"/>
    <s v="No"/>
    <s v="Venmo"/>
    <s v="Store Pickup"/>
    <s v="Yes"/>
    <s v="Yes"/>
    <n v="43"/>
    <x v="1"/>
    <s v="Every 3 Months"/>
    <n v="1"/>
    <x v="0"/>
  </r>
  <r>
    <n v="1220"/>
    <n v="19"/>
    <s v="Male"/>
    <s v="Sweater"/>
    <x v="0"/>
    <n v="23"/>
    <x v="34"/>
    <s v="M"/>
    <s v="Gold"/>
    <x v="0"/>
    <n v="2.5"/>
    <s v="No"/>
    <s v="Bank Transfer"/>
    <s v="Next Day Air"/>
    <s v="Yes"/>
    <s v="Yes"/>
    <n v="35"/>
    <x v="2"/>
    <s v="Bi-Weekly"/>
    <n v="1"/>
    <x v="1"/>
  </r>
  <r>
    <n v="1221"/>
    <n v="67"/>
    <s v="Male"/>
    <s v="Gloves"/>
    <x v="3"/>
    <n v="64"/>
    <x v="0"/>
    <s v="M"/>
    <s v="Green"/>
    <x v="0"/>
    <n v="4.9000000000000004"/>
    <s v="No"/>
    <s v="Bank Transfer"/>
    <s v="Express"/>
    <s v="Yes"/>
    <s v="Yes"/>
    <n v="36"/>
    <x v="4"/>
    <s v="Quarterly"/>
    <n v="1"/>
    <x v="0"/>
  </r>
  <r>
    <n v="1222"/>
    <n v="18"/>
    <s v="Male"/>
    <s v="Socks"/>
    <x v="0"/>
    <n v="69"/>
    <x v="44"/>
    <s v="M"/>
    <s v="Red"/>
    <x v="0"/>
    <n v="4.5"/>
    <s v="No"/>
    <s v="Bank Transfer"/>
    <s v="Standard"/>
    <s v="Yes"/>
    <s v="Yes"/>
    <n v="3"/>
    <x v="1"/>
    <s v="Quarterly"/>
    <n v="1"/>
    <x v="1"/>
  </r>
  <r>
    <n v="1223"/>
    <n v="58"/>
    <s v="Male"/>
    <s v="Jeans"/>
    <x v="0"/>
    <n v="69"/>
    <x v="27"/>
    <s v="L"/>
    <s v="Magenta"/>
    <x v="3"/>
    <n v="3.4"/>
    <s v="No"/>
    <s v="Bank Transfer"/>
    <s v="Store Pickup"/>
    <s v="Yes"/>
    <s v="Yes"/>
    <n v="27"/>
    <x v="4"/>
    <s v="Annually"/>
    <n v="1"/>
    <x v="0"/>
  </r>
  <r>
    <n v="1224"/>
    <n v="69"/>
    <s v="Male"/>
    <s v="Pants"/>
    <x v="0"/>
    <n v="24"/>
    <x v="23"/>
    <s v="L"/>
    <s v="Red"/>
    <x v="0"/>
    <n v="3.9"/>
    <s v="No"/>
    <s v="Credit Card"/>
    <s v="Free Shipping"/>
    <s v="Yes"/>
    <s v="Yes"/>
    <n v="21"/>
    <x v="4"/>
    <s v="Weekly"/>
    <n v="1"/>
    <x v="0"/>
  </r>
  <r>
    <n v="1225"/>
    <n v="62"/>
    <s v="Male"/>
    <s v="Shorts"/>
    <x v="0"/>
    <n v="50"/>
    <x v="26"/>
    <s v="M"/>
    <s v="Yellow"/>
    <x v="2"/>
    <n v="3.7"/>
    <s v="No"/>
    <s v="Bank Transfer"/>
    <s v="Store Pickup"/>
    <s v="Yes"/>
    <s v="Yes"/>
    <n v="18"/>
    <x v="0"/>
    <s v="Weekly"/>
    <n v="1"/>
    <x v="0"/>
  </r>
  <r>
    <n v="1226"/>
    <n v="28"/>
    <s v="Male"/>
    <s v="Gloves"/>
    <x v="3"/>
    <n v="97"/>
    <x v="17"/>
    <s v="S"/>
    <s v="Turquoise"/>
    <x v="3"/>
    <n v="2.6"/>
    <s v="No"/>
    <s v="Credit Card"/>
    <s v="Free Shipping"/>
    <s v="Yes"/>
    <s v="Yes"/>
    <n v="16"/>
    <x v="5"/>
    <s v="Weekly"/>
    <n v="1"/>
    <x v="3"/>
  </r>
  <r>
    <n v="1227"/>
    <n v="53"/>
    <s v="Male"/>
    <s v="Sandals"/>
    <x v="1"/>
    <n v="91"/>
    <x v="31"/>
    <s v="S"/>
    <s v="Cyan"/>
    <x v="3"/>
    <n v="3.4"/>
    <s v="No"/>
    <s v="PayPal"/>
    <s v="Store Pickup"/>
    <s v="Yes"/>
    <s v="Yes"/>
    <n v="18"/>
    <x v="0"/>
    <s v="Bi-Weekly"/>
    <n v="1"/>
    <x v="0"/>
  </r>
  <r>
    <n v="1228"/>
    <n v="27"/>
    <s v="Male"/>
    <s v="Blouse"/>
    <x v="0"/>
    <n v="37"/>
    <x v="26"/>
    <s v="L"/>
    <s v="Yellow"/>
    <x v="1"/>
    <n v="4.9000000000000004"/>
    <s v="No"/>
    <s v="Venmo"/>
    <s v="Store Pickup"/>
    <s v="Yes"/>
    <s v="Yes"/>
    <n v="19"/>
    <x v="4"/>
    <s v="Bi-Weekly"/>
    <n v="1"/>
    <x v="3"/>
  </r>
  <r>
    <n v="1229"/>
    <n v="55"/>
    <s v="Male"/>
    <s v="Jacket"/>
    <x v="2"/>
    <n v="55"/>
    <x v="27"/>
    <s v="S"/>
    <s v="Yellow"/>
    <x v="0"/>
    <n v="3.9"/>
    <s v="No"/>
    <s v="Venmo"/>
    <s v="Express"/>
    <s v="Yes"/>
    <s v="Yes"/>
    <n v="1"/>
    <x v="1"/>
    <s v="Annually"/>
    <n v="1"/>
    <x v="0"/>
  </r>
  <r>
    <n v="1230"/>
    <n v="34"/>
    <s v="Male"/>
    <s v="Jewelry"/>
    <x v="3"/>
    <n v="52"/>
    <x v="23"/>
    <s v="XL"/>
    <s v="Maroon"/>
    <x v="0"/>
    <n v="3.6"/>
    <s v="No"/>
    <s v="Venmo"/>
    <s v="Express"/>
    <s v="Yes"/>
    <s v="Yes"/>
    <n v="39"/>
    <x v="4"/>
    <s v="Annually"/>
    <n v="1"/>
    <x v="3"/>
  </r>
  <r>
    <n v="1231"/>
    <n v="25"/>
    <s v="Male"/>
    <s v="Hat"/>
    <x v="3"/>
    <n v="80"/>
    <x v="26"/>
    <s v="L"/>
    <s v="Brown"/>
    <x v="1"/>
    <n v="4.5999999999999996"/>
    <s v="No"/>
    <s v="Debit Card"/>
    <s v="Standard"/>
    <s v="Yes"/>
    <s v="Yes"/>
    <n v="49"/>
    <x v="0"/>
    <s v="Monthly"/>
    <n v="1"/>
    <x v="1"/>
  </r>
  <r>
    <n v="1232"/>
    <n v="66"/>
    <s v="Male"/>
    <s v="Socks"/>
    <x v="0"/>
    <n v="79"/>
    <x v="38"/>
    <s v="M"/>
    <s v="Gold"/>
    <x v="1"/>
    <n v="4"/>
    <s v="No"/>
    <s v="Credit Card"/>
    <s v="2-Day Shipping"/>
    <s v="Yes"/>
    <s v="Yes"/>
    <n v="43"/>
    <x v="2"/>
    <s v="Fortnightly"/>
    <n v="1"/>
    <x v="0"/>
  </r>
  <r>
    <n v="1233"/>
    <n v="57"/>
    <s v="Male"/>
    <s v="Handbag"/>
    <x v="3"/>
    <n v="23"/>
    <x v="14"/>
    <s v="M"/>
    <s v="Charcoal"/>
    <x v="2"/>
    <n v="3.6"/>
    <s v="No"/>
    <s v="Cash"/>
    <s v="Free Shipping"/>
    <s v="Yes"/>
    <s v="Yes"/>
    <n v="31"/>
    <x v="5"/>
    <s v="Every 3 Months"/>
    <n v="1"/>
    <x v="0"/>
  </r>
  <r>
    <n v="1234"/>
    <n v="46"/>
    <s v="Male"/>
    <s v="Pants"/>
    <x v="0"/>
    <n v="73"/>
    <x v="40"/>
    <s v="L"/>
    <s v="Beige"/>
    <x v="0"/>
    <n v="3.5"/>
    <s v="No"/>
    <s v="Cash"/>
    <s v="Next Day Air"/>
    <s v="Yes"/>
    <s v="Yes"/>
    <n v="40"/>
    <x v="0"/>
    <s v="Every 3 Months"/>
    <n v="1"/>
    <x v="0"/>
  </r>
  <r>
    <n v="1235"/>
    <n v="38"/>
    <s v="Male"/>
    <s v="Gloves"/>
    <x v="3"/>
    <n v="99"/>
    <x v="32"/>
    <s v="M"/>
    <s v="Indigo"/>
    <x v="3"/>
    <n v="4.0999999999999996"/>
    <s v="No"/>
    <s v="Cash"/>
    <s v="Store Pickup"/>
    <s v="Yes"/>
    <s v="Yes"/>
    <n v="2"/>
    <x v="4"/>
    <s v="Bi-Weekly"/>
    <n v="1"/>
    <x v="2"/>
  </r>
  <r>
    <n v="1236"/>
    <n v="23"/>
    <s v="Male"/>
    <s v="Sweater"/>
    <x v="0"/>
    <n v="22"/>
    <x v="37"/>
    <s v="M"/>
    <s v="Red"/>
    <x v="1"/>
    <n v="3"/>
    <s v="No"/>
    <s v="Bank Transfer"/>
    <s v="Store Pickup"/>
    <s v="Yes"/>
    <s v="Yes"/>
    <n v="46"/>
    <x v="3"/>
    <s v="Every 3 Months"/>
    <n v="1"/>
    <x v="1"/>
  </r>
  <r>
    <n v="1237"/>
    <n v="42"/>
    <s v="Male"/>
    <s v="Hat"/>
    <x v="3"/>
    <n v="68"/>
    <x v="35"/>
    <s v="M"/>
    <s v="White"/>
    <x v="2"/>
    <n v="4.4000000000000004"/>
    <s v="No"/>
    <s v="PayPal"/>
    <s v="Store Pickup"/>
    <s v="Yes"/>
    <s v="Yes"/>
    <n v="35"/>
    <x v="5"/>
    <s v="Every 3 Months"/>
    <n v="1"/>
    <x v="2"/>
  </r>
  <r>
    <n v="1238"/>
    <n v="25"/>
    <s v="Male"/>
    <s v="Dress"/>
    <x v="0"/>
    <n v="92"/>
    <x v="49"/>
    <s v="S"/>
    <s v="Charcoal"/>
    <x v="1"/>
    <n v="4.4000000000000004"/>
    <s v="No"/>
    <s v="Credit Card"/>
    <s v="2-Day Shipping"/>
    <s v="Yes"/>
    <s v="Yes"/>
    <n v="42"/>
    <x v="2"/>
    <s v="Quarterly"/>
    <n v="1"/>
    <x v="1"/>
  </r>
  <r>
    <n v="1239"/>
    <n v="55"/>
    <s v="Male"/>
    <s v="Pants"/>
    <x v="0"/>
    <n v="77"/>
    <x v="5"/>
    <s v="M"/>
    <s v="Violet"/>
    <x v="0"/>
    <n v="3.7"/>
    <s v="No"/>
    <s v="PayPal"/>
    <s v="Express"/>
    <s v="Yes"/>
    <s v="Yes"/>
    <n v="3"/>
    <x v="0"/>
    <s v="Fortnightly"/>
    <n v="1"/>
    <x v="0"/>
  </r>
  <r>
    <n v="1240"/>
    <n v="62"/>
    <s v="Male"/>
    <s v="Coat"/>
    <x v="2"/>
    <n v="37"/>
    <x v="32"/>
    <s v="XL"/>
    <s v="Magenta"/>
    <x v="1"/>
    <n v="4.8"/>
    <s v="No"/>
    <s v="PayPal"/>
    <s v="Standard"/>
    <s v="Yes"/>
    <s v="Yes"/>
    <n v="32"/>
    <x v="5"/>
    <s v="Every 3 Months"/>
    <n v="1"/>
    <x v="0"/>
  </r>
  <r>
    <n v="1241"/>
    <n v="41"/>
    <s v="Male"/>
    <s v="Scarf"/>
    <x v="3"/>
    <n v="79"/>
    <x v="32"/>
    <s v="L"/>
    <s v="White"/>
    <x v="0"/>
    <n v="2.9"/>
    <s v="No"/>
    <s v="Debit Card"/>
    <s v="Store Pickup"/>
    <s v="Yes"/>
    <s v="Yes"/>
    <n v="48"/>
    <x v="5"/>
    <s v="Annually"/>
    <n v="1"/>
    <x v="2"/>
  </r>
  <r>
    <n v="1242"/>
    <n v="58"/>
    <s v="Male"/>
    <s v="Hoodie"/>
    <x v="0"/>
    <n v="51"/>
    <x v="11"/>
    <s v="XL"/>
    <s v="Pink"/>
    <x v="0"/>
    <n v="3.1"/>
    <s v="No"/>
    <s v="Cash"/>
    <s v="Express"/>
    <s v="Yes"/>
    <s v="Yes"/>
    <n v="34"/>
    <x v="2"/>
    <s v="Weekly"/>
    <n v="1"/>
    <x v="0"/>
  </r>
  <r>
    <n v="1243"/>
    <n v="56"/>
    <s v="Male"/>
    <s v="Socks"/>
    <x v="0"/>
    <n v="27"/>
    <x v="22"/>
    <s v="M"/>
    <s v="Lavender"/>
    <x v="2"/>
    <n v="4"/>
    <s v="No"/>
    <s v="Bank Transfer"/>
    <s v="Next Day Air"/>
    <s v="Yes"/>
    <s v="Yes"/>
    <n v="15"/>
    <x v="4"/>
    <s v="Quarterly"/>
    <n v="1"/>
    <x v="0"/>
  </r>
  <r>
    <n v="1244"/>
    <n v="25"/>
    <s v="Male"/>
    <s v="Blouse"/>
    <x v="0"/>
    <n v="23"/>
    <x v="13"/>
    <s v="S"/>
    <s v="Pink"/>
    <x v="1"/>
    <n v="3"/>
    <s v="No"/>
    <s v="PayPal"/>
    <s v="Store Pickup"/>
    <s v="Yes"/>
    <s v="Yes"/>
    <n v="22"/>
    <x v="5"/>
    <s v="Annually"/>
    <n v="1"/>
    <x v="1"/>
  </r>
  <r>
    <n v="1245"/>
    <n v="70"/>
    <s v="Male"/>
    <s v="Socks"/>
    <x v="0"/>
    <n v="76"/>
    <x v="27"/>
    <s v="S"/>
    <s v="Silver"/>
    <x v="2"/>
    <n v="3.9"/>
    <s v="No"/>
    <s v="Cash"/>
    <s v="2-Day Shipping"/>
    <s v="Yes"/>
    <s v="Yes"/>
    <n v="2"/>
    <x v="1"/>
    <s v="Monthly"/>
    <n v="1"/>
    <x v="0"/>
  </r>
  <r>
    <n v="1246"/>
    <n v="42"/>
    <s v="Male"/>
    <s v="Dress"/>
    <x v="0"/>
    <n v="31"/>
    <x v="14"/>
    <s v="M"/>
    <s v="Violet"/>
    <x v="3"/>
    <n v="3.4"/>
    <s v="No"/>
    <s v="Bank Transfer"/>
    <s v="Standard"/>
    <s v="Yes"/>
    <s v="Yes"/>
    <n v="30"/>
    <x v="4"/>
    <s v="Weekly"/>
    <n v="1"/>
    <x v="2"/>
  </r>
  <r>
    <n v="1247"/>
    <n v="27"/>
    <s v="Male"/>
    <s v="Hoodie"/>
    <x v="0"/>
    <n v="60"/>
    <x v="7"/>
    <s v="M"/>
    <s v="Charcoal"/>
    <x v="0"/>
    <n v="2.7"/>
    <s v="No"/>
    <s v="Credit Card"/>
    <s v="Standard"/>
    <s v="Yes"/>
    <s v="Yes"/>
    <n v="27"/>
    <x v="1"/>
    <s v="Monthly"/>
    <n v="1"/>
    <x v="3"/>
  </r>
  <r>
    <n v="1248"/>
    <n v="65"/>
    <s v="Male"/>
    <s v="T-shirt"/>
    <x v="0"/>
    <n v="99"/>
    <x v="41"/>
    <s v="M"/>
    <s v="Charcoal"/>
    <x v="1"/>
    <n v="3.5"/>
    <s v="No"/>
    <s v="Bank Transfer"/>
    <s v="Express"/>
    <s v="Yes"/>
    <s v="Yes"/>
    <n v="18"/>
    <x v="0"/>
    <s v="Bi-Weekly"/>
    <n v="1"/>
    <x v="0"/>
  </r>
  <r>
    <n v="1249"/>
    <n v="62"/>
    <s v="Male"/>
    <s v="Hat"/>
    <x v="3"/>
    <n v="37"/>
    <x v="48"/>
    <s v="XL"/>
    <s v="Red"/>
    <x v="0"/>
    <n v="3"/>
    <s v="No"/>
    <s v="Credit Card"/>
    <s v="Free Shipping"/>
    <s v="Yes"/>
    <s v="Yes"/>
    <n v="8"/>
    <x v="2"/>
    <s v="Annually"/>
    <n v="1"/>
    <x v="0"/>
  </r>
  <r>
    <n v="1250"/>
    <n v="62"/>
    <s v="Male"/>
    <s v="Boots"/>
    <x v="1"/>
    <n v="50"/>
    <x v="4"/>
    <s v="M"/>
    <s v="Peach"/>
    <x v="0"/>
    <n v="4.5"/>
    <s v="No"/>
    <s v="PayPal"/>
    <s v="Express"/>
    <s v="Yes"/>
    <s v="Yes"/>
    <n v="48"/>
    <x v="0"/>
    <s v="Fortnightly"/>
    <n v="1"/>
    <x v="0"/>
  </r>
  <r>
    <n v="1251"/>
    <n v="52"/>
    <s v="Male"/>
    <s v="Jeans"/>
    <x v="0"/>
    <n v="26"/>
    <x v="13"/>
    <s v="XL"/>
    <s v="Purple"/>
    <x v="0"/>
    <n v="4.0999999999999996"/>
    <s v="No"/>
    <s v="Cash"/>
    <s v="Free Shipping"/>
    <s v="Yes"/>
    <s v="Yes"/>
    <n v="24"/>
    <x v="1"/>
    <s v="Monthly"/>
    <n v="1"/>
    <x v="0"/>
  </r>
  <r>
    <n v="1252"/>
    <n v="56"/>
    <s v="Male"/>
    <s v="Shorts"/>
    <x v="0"/>
    <n v="86"/>
    <x v="27"/>
    <s v="XL"/>
    <s v="Orange"/>
    <x v="1"/>
    <n v="5"/>
    <s v="No"/>
    <s v="Debit Card"/>
    <s v="Next Day Air"/>
    <s v="Yes"/>
    <s v="Yes"/>
    <n v="43"/>
    <x v="2"/>
    <s v="Monthly"/>
    <n v="1"/>
    <x v="0"/>
  </r>
  <r>
    <n v="1253"/>
    <n v="28"/>
    <s v="Male"/>
    <s v="Sandals"/>
    <x v="1"/>
    <n v="41"/>
    <x v="2"/>
    <s v="L"/>
    <s v="Magenta"/>
    <x v="3"/>
    <n v="4"/>
    <s v="No"/>
    <s v="Venmo"/>
    <s v="Standard"/>
    <s v="Yes"/>
    <s v="Yes"/>
    <n v="8"/>
    <x v="1"/>
    <s v="Quarterly"/>
    <n v="1"/>
    <x v="3"/>
  </r>
  <r>
    <n v="1254"/>
    <n v="39"/>
    <s v="Male"/>
    <s v="Sandals"/>
    <x v="1"/>
    <n v="23"/>
    <x v="6"/>
    <s v="XL"/>
    <s v="Red"/>
    <x v="0"/>
    <n v="4.9000000000000004"/>
    <s v="No"/>
    <s v="Venmo"/>
    <s v="Express"/>
    <s v="Yes"/>
    <s v="Yes"/>
    <n v="49"/>
    <x v="3"/>
    <s v="Annually"/>
    <n v="1"/>
    <x v="2"/>
  </r>
  <r>
    <n v="1255"/>
    <n v="54"/>
    <s v="Male"/>
    <s v="Sneakers"/>
    <x v="1"/>
    <n v="56"/>
    <x v="18"/>
    <s v="XL"/>
    <s v="Black"/>
    <x v="1"/>
    <n v="3.3"/>
    <s v="No"/>
    <s v="Cash"/>
    <s v="2-Day Shipping"/>
    <s v="Yes"/>
    <s v="Yes"/>
    <n v="2"/>
    <x v="2"/>
    <s v="Bi-Weekly"/>
    <n v="1"/>
    <x v="0"/>
  </r>
  <r>
    <n v="1256"/>
    <n v="30"/>
    <s v="Male"/>
    <s v="Hat"/>
    <x v="3"/>
    <n v="68"/>
    <x v="27"/>
    <s v="M"/>
    <s v="Peach"/>
    <x v="3"/>
    <n v="4.0999999999999996"/>
    <s v="No"/>
    <s v="Credit Card"/>
    <s v="Standard"/>
    <s v="Yes"/>
    <s v="Yes"/>
    <n v="38"/>
    <x v="1"/>
    <s v="Fortnightly"/>
    <n v="1"/>
    <x v="3"/>
  </r>
  <r>
    <n v="1257"/>
    <n v="45"/>
    <s v="Male"/>
    <s v="Coat"/>
    <x v="2"/>
    <n v="48"/>
    <x v="8"/>
    <s v="S"/>
    <s v="Olive"/>
    <x v="0"/>
    <n v="3.6"/>
    <s v="No"/>
    <s v="Cash"/>
    <s v="Express"/>
    <s v="Yes"/>
    <s v="Yes"/>
    <n v="4"/>
    <x v="1"/>
    <s v="Fortnightly"/>
    <n v="1"/>
    <x v="2"/>
  </r>
  <r>
    <n v="1258"/>
    <n v="68"/>
    <s v="Male"/>
    <s v="Dress"/>
    <x v="0"/>
    <n v="67"/>
    <x v="46"/>
    <s v="L"/>
    <s v="Gold"/>
    <x v="1"/>
    <n v="3"/>
    <s v="No"/>
    <s v="Cash"/>
    <s v="Free Shipping"/>
    <s v="Yes"/>
    <s v="Yes"/>
    <n v="31"/>
    <x v="1"/>
    <s v="Every 3 Months"/>
    <n v="1"/>
    <x v="0"/>
  </r>
  <r>
    <n v="1259"/>
    <n v="47"/>
    <s v="Male"/>
    <s v="Boots"/>
    <x v="1"/>
    <n v="87"/>
    <x v="31"/>
    <s v="XL"/>
    <s v="Gold"/>
    <x v="1"/>
    <n v="4.0999999999999996"/>
    <s v="No"/>
    <s v="Debit Card"/>
    <s v="2-Day Shipping"/>
    <s v="Yes"/>
    <s v="Yes"/>
    <n v="34"/>
    <x v="5"/>
    <s v="Every 3 Months"/>
    <n v="1"/>
    <x v="0"/>
  </r>
  <r>
    <n v="1260"/>
    <n v="68"/>
    <s v="Male"/>
    <s v="Skirt"/>
    <x v="0"/>
    <n v="64"/>
    <x v="46"/>
    <s v="M"/>
    <s v="Turquoise"/>
    <x v="3"/>
    <n v="3.9"/>
    <s v="No"/>
    <s v="Bank Transfer"/>
    <s v="Standard"/>
    <s v="Yes"/>
    <s v="Yes"/>
    <n v="45"/>
    <x v="2"/>
    <s v="Monthly"/>
    <n v="1"/>
    <x v="0"/>
  </r>
  <r>
    <n v="1261"/>
    <n v="63"/>
    <s v="Male"/>
    <s v="Shirt"/>
    <x v="0"/>
    <n v="93"/>
    <x v="41"/>
    <s v="XL"/>
    <s v="Green"/>
    <x v="1"/>
    <n v="4.0999999999999996"/>
    <s v="No"/>
    <s v="Venmo"/>
    <s v="Store Pickup"/>
    <s v="Yes"/>
    <s v="Yes"/>
    <n v="30"/>
    <x v="5"/>
    <s v="Quarterly"/>
    <n v="1"/>
    <x v="0"/>
  </r>
  <r>
    <n v="1262"/>
    <n v="20"/>
    <s v="Male"/>
    <s v="Shirt"/>
    <x v="0"/>
    <n v="29"/>
    <x v="39"/>
    <s v="L"/>
    <s v="Maroon"/>
    <x v="2"/>
    <n v="2.8"/>
    <s v="No"/>
    <s v="Venmo"/>
    <s v="Next Day Air"/>
    <s v="Yes"/>
    <s v="Yes"/>
    <n v="2"/>
    <x v="2"/>
    <s v="Fortnightly"/>
    <n v="1"/>
    <x v="1"/>
  </r>
  <r>
    <n v="1263"/>
    <n v="29"/>
    <s v="Male"/>
    <s v="Boots"/>
    <x v="1"/>
    <n v="62"/>
    <x v="30"/>
    <s v="L"/>
    <s v="Brown"/>
    <x v="0"/>
    <n v="4.8"/>
    <s v="No"/>
    <s v="Debit Card"/>
    <s v="Store Pickup"/>
    <s v="Yes"/>
    <s v="Yes"/>
    <n v="44"/>
    <x v="0"/>
    <s v="Monthly"/>
    <n v="1"/>
    <x v="3"/>
  </r>
  <r>
    <n v="1264"/>
    <n v="41"/>
    <s v="Male"/>
    <s v="Hoodie"/>
    <x v="0"/>
    <n v="70"/>
    <x v="12"/>
    <s v="L"/>
    <s v="Brown"/>
    <x v="0"/>
    <n v="4.5999999999999996"/>
    <s v="No"/>
    <s v="Bank Transfer"/>
    <s v="2-Day Shipping"/>
    <s v="Yes"/>
    <s v="Yes"/>
    <n v="1"/>
    <x v="2"/>
    <s v="Bi-Weekly"/>
    <n v="1"/>
    <x v="2"/>
  </r>
  <r>
    <n v="1265"/>
    <n v="52"/>
    <s v="Male"/>
    <s v="Sweater"/>
    <x v="0"/>
    <n v="92"/>
    <x v="34"/>
    <s v="S"/>
    <s v="Blue"/>
    <x v="0"/>
    <n v="2.5"/>
    <s v="No"/>
    <s v="Venmo"/>
    <s v="Next Day Air"/>
    <s v="Yes"/>
    <s v="Yes"/>
    <n v="1"/>
    <x v="0"/>
    <s v="Bi-Weekly"/>
    <n v="1"/>
    <x v="0"/>
  </r>
  <r>
    <n v="1266"/>
    <n v="32"/>
    <s v="Male"/>
    <s v="Shirt"/>
    <x v="0"/>
    <n v="79"/>
    <x v="7"/>
    <s v="M"/>
    <s v="Lavender"/>
    <x v="1"/>
    <n v="2.7"/>
    <s v="No"/>
    <s v="Bank Transfer"/>
    <s v="Next Day Air"/>
    <s v="Yes"/>
    <s v="Yes"/>
    <n v="27"/>
    <x v="4"/>
    <s v="Weekly"/>
    <n v="1"/>
    <x v="3"/>
  </r>
  <r>
    <n v="1267"/>
    <n v="20"/>
    <s v="Male"/>
    <s v="Blouse"/>
    <x v="0"/>
    <n v="31"/>
    <x v="25"/>
    <s v="M"/>
    <s v="Peach"/>
    <x v="3"/>
    <n v="4"/>
    <s v="No"/>
    <s v="Cash"/>
    <s v="Standard"/>
    <s v="Yes"/>
    <s v="Yes"/>
    <n v="14"/>
    <x v="5"/>
    <s v="Every 3 Months"/>
    <n v="1"/>
    <x v="1"/>
  </r>
  <r>
    <n v="1268"/>
    <n v="47"/>
    <s v="Male"/>
    <s v="T-shirt"/>
    <x v="0"/>
    <n v="83"/>
    <x v="4"/>
    <s v="S"/>
    <s v="Gray"/>
    <x v="1"/>
    <n v="2.7"/>
    <s v="No"/>
    <s v="Credit Card"/>
    <s v="Standard"/>
    <s v="Yes"/>
    <s v="Yes"/>
    <n v="41"/>
    <x v="1"/>
    <s v="Weekly"/>
    <n v="1"/>
    <x v="0"/>
  </r>
  <r>
    <n v="1269"/>
    <n v="23"/>
    <s v="Male"/>
    <s v="Jacket"/>
    <x v="2"/>
    <n v="88"/>
    <x v="37"/>
    <s v="XL"/>
    <s v="Charcoal"/>
    <x v="0"/>
    <n v="2.9"/>
    <s v="No"/>
    <s v="Venmo"/>
    <s v="Next Day Air"/>
    <s v="Yes"/>
    <s v="Yes"/>
    <n v="25"/>
    <x v="5"/>
    <s v="Bi-Weekly"/>
    <n v="1"/>
    <x v="1"/>
  </r>
  <r>
    <n v="1270"/>
    <n v="43"/>
    <s v="Male"/>
    <s v="Jewelry"/>
    <x v="3"/>
    <n v="53"/>
    <x v="34"/>
    <s v="M"/>
    <s v="Lavender"/>
    <x v="1"/>
    <n v="3"/>
    <s v="No"/>
    <s v="PayPal"/>
    <s v="Standard"/>
    <s v="Yes"/>
    <s v="Yes"/>
    <n v="47"/>
    <x v="3"/>
    <s v="Quarterly"/>
    <n v="1"/>
    <x v="2"/>
  </r>
  <r>
    <n v="1271"/>
    <n v="67"/>
    <s v="Male"/>
    <s v="Hoodie"/>
    <x v="0"/>
    <n v="98"/>
    <x v="8"/>
    <s v="M"/>
    <s v="Green"/>
    <x v="3"/>
    <n v="3.3"/>
    <s v="No"/>
    <s v="Cash"/>
    <s v="Standard"/>
    <s v="Yes"/>
    <s v="Yes"/>
    <n v="20"/>
    <x v="1"/>
    <s v="Annually"/>
    <n v="1"/>
    <x v="0"/>
  </r>
  <r>
    <n v="1272"/>
    <n v="70"/>
    <s v="Male"/>
    <s v="Jewelry"/>
    <x v="3"/>
    <n v="57"/>
    <x v="0"/>
    <s v="S"/>
    <s v="Gray"/>
    <x v="1"/>
    <n v="4.3"/>
    <s v="No"/>
    <s v="Cash"/>
    <s v="Store Pickup"/>
    <s v="Yes"/>
    <s v="Yes"/>
    <n v="42"/>
    <x v="3"/>
    <s v="Annually"/>
    <n v="1"/>
    <x v="0"/>
  </r>
  <r>
    <n v="1273"/>
    <n v="35"/>
    <s v="Male"/>
    <s v="Sandals"/>
    <x v="1"/>
    <n v="80"/>
    <x v="48"/>
    <s v="M"/>
    <s v="Orange"/>
    <x v="0"/>
    <n v="4.4000000000000004"/>
    <s v="No"/>
    <s v="Debit Card"/>
    <s v="Express"/>
    <s v="Yes"/>
    <s v="Yes"/>
    <n v="16"/>
    <x v="4"/>
    <s v="Monthly"/>
    <n v="1"/>
    <x v="3"/>
  </r>
  <r>
    <n v="1274"/>
    <n v="41"/>
    <s v="Male"/>
    <s v="Jeans"/>
    <x v="0"/>
    <n v="29"/>
    <x v="16"/>
    <s v="L"/>
    <s v="Silver"/>
    <x v="1"/>
    <n v="4.0999999999999996"/>
    <s v="No"/>
    <s v="Cash"/>
    <s v="Next Day Air"/>
    <s v="Yes"/>
    <s v="Yes"/>
    <n v="32"/>
    <x v="2"/>
    <s v="Every 3 Months"/>
    <n v="1"/>
    <x v="2"/>
  </r>
  <r>
    <n v="1275"/>
    <n v="54"/>
    <s v="Male"/>
    <s v="Hat"/>
    <x v="3"/>
    <n v="73"/>
    <x v="9"/>
    <s v="M"/>
    <s v="Olive"/>
    <x v="1"/>
    <n v="3.1"/>
    <s v="No"/>
    <s v="Cash"/>
    <s v="2-Day Shipping"/>
    <s v="Yes"/>
    <s v="Yes"/>
    <n v="37"/>
    <x v="3"/>
    <s v="Quarterly"/>
    <n v="1"/>
    <x v="0"/>
  </r>
  <r>
    <n v="1276"/>
    <n v="55"/>
    <s v="Male"/>
    <s v="Sweater"/>
    <x v="0"/>
    <n v="32"/>
    <x v="10"/>
    <s v="S"/>
    <s v="Turquoise"/>
    <x v="3"/>
    <n v="4.5"/>
    <s v="No"/>
    <s v="PayPal"/>
    <s v="Standard"/>
    <s v="Yes"/>
    <s v="Yes"/>
    <n v="1"/>
    <x v="3"/>
    <s v="Monthly"/>
    <n v="1"/>
    <x v="0"/>
  </r>
  <r>
    <n v="1277"/>
    <n v="51"/>
    <s v="Male"/>
    <s v="Boots"/>
    <x v="1"/>
    <n v="68"/>
    <x v="5"/>
    <s v="L"/>
    <s v="Turquoise"/>
    <x v="1"/>
    <n v="4.8"/>
    <s v="No"/>
    <s v="PayPal"/>
    <s v="Next Day Air"/>
    <s v="Yes"/>
    <s v="Yes"/>
    <n v="37"/>
    <x v="4"/>
    <s v="Weekly"/>
    <n v="1"/>
    <x v="0"/>
  </r>
  <r>
    <n v="1278"/>
    <n v="19"/>
    <s v="Male"/>
    <s v="Blouse"/>
    <x v="0"/>
    <n v="97"/>
    <x v="3"/>
    <s v="L"/>
    <s v="Green"/>
    <x v="1"/>
    <n v="5"/>
    <s v="No"/>
    <s v="Debit Card"/>
    <s v="Express"/>
    <s v="Yes"/>
    <s v="Yes"/>
    <n v="5"/>
    <x v="0"/>
    <s v="Quarterly"/>
    <n v="1"/>
    <x v="1"/>
  </r>
  <r>
    <n v="1279"/>
    <n v="28"/>
    <s v="Male"/>
    <s v="Shorts"/>
    <x v="0"/>
    <n v="98"/>
    <x v="40"/>
    <s v="M"/>
    <s v="Violet"/>
    <x v="3"/>
    <n v="2.8"/>
    <s v="No"/>
    <s v="Credit Card"/>
    <s v="Next Day Air"/>
    <s v="Yes"/>
    <s v="Yes"/>
    <n v="31"/>
    <x v="0"/>
    <s v="Fortnightly"/>
    <n v="1"/>
    <x v="3"/>
  </r>
  <r>
    <n v="1280"/>
    <n v="63"/>
    <s v="Male"/>
    <s v="Hoodie"/>
    <x v="0"/>
    <n v="56"/>
    <x v="33"/>
    <s v="L"/>
    <s v="Charcoal"/>
    <x v="3"/>
    <n v="3.7"/>
    <s v="No"/>
    <s v="PayPal"/>
    <s v="Express"/>
    <s v="Yes"/>
    <s v="Yes"/>
    <n v="18"/>
    <x v="5"/>
    <s v="Annually"/>
    <n v="1"/>
    <x v="0"/>
  </r>
  <r>
    <n v="1281"/>
    <n v="30"/>
    <s v="Male"/>
    <s v="Pants"/>
    <x v="0"/>
    <n v="78"/>
    <x v="42"/>
    <s v="L"/>
    <s v="White"/>
    <x v="0"/>
    <n v="4.4000000000000004"/>
    <s v="No"/>
    <s v="PayPal"/>
    <s v="2-Day Shipping"/>
    <s v="Yes"/>
    <s v="Yes"/>
    <n v="39"/>
    <x v="0"/>
    <s v="Every 3 Months"/>
    <n v="1"/>
    <x v="3"/>
  </r>
  <r>
    <n v="1282"/>
    <n v="29"/>
    <s v="Male"/>
    <s v="Belt"/>
    <x v="3"/>
    <n v="81"/>
    <x v="32"/>
    <s v="M"/>
    <s v="Olive"/>
    <x v="1"/>
    <n v="4.5"/>
    <s v="No"/>
    <s v="Cash"/>
    <s v="Store Pickup"/>
    <s v="Yes"/>
    <s v="Yes"/>
    <n v="8"/>
    <x v="0"/>
    <s v="Bi-Weekly"/>
    <n v="1"/>
    <x v="3"/>
  </r>
  <r>
    <n v="1283"/>
    <n v="24"/>
    <s v="Male"/>
    <s v="Shirt"/>
    <x v="0"/>
    <n v="68"/>
    <x v="13"/>
    <s v="L"/>
    <s v="Violet"/>
    <x v="0"/>
    <n v="3"/>
    <s v="No"/>
    <s v="Debit Card"/>
    <s v="Free Shipping"/>
    <s v="Yes"/>
    <s v="Yes"/>
    <n v="20"/>
    <x v="0"/>
    <s v="Monthly"/>
    <n v="1"/>
    <x v="1"/>
  </r>
  <r>
    <n v="1284"/>
    <n v="69"/>
    <s v="Male"/>
    <s v="Shirt"/>
    <x v="0"/>
    <n v="94"/>
    <x v="4"/>
    <s v="M"/>
    <s v="Violet"/>
    <x v="0"/>
    <n v="3.9"/>
    <s v="No"/>
    <s v="Credit Card"/>
    <s v="2-Day Shipping"/>
    <s v="Yes"/>
    <s v="Yes"/>
    <n v="23"/>
    <x v="5"/>
    <s v="Every 3 Months"/>
    <n v="1"/>
    <x v="0"/>
  </r>
  <r>
    <n v="1285"/>
    <n v="65"/>
    <s v="Male"/>
    <s v="Dress"/>
    <x v="0"/>
    <n v="93"/>
    <x v="10"/>
    <s v="M"/>
    <s v="Black"/>
    <x v="1"/>
    <n v="3.9"/>
    <s v="No"/>
    <s v="Bank Transfer"/>
    <s v="Express"/>
    <s v="Yes"/>
    <s v="Yes"/>
    <n v="38"/>
    <x v="3"/>
    <s v="Fortnightly"/>
    <n v="1"/>
    <x v="0"/>
  </r>
  <r>
    <n v="1286"/>
    <n v="64"/>
    <s v="Male"/>
    <s v="Gloves"/>
    <x v="3"/>
    <n v="99"/>
    <x v="17"/>
    <s v="M"/>
    <s v="Charcoal"/>
    <x v="3"/>
    <n v="3.5"/>
    <s v="No"/>
    <s v="Venmo"/>
    <s v="Next Day Air"/>
    <s v="Yes"/>
    <s v="Yes"/>
    <n v="45"/>
    <x v="4"/>
    <s v="Fortnightly"/>
    <n v="1"/>
    <x v="0"/>
  </r>
  <r>
    <n v="1287"/>
    <n v="40"/>
    <s v="Male"/>
    <s v="Gloves"/>
    <x v="3"/>
    <n v="49"/>
    <x v="8"/>
    <s v="L"/>
    <s v="Yellow"/>
    <x v="0"/>
    <n v="4.9000000000000004"/>
    <s v="No"/>
    <s v="Bank Transfer"/>
    <s v="Next Day Air"/>
    <s v="Yes"/>
    <s v="Yes"/>
    <n v="44"/>
    <x v="5"/>
    <s v="Fortnightly"/>
    <n v="1"/>
    <x v="2"/>
  </r>
  <r>
    <n v="1288"/>
    <n v="24"/>
    <s v="Male"/>
    <s v="Jeans"/>
    <x v="0"/>
    <n v="28"/>
    <x v="40"/>
    <s v="XL"/>
    <s v="Blue"/>
    <x v="0"/>
    <n v="3.4"/>
    <s v="No"/>
    <s v="Venmo"/>
    <s v="Standard"/>
    <s v="Yes"/>
    <s v="Yes"/>
    <n v="20"/>
    <x v="3"/>
    <s v="Monthly"/>
    <n v="1"/>
    <x v="1"/>
  </r>
  <r>
    <n v="1289"/>
    <n v="66"/>
    <s v="Male"/>
    <s v="Belt"/>
    <x v="3"/>
    <n v="93"/>
    <x v="45"/>
    <s v="XL"/>
    <s v="Charcoal"/>
    <x v="0"/>
    <n v="4.0999999999999996"/>
    <s v="No"/>
    <s v="Venmo"/>
    <s v="Standard"/>
    <s v="Yes"/>
    <s v="Yes"/>
    <n v="34"/>
    <x v="3"/>
    <s v="Bi-Weekly"/>
    <n v="1"/>
    <x v="0"/>
  </r>
  <r>
    <n v="1290"/>
    <n v="35"/>
    <s v="Male"/>
    <s v="Jacket"/>
    <x v="2"/>
    <n v="24"/>
    <x v="13"/>
    <s v="M"/>
    <s v="Red"/>
    <x v="3"/>
    <n v="2.9"/>
    <s v="No"/>
    <s v="Debit Card"/>
    <s v="Next Day Air"/>
    <s v="Yes"/>
    <s v="Yes"/>
    <n v="10"/>
    <x v="3"/>
    <s v="Weekly"/>
    <n v="1"/>
    <x v="3"/>
  </r>
  <r>
    <n v="1291"/>
    <n v="67"/>
    <s v="Male"/>
    <s v="Skirt"/>
    <x v="0"/>
    <n v="35"/>
    <x v="33"/>
    <s v="M"/>
    <s v="Indigo"/>
    <x v="1"/>
    <n v="3.4"/>
    <s v="No"/>
    <s v="Cash"/>
    <s v="Free Shipping"/>
    <s v="Yes"/>
    <s v="Yes"/>
    <n v="3"/>
    <x v="3"/>
    <s v="Annually"/>
    <n v="1"/>
    <x v="0"/>
  </r>
  <r>
    <n v="1292"/>
    <n v="69"/>
    <s v="Male"/>
    <s v="Sandals"/>
    <x v="1"/>
    <n v="68"/>
    <x v="45"/>
    <s v="S"/>
    <s v="Beige"/>
    <x v="1"/>
    <n v="3.2"/>
    <s v="No"/>
    <s v="Venmo"/>
    <s v="2-Day Shipping"/>
    <s v="Yes"/>
    <s v="Yes"/>
    <n v="23"/>
    <x v="5"/>
    <s v="Fortnightly"/>
    <n v="1"/>
    <x v="0"/>
  </r>
  <r>
    <n v="1293"/>
    <n v="26"/>
    <s v="Male"/>
    <s v="Belt"/>
    <x v="3"/>
    <n v="61"/>
    <x v="0"/>
    <s v="M"/>
    <s v="Maroon"/>
    <x v="2"/>
    <n v="3.9"/>
    <s v="No"/>
    <s v="Debit Card"/>
    <s v="Free Shipping"/>
    <s v="Yes"/>
    <s v="Yes"/>
    <n v="42"/>
    <x v="4"/>
    <s v="Annually"/>
    <n v="1"/>
    <x v="3"/>
  </r>
  <r>
    <n v="1294"/>
    <n v="23"/>
    <s v="Male"/>
    <s v="Sweater"/>
    <x v="0"/>
    <n v="74"/>
    <x v="20"/>
    <s v="XL"/>
    <s v="Yellow"/>
    <x v="3"/>
    <n v="4.0999999999999996"/>
    <s v="No"/>
    <s v="Bank Transfer"/>
    <s v="Standard"/>
    <s v="Yes"/>
    <s v="Yes"/>
    <n v="30"/>
    <x v="5"/>
    <s v="Annually"/>
    <n v="1"/>
    <x v="1"/>
  </r>
  <r>
    <n v="1295"/>
    <n v="27"/>
    <s v="Male"/>
    <s v="Shirt"/>
    <x v="0"/>
    <n v="64"/>
    <x v="21"/>
    <s v="M"/>
    <s v="Silver"/>
    <x v="2"/>
    <n v="4.5"/>
    <s v="No"/>
    <s v="Credit Card"/>
    <s v="Standard"/>
    <s v="Yes"/>
    <s v="Yes"/>
    <n v="21"/>
    <x v="1"/>
    <s v="Every 3 Months"/>
    <n v="1"/>
    <x v="3"/>
  </r>
  <r>
    <n v="1296"/>
    <n v="30"/>
    <s v="Male"/>
    <s v="Sneakers"/>
    <x v="1"/>
    <n v="60"/>
    <x v="35"/>
    <s v="M"/>
    <s v="Olive"/>
    <x v="3"/>
    <n v="2.8"/>
    <s v="No"/>
    <s v="PayPal"/>
    <s v="Standard"/>
    <s v="Yes"/>
    <s v="Yes"/>
    <n v="50"/>
    <x v="3"/>
    <s v="Weekly"/>
    <n v="1"/>
    <x v="3"/>
  </r>
  <r>
    <n v="1297"/>
    <n v="48"/>
    <s v="Male"/>
    <s v="Jeans"/>
    <x v="0"/>
    <n v="29"/>
    <x v="45"/>
    <s v="S"/>
    <s v="Teal"/>
    <x v="1"/>
    <n v="2.8"/>
    <s v="No"/>
    <s v="PayPal"/>
    <s v="Express"/>
    <s v="Yes"/>
    <s v="Yes"/>
    <n v="16"/>
    <x v="1"/>
    <s v="Bi-Weekly"/>
    <n v="1"/>
    <x v="0"/>
  </r>
  <r>
    <n v="1298"/>
    <n v="44"/>
    <s v="Male"/>
    <s v="Sandals"/>
    <x v="1"/>
    <n v="85"/>
    <x v="32"/>
    <s v="M"/>
    <s v="Silver"/>
    <x v="2"/>
    <n v="4.5999999999999996"/>
    <s v="No"/>
    <s v="Debit Card"/>
    <s v="Standard"/>
    <s v="Yes"/>
    <s v="Yes"/>
    <n v="32"/>
    <x v="0"/>
    <s v="Annually"/>
    <n v="1"/>
    <x v="2"/>
  </r>
  <r>
    <n v="1299"/>
    <n v="29"/>
    <s v="Male"/>
    <s v="Pants"/>
    <x v="0"/>
    <n v="81"/>
    <x v="27"/>
    <s v="S"/>
    <s v="Indigo"/>
    <x v="2"/>
    <n v="3"/>
    <s v="No"/>
    <s v="Cash"/>
    <s v="Free Shipping"/>
    <s v="Yes"/>
    <s v="Yes"/>
    <n v="14"/>
    <x v="4"/>
    <s v="Fortnightly"/>
    <n v="1"/>
    <x v="3"/>
  </r>
  <r>
    <n v="1300"/>
    <n v="29"/>
    <s v="Male"/>
    <s v="Belt"/>
    <x v="3"/>
    <n v="23"/>
    <x v="7"/>
    <s v="L"/>
    <s v="Teal"/>
    <x v="3"/>
    <n v="3.6"/>
    <s v="No"/>
    <s v="Bank Transfer"/>
    <s v="2-Day Shipping"/>
    <s v="Yes"/>
    <s v="Yes"/>
    <n v="42"/>
    <x v="0"/>
    <s v="Bi-Weekly"/>
    <n v="1"/>
    <x v="3"/>
  </r>
  <r>
    <n v="1301"/>
    <n v="67"/>
    <s v="Male"/>
    <s v="T-shirt"/>
    <x v="0"/>
    <n v="100"/>
    <x v="8"/>
    <s v="M"/>
    <s v="Charcoal"/>
    <x v="1"/>
    <n v="4.5"/>
    <s v="No"/>
    <s v="Cash"/>
    <s v="Next Day Air"/>
    <s v="Yes"/>
    <s v="Yes"/>
    <n v="47"/>
    <x v="2"/>
    <s v="Every 3 Months"/>
    <n v="1"/>
    <x v="0"/>
  </r>
  <r>
    <n v="1302"/>
    <n v="42"/>
    <s v="Male"/>
    <s v="Shirt"/>
    <x v="0"/>
    <n v="54"/>
    <x v="1"/>
    <s v="M"/>
    <s v="Orange"/>
    <x v="3"/>
    <n v="5"/>
    <s v="No"/>
    <s v="Venmo"/>
    <s v="Express"/>
    <s v="Yes"/>
    <s v="Yes"/>
    <n v="21"/>
    <x v="5"/>
    <s v="Weekly"/>
    <n v="1"/>
    <x v="2"/>
  </r>
  <r>
    <n v="1303"/>
    <n v="23"/>
    <s v="Male"/>
    <s v="Sneakers"/>
    <x v="1"/>
    <n v="25"/>
    <x v="37"/>
    <s v="M"/>
    <s v="Gold"/>
    <x v="3"/>
    <n v="2.9"/>
    <s v="No"/>
    <s v="Bank Transfer"/>
    <s v="Next Day Air"/>
    <s v="Yes"/>
    <s v="Yes"/>
    <n v="37"/>
    <x v="2"/>
    <s v="Monthly"/>
    <n v="1"/>
    <x v="1"/>
  </r>
  <r>
    <n v="1304"/>
    <n v="34"/>
    <s v="Male"/>
    <s v="Blouse"/>
    <x v="0"/>
    <n v="32"/>
    <x v="14"/>
    <s v="L"/>
    <s v="Silver"/>
    <x v="2"/>
    <n v="3.1"/>
    <s v="No"/>
    <s v="Venmo"/>
    <s v="Next Day Air"/>
    <s v="Yes"/>
    <s v="Yes"/>
    <n v="10"/>
    <x v="2"/>
    <s v="Annually"/>
    <n v="1"/>
    <x v="3"/>
  </r>
  <r>
    <n v="1305"/>
    <n v="64"/>
    <s v="Male"/>
    <s v="Backpack"/>
    <x v="3"/>
    <n v="63"/>
    <x v="6"/>
    <s v="S"/>
    <s v="Orange"/>
    <x v="1"/>
    <n v="4"/>
    <s v="No"/>
    <s v="Bank Transfer"/>
    <s v="2-Day Shipping"/>
    <s v="Yes"/>
    <s v="Yes"/>
    <n v="18"/>
    <x v="3"/>
    <s v="Every 3 Months"/>
    <n v="1"/>
    <x v="0"/>
  </r>
  <r>
    <n v="1306"/>
    <n v="31"/>
    <s v="Male"/>
    <s v="Pants"/>
    <x v="0"/>
    <n v="56"/>
    <x v="16"/>
    <s v="XL"/>
    <s v="Peach"/>
    <x v="1"/>
    <n v="4.5"/>
    <s v="No"/>
    <s v="Venmo"/>
    <s v="Express"/>
    <s v="Yes"/>
    <s v="Yes"/>
    <n v="2"/>
    <x v="3"/>
    <s v="Every 3 Months"/>
    <n v="1"/>
    <x v="3"/>
  </r>
  <r>
    <n v="1307"/>
    <n v="54"/>
    <s v="Male"/>
    <s v="Sweater"/>
    <x v="0"/>
    <n v="33"/>
    <x v="29"/>
    <s v="L"/>
    <s v="Brown"/>
    <x v="0"/>
    <n v="4.5"/>
    <s v="No"/>
    <s v="Cash"/>
    <s v="Next Day Air"/>
    <s v="Yes"/>
    <s v="Yes"/>
    <n v="40"/>
    <x v="3"/>
    <s v="Annually"/>
    <n v="1"/>
    <x v="0"/>
  </r>
  <r>
    <n v="1308"/>
    <n v="23"/>
    <s v="Male"/>
    <s v="Coat"/>
    <x v="2"/>
    <n v="32"/>
    <x v="9"/>
    <s v="L"/>
    <s v="Black"/>
    <x v="2"/>
    <n v="3.1"/>
    <s v="No"/>
    <s v="PayPal"/>
    <s v="Express"/>
    <s v="Yes"/>
    <s v="Yes"/>
    <n v="43"/>
    <x v="3"/>
    <s v="Annually"/>
    <n v="1"/>
    <x v="1"/>
  </r>
  <r>
    <n v="1309"/>
    <n v="59"/>
    <s v="Male"/>
    <s v="Dress"/>
    <x v="0"/>
    <n v="38"/>
    <x v="3"/>
    <s v="L"/>
    <s v="Red"/>
    <x v="2"/>
    <n v="4.4000000000000004"/>
    <s v="No"/>
    <s v="Credit Card"/>
    <s v="Next Day Air"/>
    <s v="Yes"/>
    <s v="Yes"/>
    <n v="14"/>
    <x v="2"/>
    <s v="Every 3 Months"/>
    <n v="1"/>
    <x v="0"/>
  </r>
  <r>
    <n v="1310"/>
    <n v="32"/>
    <s v="Male"/>
    <s v="Blouse"/>
    <x v="0"/>
    <n v="21"/>
    <x v="11"/>
    <s v="L"/>
    <s v="Lavender"/>
    <x v="2"/>
    <n v="4.7"/>
    <s v="No"/>
    <s v="Bank Transfer"/>
    <s v="Store Pickup"/>
    <s v="Yes"/>
    <s v="Yes"/>
    <n v="41"/>
    <x v="1"/>
    <s v="Quarterly"/>
    <n v="1"/>
    <x v="3"/>
  </r>
  <r>
    <n v="1311"/>
    <n v="43"/>
    <s v="Male"/>
    <s v="Hoodie"/>
    <x v="0"/>
    <n v="59"/>
    <x v="36"/>
    <s v="L"/>
    <s v="Brown"/>
    <x v="0"/>
    <n v="3.1"/>
    <s v="No"/>
    <s v="Credit Card"/>
    <s v="Store Pickup"/>
    <s v="Yes"/>
    <s v="Yes"/>
    <n v="38"/>
    <x v="2"/>
    <s v="Every 3 Months"/>
    <n v="1"/>
    <x v="2"/>
  </r>
  <r>
    <n v="1312"/>
    <n v="32"/>
    <s v="Male"/>
    <s v="Shoes"/>
    <x v="1"/>
    <n v="87"/>
    <x v="30"/>
    <s v="M"/>
    <s v="Maroon"/>
    <x v="3"/>
    <n v="4.2"/>
    <s v="No"/>
    <s v="Credit Card"/>
    <s v="Express"/>
    <s v="Yes"/>
    <s v="Yes"/>
    <n v="12"/>
    <x v="0"/>
    <s v="Annually"/>
    <n v="1"/>
    <x v="3"/>
  </r>
  <r>
    <n v="1313"/>
    <n v="66"/>
    <s v="Male"/>
    <s v="T-shirt"/>
    <x v="0"/>
    <n v="79"/>
    <x v="9"/>
    <s v="M"/>
    <s v="Violet"/>
    <x v="0"/>
    <n v="3"/>
    <s v="No"/>
    <s v="Venmo"/>
    <s v="Store Pickup"/>
    <s v="Yes"/>
    <s v="Yes"/>
    <n v="19"/>
    <x v="4"/>
    <s v="Monthly"/>
    <n v="1"/>
    <x v="0"/>
  </r>
  <r>
    <n v="1314"/>
    <n v="70"/>
    <s v="Male"/>
    <s v="Shoes"/>
    <x v="1"/>
    <n v="28"/>
    <x v="9"/>
    <s v="M"/>
    <s v="Lavender"/>
    <x v="2"/>
    <n v="2.6"/>
    <s v="No"/>
    <s v="Cash"/>
    <s v="Free Shipping"/>
    <s v="Yes"/>
    <s v="Yes"/>
    <n v="23"/>
    <x v="2"/>
    <s v="Bi-Weekly"/>
    <n v="1"/>
    <x v="0"/>
  </r>
  <r>
    <n v="1315"/>
    <n v="42"/>
    <s v="Male"/>
    <s v="Boots"/>
    <x v="1"/>
    <n v="67"/>
    <x v="9"/>
    <s v="S"/>
    <s v="Magenta"/>
    <x v="2"/>
    <n v="3.4"/>
    <s v="No"/>
    <s v="Venmo"/>
    <s v="Free Shipping"/>
    <s v="Yes"/>
    <s v="Yes"/>
    <n v="49"/>
    <x v="5"/>
    <s v="Annually"/>
    <n v="1"/>
    <x v="2"/>
  </r>
  <r>
    <n v="1316"/>
    <n v="56"/>
    <s v="Male"/>
    <s v="Shorts"/>
    <x v="0"/>
    <n v="75"/>
    <x v="16"/>
    <s v="L"/>
    <s v="Green"/>
    <x v="1"/>
    <n v="4.2"/>
    <s v="No"/>
    <s v="PayPal"/>
    <s v="2-Day Shipping"/>
    <s v="Yes"/>
    <s v="Yes"/>
    <n v="29"/>
    <x v="5"/>
    <s v="Quarterly"/>
    <n v="1"/>
    <x v="0"/>
  </r>
  <r>
    <n v="1317"/>
    <n v="28"/>
    <s v="Male"/>
    <s v="Belt"/>
    <x v="3"/>
    <n v="32"/>
    <x v="10"/>
    <s v="S"/>
    <s v="Lavender"/>
    <x v="1"/>
    <n v="4.5999999999999996"/>
    <s v="No"/>
    <s v="PayPal"/>
    <s v="Standard"/>
    <s v="Yes"/>
    <s v="Yes"/>
    <n v="14"/>
    <x v="5"/>
    <s v="Bi-Weekly"/>
    <n v="1"/>
    <x v="3"/>
  </r>
  <r>
    <n v="1318"/>
    <n v="28"/>
    <s v="Male"/>
    <s v="Pants"/>
    <x v="0"/>
    <n v="43"/>
    <x v="0"/>
    <s v="M"/>
    <s v="Green"/>
    <x v="1"/>
    <n v="2.8"/>
    <s v="No"/>
    <s v="Credit Card"/>
    <s v="Free Shipping"/>
    <s v="Yes"/>
    <s v="Yes"/>
    <n v="19"/>
    <x v="1"/>
    <s v="Monthly"/>
    <n v="1"/>
    <x v="3"/>
  </r>
  <r>
    <n v="1319"/>
    <n v="52"/>
    <s v="Male"/>
    <s v="Shorts"/>
    <x v="0"/>
    <n v="93"/>
    <x v="39"/>
    <s v="M"/>
    <s v="Maroon"/>
    <x v="1"/>
    <n v="2.7"/>
    <s v="No"/>
    <s v="Venmo"/>
    <s v="Express"/>
    <s v="Yes"/>
    <s v="Yes"/>
    <n v="19"/>
    <x v="2"/>
    <s v="Bi-Weekly"/>
    <n v="1"/>
    <x v="0"/>
  </r>
  <r>
    <n v="1320"/>
    <n v="65"/>
    <s v="Male"/>
    <s v="Sunglasses"/>
    <x v="3"/>
    <n v="24"/>
    <x v="19"/>
    <s v="M"/>
    <s v="Magenta"/>
    <x v="1"/>
    <n v="4"/>
    <s v="No"/>
    <s v="Credit Card"/>
    <s v="Standard"/>
    <s v="Yes"/>
    <s v="Yes"/>
    <n v="48"/>
    <x v="4"/>
    <s v="Weekly"/>
    <n v="1"/>
    <x v="0"/>
  </r>
  <r>
    <n v="1321"/>
    <n v="56"/>
    <s v="Male"/>
    <s v="Hat"/>
    <x v="3"/>
    <n v="31"/>
    <x v="18"/>
    <s v="XL"/>
    <s v="Teal"/>
    <x v="3"/>
    <n v="3.1"/>
    <s v="No"/>
    <s v="PayPal"/>
    <s v="Free Shipping"/>
    <s v="Yes"/>
    <s v="Yes"/>
    <n v="19"/>
    <x v="5"/>
    <s v="Annually"/>
    <n v="1"/>
    <x v="0"/>
  </r>
  <r>
    <n v="1322"/>
    <n v="59"/>
    <s v="Male"/>
    <s v="T-shirt"/>
    <x v="0"/>
    <n v="84"/>
    <x v="9"/>
    <s v="L"/>
    <s v="Orange"/>
    <x v="0"/>
    <n v="3.7"/>
    <s v="No"/>
    <s v="Credit Card"/>
    <s v="Express"/>
    <s v="Yes"/>
    <s v="Yes"/>
    <n v="45"/>
    <x v="4"/>
    <s v="Every 3 Months"/>
    <n v="1"/>
    <x v="0"/>
  </r>
  <r>
    <n v="1323"/>
    <n v="23"/>
    <s v="Male"/>
    <s v="Pants"/>
    <x v="0"/>
    <n v="74"/>
    <x v="47"/>
    <s v="M"/>
    <s v="Violet"/>
    <x v="0"/>
    <n v="4"/>
    <s v="No"/>
    <s v="Credit Card"/>
    <s v="Next Day Air"/>
    <s v="Yes"/>
    <s v="Yes"/>
    <n v="17"/>
    <x v="4"/>
    <s v="Quarterly"/>
    <n v="1"/>
    <x v="1"/>
  </r>
  <r>
    <n v="1324"/>
    <n v="58"/>
    <s v="Male"/>
    <s v="Shorts"/>
    <x v="0"/>
    <n v="62"/>
    <x v="14"/>
    <s v="M"/>
    <s v="Yellow"/>
    <x v="1"/>
    <n v="4.5999999999999996"/>
    <s v="No"/>
    <s v="Cash"/>
    <s v="Standard"/>
    <s v="Yes"/>
    <s v="Yes"/>
    <n v="15"/>
    <x v="5"/>
    <s v="Every 3 Months"/>
    <n v="1"/>
    <x v="0"/>
  </r>
  <r>
    <n v="1325"/>
    <n v="39"/>
    <s v="Male"/>
    <s v="Jewelry"/>
    <x v="3"/>
    <n v="77"/>
    <x v="27"/>
    <s v="S"/>
    <s v="Orange"/>
    <x v="2"/>
    <n v="3.8"/>
    <s v="No"/>
    <s v="Credit Card"/>
    <s v="Free Shipping"/>
    <s v="Yes"/>
    <s v="Yes"/>
    <n v="11"/>
    <x v="2"/>
    <s v="Fortnightly"/>
    <n v="1"/>
    <x v="2"/>
  </r>
  <r>
    <n v="1326"/>
    <n v="28"/>
    <s v="Male"/>
    <s v="Backpack"/>
    <x v="3"/>
    <n v="73"/>
    <x v="4"/>
    <s v="L"/>
    <s v="Gold"/>
    <x v="2"/>
    <n v="3.5"/>
    <s v="No"/>
    <s v="Venmo"/>
    <s v="Express"/>
    <s v="Yes"/>
    <s v="Yes"/>
    <n v="1"/>
    <x v="1"/>
    <s v="Monthly"/>
    <n v="1"/>
    <x v="3"/>
  </r>
  <r>
    <n v="1327"/>
    <n v="40"/>
    <s v="Male"/>
    <s v="Shoes"/>
    <x v="1"/>
    <n v="50"/>
    <x v="21"/>
    <s v="M"/>
    <s v="Indigo"/>
    <x v="1"/>
    <n v="4.5999999999999996"/>
    <s v="No"/>
    <s v="Bank Transfer"/>
    <s v="Free Shipping"/>
    <s v="Yes"/>
    <s v="Yes"/>
    <n v="17"/>
    <x v="1"/>
    <s v="Monthly"/>
    <n v="1"/>
    <x v="2"/>
  </r>
  <r>
    <n v="1328"/>
    <n v="52"/>
    <s v="Male"/>
    <s v="Coat"/>
    <x v="2"/>
    <n v="40"/>
    <x v="20"/>
    <s v="M"/>
    <s v="Turquoise"/>
    <x v="0"/>
    <n v="2.8"/>
    <s v="No"/>
    <s v="Credit Card"/>
    <s v="Standard"/>
    <s v="Yes"/>
    <s v="Yes"/>
    <n v="37"/>
    <x v="1"/>
    <s v="Weekly"/>
    <n v="1"/>
    <x v="0"/>
  </r>
  <r>
    <n v="1329"/>
    <n v="37"/>
    <s v="Male"/>
    <s v="Sweater"/>
    <x v="0"/>
    <n v="97"/>
    <x v="3"/>
    <s v="M"/>
    <s v="Orange"/>
    <x v="0"/>
    <n v="3.7"/>
    <s v="No"/>
    <s v="Debit Card"/>
    <s v="Standard"/>
    <s v="Yes"/>
    <s v="Yes"/>
    <n v="40"/>
    <x v="4"/>
    <s v="Weekly"/>
    <n v="1"/>
    <x v="2"/>
  </r>
  <r>
    <n v="1330"/>
    <n v="70"/>
    <s v="Male"/>
    <s v="Gloves"/>
    <x v="3"/>
    <n v="63"/>
    <x v="21"/>
    <s v="M"/>
    <s v="Indigo"/>
    <x v="3"/>
    <n v="3.3"/>
    <s v="No"/>
    <s v="PayPal"/>
    <s v="Express"/>
    <s v="Yes"/>
    <s v="Yes"/>
    <n v="50"/>
    <x v="3"/>
    <s v="Every 3 Months"/>
    <n v="1"/>
    <x v="0"/>
  </r>
  <r>
    <n v="1331"/>
    <n v="30"/>
    <s v="Male"/>
    <s v="Handbag"/>
    <x v="3"/>
    <n v="65"/>
    <x v="34"/>
    <s v="M"/>
    <s v="Charcoal"/>
    <x v="3"/>
    <n v="2.9"/>
    <s v="No"/>
    <s v="Credit Card"/>
    <s v="Standard"/>
    <s v="Yes"/>
    <s v="Yes"/>
    <n v="20"/>
    <x v="3"/>
    <s v="Bi-Weekly"/>
    <n v="1"/>
    <x v="3"/>
  </r>
  <r>
    <n v="1332"/>
    <n v="38"/>
    <s v="Male"/>
    <s v="Socks"/>
    <x v="0"/>
    <n v="91"/>
    <x v="33"/>
    <s v="M"/>
    <s v="Lavender"/>
    <x v="1"/>
    <n v="3.2"/>
    <s v="No"/>
    <s v="Credit Card"/>
    <s v="Standard"/>
    <s v="Yes"/>
    <s v="Yes"/>
    <n v="8"/>
    <x v="3"/>
    <s v="Bi-Weekly"/>
    <n v="1"/>
    <x v="2"/>
  </r>
  <r>
    <n v="1333"/>
    <n v="66"/>
    <s v="Male"/>
    <s v="Hoodie"/>
    <x v="0"/>
    <n v="60"/>
    <x v="29"/>
    <s v="S"/>
    <s v="Gold"/>
    <x v="1"/>
    <n v="4.3"/>
    <s v="No"/>
    <s v="Bank Transfer"/>
    <s v="Store Pickup"/>
    <s v="Yes"/>
    <s v="Yes"/>
    <n v="16"/>
    <x v="4"/>
    <s v="Quarterly"/>
    <n v="1"/>
    <x v="0"/>
  </r>
  <r>
    <n v="1334"/>
    <n v="29"/>
    <s v="Male"/>
    <s v="Pants"/>
    <x v="0"/>
    <n v="69"/>
    <x v="37"/>
    <s v="M"/>
    <s v="Lavender"/>
    <x v="0"/>
    <n v="2.7"/>
    <s v="No"/>
    <s v="Cash"/>
    <s v="Next Day Air"/>
    <s v="Yes"/>
    <s v="Yes"/>
    <n v="9"/>
    <x v="4"/>
    <s v="Quarterly"/>
    <n v="1"/>
    <x v="3"/>
  </r>
  <r>
    <n v="1335"/>
    <n v="46"/>
    <s v="Male"/>
    <s v="Coat"/>
    <x v="2"/>
    <n v="52"/>
    <x v="8"/>
    <s v="S"/>
    <s v="White"/>
    <x v="1"/>
    <n v="4.2"/>
    <s v="No"/>
    <s v="Debit Card"/>
    <s v="Store Pickup"/>
    <s v="Yes"/>
    <s v="Yes"/>
    <n v="12"/>
    <x v="0"/>
    <s v="Monthly"/>
    <n v="1"/>
    <x v="0"/>
  </r>
  <r>
    <n v="1336"/>
    <n v="56"/>
    <s v="Male"/>
    <s v="Boots"/>
    <x v="1"/>
    <n v="49"/>
    <x v="22"/>
    <s v="M"/>
    <s v="Lavender"/>
    <x v="3"/>
    <n v="4.8"/>
    <s v="No"/>
    <s v="Credit Card"/>
    <s v="2-Day Shipping"/>
    <s v="Yes"/>
    <s v="Yes"/>
    <n v="26"/>
    <x v="2"/>
    <s v="Weekly"/>
    <n v="1"/>
    <x v="0"/>
  </r>
  <r>
    <n v="1337"/>
    <n v="23"/>
    <s v="Male"/>
    <s v="Sneakers"/>
    <x v="1"/>
    <n v="85"/>
    <x v="4"/>
    <s v="M"/>
    <s v="Charcoal"/>
    <x v="1"/>
    <n v="4.8"/>
    <s v="No"/>
    <s v="PayPal"/>
    <s v="Store Pickup"/>
    <s v="Yes"/>
    <s v="Yes"/>
    <n v="44"/>
    <x v="5"/>
    <s v="Fortnightly"/>
    <n v="1"/>
    <x v="1"/>
  </r>
  <r>
    <n v="1338"/>
    <n v="37"/>
    <s v="Male"/>
    <s v="Sweater"/>
    <x v="0"/>
    <n v="86"/>
    <x v="30"/>
    <s v="L"/>
    <s v="Silver"/>
    <x v="1"/>
    <n v="3.4"/>
    <s v="No"/>
    <s v="Venmo"/>
    <s v="Express"/>
    <s v="Yes"/>
    <s v="Yes"/>
    <n v="19"/>
    <x v="2"/>
    <s v="Bi-Weekly"/>
    <n v="1"/>
    <x v="2"/>
  </r>
  <r>
    <n v="1339"/>
    <n v="56"/>
    <s v="Male"/>
    <s v="Handbag"/>
    <x v="3"/>
    <n v="51"/>
    <x v="15"/>
    <s v="S"/>
    <s v="Yellow"/>
    <x v="0"/>
    <n v="2.6"/>
    <s v="No"/>
    <s v="Bank Transfer"/>
    <s v="Standard"/>
    <s v="Yes"/>
    <s v="Yes"/>
    <n v="43"/>
    <x v="3"/>
    <s v="Fortnightly"/>
    <n v="1"/>
    <x v="0"/>
  </r>
  <r>
    <n v="1340"/>
    <n v="36"/>
    <s v="Male"/>
    <s v="Belt"/>
    <x v="3"/>
    <n v="56"/>
    <x v="27"/>
    <s v="L"/>
    <s v="Olive"/>
    <x v="0"/>
    <n v="5"/>
    <s v="No"/>
    <s v="PayPal"/>
    <s v="Next Day Air"/>
    <s v="Yes"/>
    <s v="Yes"/>
    <n v="5"/>
    <x v="4"/>
    <s v="Every 3 Months"/>
    <n v="1"/>
    <x v="2"/>
  </r>
  <r>
    <n v="1341"/>
    <n v="40"/>
    <s v="Male"/>
    <s v="Belt"/>
    <x v="3"/>
    <n v="72"/>
    <x v="37"/>
    <s v="M"/>
    <s v="Peach"/>
    <x v="3"/>
    <n v="4.4000000000000004"/>
    <s v="No"/>
    <s v="Credit Card"/>
    <s v="Next Day Air"/>
    <s v="Yes"/>
    <s v="Yes"/>
    <n v="5"/>
    <x v="5"/>
    <s v="Every 3 Months"/>
    <n v="1"/>
    <x v="2"/>
  </r>
  <r>
    <n v="1342"/>
    <n v="26"/>
    <s v="Male"/>
    <s v="Hoodie"/>
    <x v="0"/>
    <n v="27"/>
    <x v="3"/>
    <s v="XL"/>
    <s v="Yellow"/>
    <x v="3"/>
    <n v="2.9"/>
    <s v="No"/>
    <s v="Debit Card"/>
    <s v="Standard"/>
    <s v="Yes"/>
    <s v="Yes"/>
    <n v="31"/>
    <x v="4"/>
    <s v="Quarterly"/>
    <n v="1"/>
    <x v="3"/>
  </r>
  <r>
    <n v="1343"/>
    <n v="57"/>
    <s v="Male"/>
    <s v="Sunglasses"/>
    <x v="3"/>
    <n v="43"/>
    <x v="28"/>
    <s v="XL"/>
    <s v="Yellow"/>
    <x v="2"/>
    <n v="3.4"/>
    <s v="No"/>
    <s v="Cash"/>
    <s v="2-Day Shipping"/>
    <s v="Yes"/>
    <s v="Yes"/>
    <n v="11"/>
    <x v="4"/>
    <s v="Monthly"/>
    <n v="1"/>
    <x v="0"/>
  </r>
  <r>
    <n v="1344"/>
    <n v="68"/>
    <s v="Male"/>
    <s v="Sneakers"/>
    <x v="1"/>
    <n v="56"/>
    <x v="20"/>
    <s v="M"/>
    <s v="Indigo"/>
    <x v="1"/>
    <n v="3.4"/>
    <s v="No"/>
    <s v="Venmo"/>
    <s v="Standard"/>
    <s v="Yes"/>
    <s v="Yes"/>
    <n v="34"/>
    <x v="4"/>
    <s v="Monthly"/>
    <n v="1"/>
    <x v="0"/>
  </r>
  <r>
    <n v="1345"/>
    <n v="56"/>
    <s v="Male"/>
    <s v="T-shirt"/>
    <x v="0"/>
    <n v="37"/>
    <x v="14"/>
    <s v="S"/>
    <s v="Violet"/>
    <x v="3"/>
    <n v="4.9000000000000004"/>
    <s v="No"/>
    <s v="Credit Card"/>
    <s v="Next Day Air"/>
    <s v="Yes"/>
    <s v="Yes"/>
    <n v="14"/>
    <x v="1"/>
    <s v="Annually"/>
    <n v="1"/>
    <x v="0"/>
  </r>
  <r>
    <n v="1346"/>
    <n v="40"/>
    <s v="Male"/>
    <s v="Dress"/>
    <x v="0"/>
    <n v="21"/>
    <x v="43"/>
    <s v="M"/>
    <s v="White"/>
    <x v="3"/>
    <n v="3.6"/>
    <s v="No"/>
    <s v="Credit Card"/>
    <s v="Standard"/>
    <s v="Yes"/>
    <s v="Yes"/>
    <n v="42"/>
    <x v="0"/>
    <s v="Weekly"/>
    <n v="1"/>
    <x v="2"/>
  </r>
  <r>
    <n v="1347"/>
    <n v="44"/>
    <s v="Male"/>
    <s v="Hoodie"/>
    <x v="0"/>
    <n v="91"/>
    <x v="16"/>
    <s v="L"/>
    <s v="White"/>
    <x v="0"/>
    <n v="3"/>
    <s v="No"/>
    <s v="Credit Card"/>
    <s v="Free Shipping"/>
    <s v="Yes"/>
    <s v="Yes"/>
    <n v="15"/>
    <x v="0"/>
    <s v="Bi-Weekly"/>
    <n v="1"/>
    <x v="2"/>
  </r>
  <r>
    <n v="1348"/>
    <n v="44"/>
    <s v="Male"/>
    <s v="Sweater"/>
    <x v="0"/>
    <n v="95"/>
    <x v="34"/>
    <s v="M"/>
    <s v="Cyan"/>
    <x v="2"/>
    <n v="3.9"/>
    <s v="No"/>
    <s v="Venmo"/>
    <s v="2-Day Shipping"/>
    <s v="Yes"/>
    <s v="Yes"/>
    <n v="47"/>
    <x v="4"/>
    <s v="Monthly"/>
    <n v="1"/>
    <x v="2"/>
  </r>
  <r>
    <n v="1349"/>
    <n v="19"/>
    <s v="Male"/>
    <s v="Belt"/>
    <x v="3"/>
    <n v="54"/>
    <x v="43"/>
    <s v="XL"/>
    <s v="Purple"/>
    <x v="1"/>
    <n v="3.2"/>
    <s v="No"/>
    <s v="PayPal"/>
    <s v="Standard"/>
    <s v="Yes"/>
    <s v="Yes"/>
    <n v="23"/>
    <x v="2"/>
    <s v="Fortnightly"/>
    <n v="1"/>
    <x v="1"/>
  </r>
  <r>
    <n v="1350"/>
    <n v="21"/>
    <s v="Male"/>
    <s v="Socks"/>
    <x v="0"/>
    <n v="36"/>
    <x v="36"/>
    <s v="XL"/>
    <s v="Black"/>
    <x v="1"/>
    <n v="3.2"/>
    <s v="No"/>
    <s v="Bank Transfer"/>
    <s v="Next Day Air"/>
    <s v="Yes"/>
    <s v="Yes"/>
    <n v="23"/>
    <x v="1"/>
    <s v="Bi-Weekly"/>
    <n v="1"/>
    <x v="1"/>
  </r>
  <r>
    <n v="1351"/>
    <n v="31"/>
    <s v="Male"/>
    <s v="Sunglasses"/>
    <x v="3"/>
    <n v="71"/>
    <x v="12"/>
    <s v="M"/>
    <s v="Orange"/>
    <x v="3"/>
    <n v="4.3"/>
    <s v="No"/>
    <s v="Cash"/>
    <s v="Next Day Air"/>
    <s v="Yes"/>
    <s v="Yes"/>
    <n v="1"/>
    <x v="1"/>
    <s v="Every 3 Months"/>
    <n v="1"/>
    <x v="3"/>
  </r>
  <r>
    <n v="1352"/>
    <n v="30"/>
    <s v="Male"/>
    <s v="Coat"/>
    <x v="2"/>
    <n v="31"/>
    <x v="34"/>
    <s v="L"/>
    <s v="Maroon"/>
    <x v="2"/>
    <n v="2.8"/>
    <s v="No"/>
    <s v="Credit Card"/>
    <s v="2-Day Shipping"/>
    <s v="Yes"/>
    <s v="Yes"/>
    <n v="28"/>
    <x v="4"/>
    <s v="Quarterly"/>
    <n v="1"/>
    <x v="3"/>
  </r>
  <r>
    <n v="1353"/>
    <n v="65"/>
    <s v="Male"/>
    <s v="Hat"/>
    <x v="3"/>
    <n v="89"/>
    <x v="27"/>
    <s v="XL"/>
    <s v="Orange"/>
    <x v="1"/>
    <n v="4.5"/>
    <s v="No"/>
    <s v="Bank Transfer"/>
    <s v="Next Day Air"/>
    <s v="Yes"/>
    <s v="Yes"/>
    <n v="37"/>
    <x v="2"/>
    <s v="Bi-Weekly"/>
    <n v="1"/>
    <x v="0"/>
  </r>
  <r>
    <n v="1354"/>
    <n v="39"/>
    <s v="Male"/>
    <s v="Pants"/>
    <x v="0"/>
    <n v="83"/>
    <x v="4"/>
    <s v="M"/>
    <s v="Teal"/>
    <x v="0"/>
    <n v="4.0999999999999996"/>
    <s v="No"/>
    <s v="Bank Transfer"/>
    <s v="Next Day Air"/>
    <s v="Yes"/>
    <s v="Yes"/>
    <n v="4"/>
    <x v="1"/>
    <s v="Every 3 Months"/>
    <n v="1"/>
    <x v="2"/>
  </r>
  <r>
    <n v="1355"/>
    <n v="64"/>
    <s v="Male"/>
    <s v="Backpack"/>
    <x v="3"/>
    <n v="42"/>
    <x v="33"/>
    <s v="M"/>
    <s v="Gray"/>
    <x v="1"/>
    <n v="3.6"/>
    <s v="No"/>
    <s v="Debit Card"/>
    <s v="2-Day Shipping"/>
    <s v="Yes"/>
    <s v="Yes"/>
    <n v="21"/>
    <x v="4"/>
    <s v="Quarterly"/>
    <n v="1"/>
    <x v="0"/>
  </r>
  <r>
    <n v="1356"/>
    <n v="59"/>
    <s v="Male"/>
    <s v="Shorts"/>
    <x v="0"/>
    <n v="91"/>
    <x v="20"/>
    <s v="M"/>
    <s v="Blue"/>
    <x v="2"/>
    <n v="3"/>
    <s v="No"/>
    <s v="Venmo"/>
    <s v="2-Day Shipping"/>
    <s v="Yes"/>
    <s v="Yes"/>
    <n v="50"/>
    <x v="3"/>
    <s v="Bi-Weekly"/>
    <n v="1"/>
    <x v="0"/>
  </r>
  <r>
    <n v="1357"/>
    <n v="49"/>
    <s v="Male"/>
    <s v="Jacket"/>
    <x v="2"/>
    <n v="61"/>
    <x v="27"/>
    <s v="M"/>
    <s v="Cyan"/>
    <x v="1"/>
    <n v="4"/>
    <s v="No"/>
    <s v="Debit Card"/>
    <s v="Free Shipping"/>
    <s v="Yes"/>
    <s v="Yes"/>
    <n v="34"/>
    <x v="4"/>
    <s v="Annually"/>
    <n v="1"/>
    <x v="0"/>
  </r>
  <r>
    <n v="1358"/>
    <n v="24"/>
    <s v="Male"/>
    <s v="Backpack"/>
    <x v="3"/>
    <n v="66"/>
    <x v="21"/>
    <s v="S"/>
    <s v="Red"/>
    <x v="2"/>
    <n v="3.5"/>
    <s v="No"/>
    <s v="Venmo"/>
    <s v="Next Day Air"/>
    <s v="Yes"/>
    <s v="Yes"/>
    <n v="20"/>
    <x v="1"/>
    <s v="Quarterly"/>
    <n v="1"/>
    <x v="1"/>
  </r>
  <r>
    <n v="1359"/>
    <n v="19"/>
    <s v="Male"/>
    <s v="Scarf"/>
    <x v="3"/>
    <n v="22"/>
    <x v="43"/>
    <s v="XL"/>
    <s v="Pink"/>
    <x v="1"/>
    <n v="2.5"/>
    <s v="No"/>
    <s v="Debit Card"/>
    <s v="Store Pickup"/>
    <s v="Yes"/>
    <s v="Yes"/>
    <n v="25"/>
    <x v="0"/>
    <s v="Every 3 Months"/>
    <n v="1"/>
    <x v="1"/>
  </r>
  <r>
    <n v="1360"/>
    <n v="27"/>
    <s v="Male"/>
    <s v="Hoodie"/>
    <x v="0"/>
    <n v="68"/>
    <x v="17"/>
    <s v="S"/>
    <s v="Cyan"/>
    <x v="0"/>
    <n v="4.3"/>
    <s v="No"/>
    <s v="Debit Card"/>
    <s v="Store Pickup"/>
    <s v="Yes"/>
    <s v="Yes"/>
    <n v="26"/>
    <x v="4"/>
    <s v="Fortnightly"/>
    <n v="1"/>
    <x v="3"/>
  </r>
  <r>
    <n v="1361"/>
    <n v="56"/>
    <s v="Male"/>
    <s v="Skirt"/>
    <x v="0"/>
    <n v="43"/>
    <x v="15"/>
    <s v="L"/>
    <s v="Black"/>
    <x v="3"/>
    <n v="2.8"/>
    <s v="No"/>
    <s v="Bank Transfer"/>
    <s v="Express"/>
    <s v="Yes"/>
    <s v="Yes"/>
    <n v="4"/>
    <x v="4"/>
    <s v="Annually"/>
    <n v="1"/>
    <x v="0"/>
  </r>
  <r>
    <n v="1362"/>
    <n v="49"/>
    <s v="Male"/>
    <s v="Dress"/>
    <x v="0"/>
    <n v="32"/>
    <x v="15"/>
    <s v="M"/>
    <s v="Beige"/>
    <x v="3"/>
    <n v="3.7"/>
    <s v="No"/>
    <s v="Cash"/>
    <s v="Next Day Air"/>
    <s v="Yes"/>
    <s v="Yes"/>
    <n v="39"/>
    <x v="5"/>
    <s v="Monthly"/>
    <n v="1"/>
    <x v="0"/>
  </r>
  <r>
    <n v="1363"/>
    <n v="41"/>
    <s v="Male"/>
    <s v="Coat"/>
    <x v="2"/>
    <n v="46"/>
    <x v="24"/>
    <s v="M"/>
    <s v="Gray"/>
    <x v="3"/>
    <n v="4.3"/>
    <s v="No"/>
    <s v="Cash"/>
    <s v="Express"/>
    <s v="Yes"/>
    <s v="Yes"/>
    <n v="29"/>
    <x v="1"/>
    <s v="Weekly"/>
    <n v="1"/>
    <x v="2"/>
  </r>
  <r>
    <n v="1364"/>
    <n v="36"/>
    <s v="Male"/>
    <s v="Blouse"/>
    <x v="0"/>
    <n v="90"/>
    <x v="48"/>
    <s v="L"/>
    <s v="Red"/>
    <x v="2"/>
    <n v="4"/>
    <s v="No"/>
    <s v="Bank Transfer"/>
    <s v="Express"/>
    <s v="Yes"/>
    <s v="Yes"/>
    <n v="47"/>
    <x v="3"/>
    <s v="Quarterly"/>
    <n v="1"/>
    <x v="2"/>
  </r>
  <r>
    <n v="1365"/>
    <n v="68"/>
    <s v="Male"/>
    <s v="Hat"/>
    <x v="3"/>
    <n v="75"/>
    <x v="12"/>
    <s v="L"/>
    <s v="Yellow"/>
    <x v="3"/>
    <n v="4.7"/>
    <s v="No"/>
    <s v="Cash"/>
    <s v="Express"/>
    <s v="Yes"/>
    <s v="Yes"/>
    <n v="5"/>
    <x v="1"/>
    <s v="Every 3 Months"/>
    <n v="1"/>
    <x v="0"/>
  </r>
  <r>
    <n v="1366"/>
    <n v="28"/>
    <s v="Male"/>
    <s v="Handbag"/>
    <x v="3"/>
    <n v="69"/>
    <x v="27"/>
    <s v="M"/>
    <s v="Magenta"/>
    <x v="0"/>
    <n v="4.5"/>
    <s v="No"/>
    <s v="PayPal"/>
    <s v="Store Pickup"/>
    <s v="Yes"/>
    <s v="Yes"/>
    <n v="18"/>
    <x v="4"/>
    <s v="Fortnightly"/>
    <n v="1"/>
    <x v="3"/>
  </r>
  <r>
    <n v="1367"/>
    <n v="45"/>
    <s v="Male"/>
    <s v="Belt"/>
    <x v="3"/>
    <n v="40"/>
    <x v="44"/>
    <s v="M"/>
    <s v="Magenta"/>
    <x v="3"/>
    <n v="3.1"/>
    <s v="No"/>
    <s v="Debit Card"/>
    <s v="Free Shipping"/>
    <s v="Yes"/>
    <s v="Yes"/>
    <n v="10"/>
    <x v="2"/>
    <s v="Fortnightly"/>
    <n v="1"/>
    <x v="2"/>
  </r>
  <r>
    <n v="1368"/>
    <n v="60"/>
    <s v="Male"/>
    <s v="Belt"/>
    <x v="3"/>
    <n v="63"/>
    <x v="44"/>
    <s v="S"/>
    <s v="Black"/>
    <x v="3"/>
    <n v="3.8"/>
    <s v="No"/>
    <s v="Venmo"/>
    <s v="Express"/>
    <s v="Yes"/>
    <s v="Yes"/>
    <n v="25"/>
    <x v="1"/>
    <s v="Quarterly"/>
    <n v="1"/>
    <x v="0"/>
  </r>
  <r>
    <n v="1369"/>
    <n v="21"/>
    <s v="Male"/>
    <s v="Shirt"/>
    <x v="0"/>
    <n v="36"/>
    <x v="48"/>
    <s v="L"/>
    <s v="Orange"/>
    <x v="2"/>
    <n v="4.9000000000000004"/>
    <s v="No"/>
    <s v="Venmo"/>
    <s v="Express"/>
    <s v="Yes"/>
    <s v="Yes"/>
    <n v="2"/>
    <x v="1"/>
    <s v="Weekly"/>
    <n v="1"/>
    <x v="1"/>
  </r>
  <r>
    <n v="1370"/>
    <n v="32"/>
    <s v="Male"/>
    <s v="Shoes"/>
    <x v="1"/>
    <n v="75"/>
    <x v="44"/>
    <s v="M"/>
    <s v="Green"/>
    <x v="0"/>
    <n v="3.2"/>
    <s v="No"/>
    <s v="Cash"/>
    <s v="Standard"/>
    <s v="Yes"/>
    <s v="Yes"/>
    <n v="48"/>
    <x v="0"/>
    <s v="Fortnightly"/>
    <n v="1"/>
    <x v="3"/>
  </r>
  <r>
    <n v="1371"/>
    <n v="27"/>
    <s v="Male"/>
    <s v="Scarf"/>
    <x v="3"/>
    <n v="67"/>
    <x v="6"/>
    <s v="L"/>
    <s v="Peach"/>
    <x v="2"/>
    <n v="2.9"/>
    <s v="No"/>
    <s v="PayPal"/>
    <s v="2-Day Shipping"/>
    <s v="Yes"/>
    <s v="Yes"/>
    <n v="41"/>
    <x v="4"/>
    <s v="Every 3 Months"/>
    <n v="1"/>
    <x v="3"/>
  </r>
  <r>
    <n v="1372"/>
    <n v="40"/>
    <s v="Male"/>
    <s v="Pants"/>
    <x v="0"/>
    <n v="64"/>
    <x v="16"/>
    <s v="M"/>
    <s v="Charcoal"/>
    <x v="1"/>
    <n v="2.8"/>
    <s v="No"/>
    <s v="PayPal"/>
    <s v="Store Pickup"/>
    <s v="Yes"/>
    <s v="Yes"/>
    <n v="42"/>
    <x v="2"/>
    <s v="Monthly"/>
    <n v="1"/>
    <x v="2"/>
  </r>
  <r>
    <n v="1373"/>
    <n v="64"/>
    <s v="Male"/>
    <s v="Blouse"/>
    <x v="0"/>
    <n v="61"/>
    <x v="49"/>
    <s v="M"/>
    <s v="Gray"/>
    <x v="3"/>
    <n v="4"/>
    <s v="No"/>
    <s v="Credit Card"/>
    <s v="2-Day Shipping"/>
    <s v="Yes"/>
    <s v="Yes"/>
    <n v="44"/>
    <x v="3"/>
    <s v="Bi-Weekly"/>
    <n v="1"/>
    <x v="0"/>
  </r>
  <r>
    <n v="1374"/>
    <n v="18"/>
    <s v="Male"/>
    <s v="Gloves"/>
    <x v="3"/>
    <n v="40"/>
    <x v="41"/>
    <s v="L"/>
    <s v="Turquoise"/>
    <x v="0"/>
    <n v="2.6"/>
    <s v="No"/>
    <s v="Credit Card"/>
    <s v="Store Pickup"/>
    <s v="Yes"/>
    <s v="Yes"/>
    <n v="6"/>
    <x v="1"/>
    <s v="Quarterly"/>
    <n v="1"/>
    <x v="1"/>
  </r>
  <r>
    <n v="1375"/>
    <n v="22"/>
    <s v="Male"/>
    <s v="Handbag"/>
    <x v="3"/>
    <n v="97"/>
    <x v="14"/>
    <s v="M"/>
    <s v="Red"/>
    <x v="3"/>
    <n v="2.7"/>
    <s v="No"/>
    <s v="Debit Card"/>
    <s v="Free Shipping"/>
    <s v="Yes"/>
    <s v="Yes"/>
    <n v="5"/>
    <x v="4"/>
    <s v="Quarterly"/>
    <n v="1"/>
    <x v="1"/>
  </r>
  <r>
    <n v="1376"/>
    <n v="42"/>
    <s v="Male"/>
    <s v="Sneakers"/>
    <x v="1"/>
    <n v="31"/>
    <x v="1"/>
    <s v="L"/>
    <s v="Brown"/>
    <x v="1"/>
    <n v="4.0999999999999996"/>
    <s v="No"/>
    <s v="Venmo"/>
    <s v="2-Day Shipping"/>
    <s v="Yes"/>
    <s v="Yes"/>
    <n v="8"/>
    <x v="2"/>
    <s v="Annually"/>
    <n v="1"/>
    <x v="2"/>
  </r>
  <r>
    <n v="1377"/>
    <n v="57"/>
    <s v="Male"/>
    <s v="Sandals"/>
    <x v="1"/>
    <n v="65"/>
    <x v="32"/>
    <s v="L"/>
    <s v="Pink"/>
    <x v="1"/>
    <n v="5"/>
    <s v="No"/>
    <s v="Cash"/>
    <s v="Free Shipping"/>
    <s v="Yes"/>
    <s v="Yes"/>
    <n v="24"/>
    <x v="3"/>
    <s v="Annually"/>
    <n v="1"/>
    <x v="0"/>
  </r>
  <r>
    <n v="1378"/>
    <n v="33"/>
    <s v="Male"/>
    <s v="Sunglasses"/>
    <x v="3"/>
    <n v="54"/>
    <x v="33"/>
    <s v="L"/>
    <s v="Olive"/>
    <x v="1"/>
    <n v="3"/>
    <s v="No"/>
    <s v="Credit Card"/>
    <s v="Next Day Air"/>
    <s v="Yes"/>
    <s v="Yes"/>
    <n v="42"/>
    <x v="0"/>
    <s v="Monthly"/>
    <n v="1"/>
    <x v="3"/>
  </r>
  <r>
    <n v="1379"/>
    <n v="37"/>
    <s v="Male"/>
    <s v="Jacket"/>
    <x v="2"/>
    <n v="49"/>
    <x v="0"/>
    <s v="XL"/>
    <s v="Lavender"/>
    <x v="3"/>
    <n v="3.6"/>
    <s v="No"/>
    <s v="PayPal"/>
    <s v="Free Shipping"/>
    <s v="Yes"/>
    <s v="Yes"/>
    <n v="24"/>
    <x v="0"/>
    <s v="Weekly"/>
    <n v="1"/>
    <x v="2"/>
  </r>
  <r>
    <n v="1380"/>
    <n v="21"/>
    <s v="Male"/>
    <s v="T-shirt"/>
    <x v="0"/>
    <n v="64"/>
    <x v="46"/>
    <s v="L"/>
    <s v="Purple"/>
    <x v="3"/>
    <n v="2.8"/>
    <s v="No"/>
    <s v="Venmo"/>
    <s v="2-Day Shipping"/>
    <s v="Yes"/>
    <s v="Yes"/>
    <n v="38"/>
    <x v="0"/>
    <s v="Bi-Weekly"/>
    <n v="1"/>
    <x v="1"/>
  </r>
  <r>
    <n v="1381"/>
    <n v="51"/>
    <s v="Male"/>
    <s v="Sneakers"/>
    <x v="1"/>
    <n v="35"/>
    <x v="2"/>
    <s v="S"/>
    <s v="Beige"/>
    <x v="0"/>
    <n v="4.5999999999999996"/>
    <s v="No"/>
    <s v="Bank Transfer"/>
    <s v="Standard"/>
    <s v="Yes"/>
    <s v="Yes"/>
    <n v="41"/>
    <x v="1"/>
    <s v="Fortnightly"/>
    <n v="1"/>
    <x v="0"/>
  </r>
  <r>
    <n v="1382"/>
    <n v="30"/>
    <s v="Male"/>
    <s v="Shoes"/>
    <x v="1"/>
    <n v="86"/>
    <x v="26"/>
    <s v="L"/>
    <s v="Green"/>
    <x v="0"/>
    <n v="2.9"/>
    <s v="No"/>
    <s v="Cash"/>
    <s v="Standard"/>
    <s v="Yes"/>
    <s v="Yes"/>
    <n v="48"/>
    <x v="0"/>
    <s v="Quarterly"/>
    <n v="1"/>
    <x v="3"/>
  </r>
  <r>
    <n v="1383"/>
    <n v="68"/>
    <s v="Male"/>
    <s v="Jacket"/>
    <x v="2"/>
    <n v="55"/>
    <x v="49"/>
    <s v="L"/>
    <s v="Brown"/>
    <x v="0"/>
    <n v="4.8"/>
    <s v="No"/>
    <s v="Venmo"/>
    <s v="Express"/>
    <s v="Yes"/>
    <s v="Yes"/>
    <n v="16"/>
    <x v="4"/>
    <s v="Quarterly"/>
    <n v="1"/>
    <x v="0"/>
  </r>
  <r>
    <n v="1384"/>
    <n v="36"/>
    <s v="Male"/>
    <s v="Scarf"/>
    <x v="3"/>
    <n v="58"/>
    <x v="48"/>
    <s v="M"/>
    <s v="Beige"/>
    <x v="1"/>
    <n v="3.3"/>
    <s v="No"/>
    <s v="Bank Transfer"/>
    <s v="Express"/>
    <s v="Yes"/>
    <s v="Yes"/>
    <n v="4"/>
    <x v="0"/>
    <s v="Monthly"/>
    <n v="1"/>
    <x v="2"/>
  </r>
  <r>
    <n v="1385"/>
    <n v="46"/>
    <s v="Male"/>
    <s v="Sneakers"/>
    <x v="1"/>
    <n v="96"/>
    <x v="29"/>
    <s v="M"/>
    <s v="Beige"/>
    <x v="3"/>
    <n v="4.5999999999999996"/>
    <s v="No"/>
    <s v="Cash"/>
    <s v="Standard"/>
    <s v="Yes"/>
    <s v="Yes"/>
    <n v="8"/>
    <x v="4"/>
    <s v="Weekly"/>
    <n v="1"/>
    <x v="0"/>
  </r>
  <r>
    <n v="1386"/>
    <n v="41"/>
    <s v="Male"/>
    <s v="Jewelry"/>
    <x v="3"/>
    <n v="64"/>
    <x v="16"/>
    <s v="M"/>
    <s v="Indigo"/>
    <x v="3"/>
    <n v="2.6"/>
    <s v="No"/>
    <s v="Debit Card"/>
    <s v="Store Pickup"/>
    <s v="Yes"/>
    <s v="Yes"/>
    <n v="1"/>
    <x v="4"/>
    <s v="Bi-Weekly"/>
    <n v="1"/>
    <x v="2"/>
  </r>
  <r>
    <n v="1387"/>
    <n v="68"/>
    <s v="Male"/>
    <s v="Jacket"/>
    <x v="2"/>
    <n v="56"/>
    <x v="4"/>
    <s v="M"/>
    <s v="Silver"/>
    <x v="3"/>
    <n v="4"/>
    <s v="No"/>
    <s v="Bank Transfer"/>
    <s v="Next Day Air"/>
    <s v="Yes"/>
    <s v="Yes"/>
    <n v="4"/>
    <x v="5"/>
    <s v="Quarterly"/>
    <n v="1"/>
    <x v="0"/>
  </r>
  <r>
    <n v="1388"/>
    <n v="21"/>
    <s v="Male"/>
    <s v="Blouse"/>
    <x v="0"/>
    <n v="85"/>
    <x v="33"/>
    <s v="M"/>
    <s v="Gold"/>
    <x v="0"/>
    <n v="3.8"/>
    <s v="No"/>
    <s v="Credit Card"/>
    <s v="Standard"/>
    <s v="Yes"/>
    <s v="Yes"/>
    <n v="20"/>
    <x v="2"/>
    <s v="Monthly"/>
    <n v="1"/>
    <x v="1"/>
  </r>
  <r>
    <n v="1389"/>
    <n v="62"/>
    <s v="Male"/>
    <s v="Dress"/>
    <x v="0"/>
    <n v="23"/>
    <x v="10"/>
    <s v="M"/>
    <s v="Lavender"/>
    <x v="1"/>
    <n v="3.9"/>
    <s v="No"/>
    <s v="Cash"/>
    <s v="Express"/>
    <s v="Yes"/>
    <s v="Yes"/>
    <n v="40"/>
    <x v="1"/>
    <s v="Quarterly"/>
    <n v="1"/>
    <x v="0"/>
  </r>
  <r>
    <n v="1390"/>
    <n v="59"/>
    <s v="Male"/>
    <s v="Scarf"/>
    <x v="3"/>
    <n v="72"/>
    <x v="26"/>
    <s v="L"/>
    <s v="Orange"/>
    <x v="3"/>
    <n v="2.6"/>
    <s v="No"/>
    <s v="Debit Card"/>
    <s v="Store Pickup"/>
    <s v="Yes"/>
    <s v="Yes"/>
    <n v="8"/>
    <x v="5"/>
    <s v="Fortnightly"/>
    <n v="1"/>
    <x v="0"/>
  </r>
  <r>
    <n v="1391"/>
    <n v="25"/>
    <s v="Male"/>
    <s v="Hat"/>
    <x v="3"/>
    <n v="38"/>
    <x v="10"/>
    <s v="M"/>
    <s v="Maroon"/>
    <x v="2"/>
    <n v="4.3"/>
    <s v="No"/>
    <s v="Venmo"/>
    <s v="Standard"/>
    <s v="Yes"/>
    <s v="Yes"/>
    <n v="42"/>
    <x v="5"/>
    <s v="Weekly"/>
    <n v="1"/>
    <x v="1"/>
  </r>
  <r>
    <n v="1392"/>
    <n v="53"/>
    <s v="Male"/>
    <s v="Blouse"/>
    <x v="0"/>
    <n v="29"/>
    <x v="16"/>
    <s v="S"/>
    <s v="White"/>
    <x v="0"/>
    <n v="3.6"/>
    <s v="No"/>
    <s v="Bank Transfer"/>
    <s v="Express"/>
    <s v="Yes"/>
    <s v="Yes"/>
    <n v="38"/>
    <x v="2"/>
    <s v="Annually"/>
    <n v="1"/>
    <x v="0"/>
  </r>
  <r>
    <n v="1393"/>
    <n v="31"/>
    <s v="Male"/>
    <s v="Gloves"/>
    <x v="3"/>
    <n v="46"/>
    <x v="10"/>
    <s v="M"/>
    <s v="Yellow"/>
    <x v="1"/>
    <n v="4.2"/>
    <s v="No"/>
    <s v="Debit Card"/>
    <s v="Express"/>
    <s v="Yes"/>
    <s v="Yes"/>
    <n v="34"/>
    <x v="0"/>
    <s v="Every 3 Months"/>
    <n v="1"/>
    <x v="3"/>
  </r>
  <r>
    <n v="1394"/>
    <n v="46"/>
    <s v="Male"/>
    <s v="Gloves"/>
    <x v="3"/>
    <n v="58"/>
    <x v="37"/>
    <s v="L"/>
    <s v="Yellow"/>
    <x v="1"/>
    <n v="3.9"/>
    <s v="No"/>
    <s v="Bank Transfer"/>
    <s v="Express"/>
    <s v="Yes"/>
    <s v="Yes"/>
    <n v="14"/>
    <x v="3"/>
    <s v="Fortnightly"/>
    <n v="1"/>
    <x v="0"/>
  </r>
  <r>
    <n v="1395"/>
    <n v="26"/>
    <s v="Male"/>
    <s v="Coat"/>
    <x v="2"/>
    <n v="43"/>
    <x v="44"/>
    <s v="L"/>
    <s v="Magenta"/>
    <x v="3"/>
    <n v="4.7"/>
    <s v="No"/>
    <s v="PayPal"/>
    <s v="Next Day Air"/>
    <s v="Yes"/>
    <s v="Yes"/>
    <n v="39"/>
    <x v="1"/>
    <s v="Weekly"/>
    <n v="1"/>
    <x v="3"/>
  </r>
  <r>
    <n v="1396"/>
    <n v="47"/>
    <s v="Male"/>
    <s v="Scarf"/>
    <x v="3"/>
    <n v="32"/>
    <x v="8"/>
    <s v="L"/>
    <s v="Turquoise"/>
    <x v="1"/>
    <n v="2.8"/>
    <s v="No"/>
    <s v="Cash"/>
    <s v="Next Day Air"/>
    <s v="Yes"/>
    <s v="Yes"/>
    <n v="40"/>
    <x v="3"/>
    <s v="Bi-Weekly"/>
    <n v="1"/>
    <x v="0"/>
  </r>
  <r>
    <n v="1397"/>
    <n v="37"/>
    <s v="Male"/>
    <s v="Pants"/>
    <x v="0"/>
    <n v="30"/>
    <x v="48"/>
    <s v="XL"/>
    <s v="Lavender"/>
    <x v="0"/>
    <n v="3"/>
    <s v="No"/>
    <s v="Cash"/>
    <s v="Next Day Air"/>
    <s v="Yes"/>
    <s v="Yes"/>
    <n v="49"/>
    <x v="5"/>
    <s v="Monthly"/>
    <n v="1"/>
    <x v="2"/>
  </r>
  <r>
    <n v="1398"/>
    <n v="55"/>
    <s v="Male"/>
    <s v="Sunglasses"/>
    <x v="3"/>
    <n v="67"/>
    <x v="2"/>
    <s v="S"/>
    <s v="Magenta"/>
    <x v="2"/>
    <n v="4.7"/>
    <s v="No"/>
    <s v="Cash"/>
    <s v="Store Pickup"/>
    <s v="Yes"/>
    <s v="Yes"/>
    <n v="33"/>
    <x v="3"/>
    <s v="Annually"/>
    <n v="1"/>
    <x v="0"/>
  </r>
  <r>
    <n v="1399"/>
    <n v="30"/>
    <s v="Male"/>
    <s v="Dress"/>
    <x v="0"/>
    <n v="45"/>
    <x v="21"/>
    <s v="M"/>
    <s v="Cyan"/>
    <x v="2"/>
    <n v="2.5"/>
    <s v="No"/>
    <s v="Bank Transfer"/>
    <s v="Free Shipping"/>
    <s v="Yes"/>
    <s v="Yes"/>
    <n v="25"/>
    <x v="2"/>
    <s v="Weekly"/>
    <n v="1"/>
    <x v="3"/>
  </r>
  <r>
    <n v="1400"/>
    <n v="19"/>
    <s v="Male"/>
    <s v="Hat"/>
    <x v="3"/>
    <n v="81"/>
    <x v="43"/>
    <s v="M"/>
    <s v="Olive"/>
    <x v="0"/>
    <n v="3.1"/>
    <s v="No"/>
    <s v="Bank Transfer"/>
    <s v="Store Pickup"/>
    <s v="Yes"/>
    <s v="Yes"/>
    <n v="48"/>
    <x v="0"/>
    <s v="Annually"/>
    <n v="1"/>
    <x v="1"/>
  </r>
  <r>
    <n v="1401"/>
    <n v="36"/>
    <s v="Male"/>
    <s v="Backpack"/>
    <x v="3"/>
    <n v="23"/>
    <x v="22"/>
    <s v="M"/>
    <s v="Red"/>
    <x v="3"/>
    <n v="3.6"/>
    <s v="No"/>
    <s v="Venmo"/>
    <s v="Next Day Air"/>
    <s v="Yes"/>
    <s v="Yes"/>
    <n v="22"/>
    <x v="2"/>
    <s v="Every 3 Months"/>
    <n v="1"/>
    <x v="2"/>
  </r>
  <r>
    <n v="1402"/>
    <n v="23"/>
    <s v="Male"/>
    <s v="Sandals"/>
    <x v="1"/>
    <n v="59"/>
    <x v="27"/>
    <s v="M"/>
    <s v="Blue"/>
    <x v="3"/>
    <n v="3.5"/>
    <s v="No"/>
    <s v="Cash"/>
    <s v="2-Day Shipping"/>
    <s v="Yes"/>
    <s v="Yes"/>
    <n v="1"/>
    <x v="3"/>
    <s v="Weekly"/>
    <n v="1"/>
    <x v="1"/>
  </r>
  <r>
    <n v="1403"/>
    <n v="62"/>
    <s v="Male"/>
    <s v="Sunglasses"/>
    <x v="3"/>
    <n v="21"/>
    <x v="25"/>
    <s v="L"/>
    <s v="White"/>
    <x v="2"/>
    <n v="3.1"/>
    <s v="No"/>
    <s v="Bank Transfer"/>
    <s v="Express"/>
    <s v="Yes"/>
    <s v="Yes"/>
    <n v="47"/>
    <x v="3"/>
    <s v="Monthly"/>
    <n v="1"/>
    <x v="0"/>
  </r>
  <r>
    <n v="1404"/>
    <n v="26"/>
    <s v="Male"/>
    <s v="Backpack"/>
    <x v="3"/>
    <n v="20"/>
    <x v="42"/>
    <s v="M"/>
    <s v="Peach"/>
    <x v="1"/>
    <n v="3.6"/>
    <s v="No"/>
    <s v="Bank Transfer"/>
    <s v="Store Pickup"/>
    <s v="Yes"/>
    <s v="Yes"/>
    <n v="20"/>
    <x v="2"/>
    <s v="Bi-Weekly"/>
    <n v="1"/>
    <x v="3"/>
  </r>
  <r>
    <n v="1405"/>
    <n v="36"/>
    <s v="Male"/>
    <s v="Jewelry"/>
    <x v="3"/>
    <n v="28"/>
    <x v="35"/>
    <s v="M"/>
    <s v="Charcoal"/>
    <x v="0"/>
    <n v="3.5"/>
    <s v="No"/>
    <s v="Venmo"/>
    <s v="Next Day Air"/>
    <s v="Yes"/>
    <s v="Yes"/>
    <n v="10"/>
    <x v="5"/>
    <s v="Weekly"/>
    <n v="1"/>
    <x v="2"/>
  </r>
  <r>
    <n v="1406"/>
    <n v="33"/>
    <s v="Male"/>
    <s v="Socks"/>
    <x v="0"/>
    <n v="100"/>
    <x v="13"/>
    <s v="M"/>
    <s v="Peach"/>
    <x v="0"/>
    <n v="2.7"/>
    <s v="No"/>
    <s v="Cash"/>
    <s v="Store Pickup"/>
    <s v="Yes"/>
    <s v="Yes"/>
    <n v="39"/>
    <x v="2"/>
    <s v="Monthly"/>
    <n v="1"/>
    <x v="3"/>
  </r>
  <r>
    <n v="1407"/>
    <n v="32"/>
    <s v="Male"/>
    <s v="Shirt"/>
    <x v="0"/>
    <n v="46"/>
    <x v="47"/>
    <s v="L"/>
    <s v="Turquoise"/>
    <x v="1"/>
    <n v="3.6"/>
    <s v="No"/>
    <s v="Venmo"/>
    <s v="Express"/>
    <s v="Yes"/>
    <s v="Yes"/>
    <n v="15"/>
    <x v="5"/>
    <s v="Monthly"/>
    <n v="1"/>
    <x v="3"/>
  </r>
  <r>
    <n v="1408"/>
    <n v="56"/>
    <s v="Male"/>
    <s v="Handbag"/>
    <x v="3"/>
    <n v="61"/>
    <x v="22"/>
    <s v="XL"/>
    <s v="Charcoal"/>
    <x v="1"/>
    <n v="4.5"/>
    <s v="No"/>
    <s v="Cash"/>
    <s v="Express"/>
    <s v="Yes"/>
    <s v="Yes"/>
    <n v="11"/>
    <x v="2"/>
    <s v="Annually"/>
    <n v="1"/>
    <x v="0"/>
  </r>
  <r>
    <n v="1409"/>
    <n v="58"/>
    <s v="Male"/>
    <s v="Blouse"/>
    <x v="0"/>
    <n v="58"/>
    <x v="1"/>
    <s v="M"/>
    <s v="Yellow"/>
    <x v="0"/>
    <n v="4.0999999999999996"/>
    <s v="No"/>
    <s v="Debit Card"/>
    <s v="Free Shipping"/>
    <s v="Yes"/>
    <s v="Yes"/>
    <n v="38"/>
    <x v="0"/>
    <s v="Weekly"/>
    <n v="1"/>
    <x v="0"/>
  </r>
  <r>
    <n v="1410"/>
    <n v="34"/>
    <s v="Male"/>
    <s v="Backpack"/>
    <x v="3"/>
    <n v="50"/>
    <x v="37"/>
    <s v="M"/>
    <s v="Blue"/>
    <x v="1"/>
    <n v="4.2"/>
    <s v="No"/>
    <s v="Credit Card"/>
    <s v="Standard"/>
    <s v="Yes"/>
    <s v="Yes"/>
    <n v="41"/>
    <x v="1"/>
    <s v="Fortnightly"/>
    <n v="1"/>
    <x v="3"/>
  </r>
  <r>
    <n v="1411"/>
    <n v="61"/>
    <s v="Male"/>
    <s v="Hat"/>
    <x v="3"/>
    <n v="93"/>
    <x v="30"/>
    <s v="M"/>
    <s v="Purple"/>
    <x v="2"/>
    <n v="4"/>
    <s v="No"/>
    <s v="Venmo"/>
    <s v="Store Pickup"/>
    <s v="Yes"/>
    <s v="Yes"/>
    <n v="18"/>
    <x v="5"/>
    <s v="Annually"/>
    <n v="1"/>
    <x v="0"/>
  </r>
  <r>
    <n v="1412"/>
    <n v="48"/>
    <s v="Male"/>
    <s v="Skirt"/>
    <x v="0"/>
    <n v="24"/>
    <x v="7"/>
    <s v="L"/>
    <s v="Green"/>
    <x v="2"/>
    <n v="2.8"/>
    <s v="No"/>
    <s v="PayPal"/>
    <s v="Store Pickup"/>
    <s v="Yes"/>
    <s v="Yes"/>
    <n v="13"/>
    <x v="0"/>
    <s v="Quarterly"/>
    <n v="1"/>
    <x v="0"/>
  </r>
  <r>
    <n v="1413"/>
    <n v="25"/>
    <s v="Male"/>
    <s v="Shorts"/>
    <x v="0"/>
    <n v="100"/>
    <x v="49"/>
    <s v="M"/>
    <s v="Charcoal"/>
    <x v="2"/>
    <n v="2.6"/>
    <s v="No"/>
    <s v="Debit Card"/>
    <s v="2-Day Shipping"/>
    <s v="Yes"/>
    <s v="Yes"/>
    <n v="43"/>
    <x v="0"/>
    <s v="Annually"/>
    <n v="1"/>
    <x v="1"/>
  </r>
  <r>
    <n v="1414"/>
    <n v="51"/>
    <s v="Male"/>
    <s v="Blouse"/>
    <x v="0"/>
    <n v="79"/>
    <x v="13"/>
    <s v="S"/>
    <s v="Indigo"/>
    <x v="3"/>
    <n v="2.7"/>
    <s v="No"/>
    <s v="Venmo"/>
    <s v="Store Pickup"/>
    <s v="Yes"/>
    <s v="Yes"/>
    <n v="12"/>
    <x v="4"/>
    <s v="Quarterly"/>
    <n v="1"/>
    <x v="0"/>
  </r>
  <r>
    <n v="1415"/>
    <n v="29"/>
    <s v="Male"/>
    <s v="Socks"/>
    <x v="0"/>
    <n v="51"/>
    <x v="46"/>
    <s v="M"/>
    <s v="Black"/>
    <x v="2"/>
    <n v="4.5"/>
    <s v="No"/>
    <s v="Debit Card"/>
    <s v="Store Pickup"/>
    <s v="Yes"/>
    <s v="Yes"/>
    <n v="3"/>
    <x v="2"/>
    <s v="Bi-Weekly"/>
    <n v="1"/>
    <x v="3"/>
  </r>
  <r>
    <n v="1416"/>
    <n v="54"/>
    <s v="Male"/>
    <s v="Belt"/>
    <x v="3"/>
    <n v="90"/>
    <x v="26"/>
    <s v="M"/>
    <s v="Blue"/>
    <x v="0"/>
    <n v="3.7"/>
    <s v="No"/>
    <s v="Bank Transfer"/>
    <s v="Free Shipping"/>
    <s v="Yes"/>
    <s v="Yes"/>
    <n v="12"/>
    <x v="2"/>
    <s v="Every 3 Months"/>
    <n v="1"/>
    <x v="0"/>
  </r>
  <r>
    <n v="1417"/>
    <n v="48"/>
    <s v="Male"/>
    <s v="Boots"/>
    <x v="1"/>
    <n v="56"/>
    <x v="37"/>
    <s v="L"/>
    <s v="Silver"/>
    <x v="2"/>
    <n v="3.4"/>
    <s v="No"/>
    <s v="PayPal"/>
    <s v="Free Shipping"/>
    <s v="Yes"/>
    <s v="Yes"/>
    <n v="46"/>
    <x v="1"/>
    <s v="Quarterly"/>
    <n v="1"/>
    <x v="0"/>
  </r>
  <r>
    <n v="1418"/>
    <n v="62"/>
    <s v="Male"/>
    <s v="Shorts"/>
    <x v="0"/>
    <n v="25"/>
    <x v="6"/>
    <s v="S"/>
    <s v="Brown"/>
    <x v="1"/>
    <n v="4.5999999999999996"/>
    <s v="No"/>
    <s v="Cash"/>
    <s v="Standard"/>
    <s v="Yes"/>
    <s v="Yes"/>
    <n v="21"/>
    <x v="5"/>
    <s v="Fortnightly"/>
    <n v="1"/>
    <x v="0"/>
  </r>
  <r>
    <n v="1419"/>
    <n v="18"/>
    <s v="Male"/>
    <s v="Shirt"/>
    <x v="0"/>
    <n v="75"/>
    <x v="15"/>
    <s v="M"/>
    <s v="Violet"/>
    <x v="2"/>
    <n v="4.0999999999999996"/>
    <s v="No"/>
    <s v="Bank Transfer"/>
    <s v="2-Day Shipping"/>
    <s v="Yes"/>
    <s v="Yes"/>
    <n v="23"/>
    <x v="0"/>
    <s v="Every 3 Months"/>
    <n v="1"/>
    <x v="1"/>
  </r>
  <r>
    <n v="1420"/>
    <n v="43"/>
    <s v="Male"/>
    <s v="Handbag"/>
    <x v="3"/>
    <n v="75"/>
    <x v="6"/>
    <s v="M"/>
    <s v="Orange"/>
    <x v="2"/>
    <n v="2.6"/>
    <s v="No"/>
    <s v="Debit Card"/>
    <s v="Free Shipping"/>
    <s v="Yes"/>
    <s v="Yes"/>
    <n v="4"/>
    <x v="5"/>
    <s v="Quarterly"/>
    <n v="1"/>
    <x v="2"/>
  </r>
  <r>
    <n v="1421"/>
    <n v="22"/>
    <s v="Male"/>
    <s v="Jeans"/>
    <x v="0"/>
    <n v="53"/>
    <x v="18"/>
    <s v="XL"/>
    <s v="Gray"/>
    <x v="2"/>
    <n v="4.5999999999999996"/>
    <s v="No"/>
    <s v="Cash"/>
    <s v="Store Pickup"/>
    <s v="Yes"/>
    <s v="Yes"/>
    <n v="45"/>
    <x v="3"/>
    <s v="Every 3 Months"/>
    <n v="1"/>
    <x v="1"/>
  </r>
  <r>
    <n v="1422"/>
    <n v="68"/>
    <s v="Male"/>
    <s v="Dress"/>
    <x v="0"/>
    <n v="100"/>
    <x v="38"/>
    <s v="S"/>
    <s v="Gold"/>
    <x v="1"/>
    <n v="3"/>
    <s v="No"/>
    <s v="Credit Card"/>
    <s v="Standard"/>
    <s v="Yes"/>
    <s v="Yes"/>
    <n v="24"/>
    <x v="4"/>
    <s v="Fortnightly"/>
    <n v="1"/>
    <x v="0"/>
  </r>
  <r>
    <n v="1423"/>
    <n v="44"/>
    <s v="Male"/>
    <s v="Dress"/>
    <x v="0"/>
    <n v="27"/>
    <x v="21"/>
    <s v="L"/>
    <s v="Charcoal"/>
    <x v="3"/>
    <n v="3.4"/>
    <s v="No"/>
    <s v="PayPal"/>
    <s v="Free Shipping"/>
    <s v="Yes"/>
    <s v="Yes"/>
    <n v="3"/>
    <x v="3"/>
    <s v="Bi-Weekly"/>
    <n v="1"/>
    <x v="2"/>
  </r>
  <r>
    <n v="1424"/>
    <n v="51"/>
    <s v="Male"/>
    <s v="Sandals"/>
    <x v="1"/>
    <n v="60"/>
    <x v="49"/>
    <s v="S"/>
    <s v="Black"/>
    <x v="3"/>
    <n v="3.5"/>
    <s v="No"/>
    <s v="PayPal"/>
    <s v="Free Shipping"/>
    <s v="Yes"/>
    <s v="Yes"/>
    <n v="12"/>
    <x v="0"/>
    <s v="Every 3 Months"/>
    <n v="1"/>
    <x v="0"/>
  </r>
  <r>
    <n v="1425"/>
    <n v="66"/>
    <s v="Male"/>
    <s v="Jacket"/>
    <x v="2"/>
    <n v="23"/>
    <x v="39"/>
    <s v="S"/>
    <s v="Indigo"/>
    <x v="3"/>
    <n v="3.5"/>
    <s v="No"/>
    <s v="Cash"/>
    <s v="Standard"/>
    <s v="Yes"/>
    <s v="Yes"/>
    <n v="34"/>
    <x v="4"/>
    <s v="Every 3 Months"/>
    <n v="1"/>
    <x v="0"/>
  </r>
  <r>
    <n v="1426"/>
    <n v="59"/>
    <s v="Male"/>
    <s v="Coat"/>
    <x v="2"/>
    <n v="40"/>
    <x v="5"/>
    <s v="S"/>
    <s v="White"/>
    <x v="0"/>
    <n v="3.7"/>
    <s v="No"/>
    <s v="Debit Card"/>
    <s v="Next Day Air"/>
    <s v="Yes"/>
    <s v="Yes"/>
    <n v="39"/>
    <x v="2"/>
    <s v="Annually"/>
    <n v="1"/>
    <x v="0"/>
  </r>
  <r>
    <n v="1427"/>
    <n v="60"/>
    <s v="Male"/>
    <s v="Pants"/>
    <x v="0"/>
    <n v="38"/>
    <x v="49"/>
    <s v="M"/>
    <s v="Yellow"/>
    <x v="2"/>
    <n v="4.8"/>
    <s v="No"/>
    <s v="Credit Card"/>
    <s v="Free Shipping"/>
    <s v="Yes"/>
    <s v="Yes"/>
    <n v="35"/>
    <x v="3"/>
    <s v="Every 3 Months"/>
    <n v="1"/>
    <x v="0"/>
  </r>
  <r>
    <n v="1428"/>
    <n v="31"/>
    <s v="Male"/>
    <s v="Backpack"/>
    <x v="3"/>
    <n v="90"/>
    <x v="45"/>
    <s v="S"/>
    <s v="Orange"/>
    <x v="2"/>
    <n v="4.9000000000000004"/>
    <s v="No"/>
    <s v="PayPal"/>
    <s v="Store Pickup"/>
    <s v="Yes"/>
    <s v="Yes"/>
    <n v="8"/>
    <x v="2"/>
    <s v="Annually"/>
    <n v="1"/>
    <x v="3"/>
  </r>
  <r>
    <n v="1429"/>
    <n v="20"/>
    <s v="Male"/>
    <s v="Blouse"/>
    <x v="0"/>
    <n v="97"/>
    <x v="25"/>
    <s v="S"/>
    <s v="Green"/>
    <x v="2"/>
    <n v="4.9000000000000004"/>
    <s v="No"/>
    <s v="Debit Card"/>
    <s v="Express"/>
    <s v="Yes"/>
    <s v="Yes"/>
    <n v="42"/>
    <x v="3"/>
    <s v="Quarterly"/>
    <n v="1"/>
    <x v="1"/>
  </r>
  <r>
    <n v="1430"/>
    <n v="24"/>
    <s v="Male"/>
    <s v="Skirt"/>
    <x v="0"/>
    <n v="38"/>
    <x v="33"/>
    <s v="L"/>
    <s v="Gold"/>
    <x v="3"/>
    <n v="4.7"/>
    <s v="No"/>
    <s v="Venmo"/>
    <s v="Standard"/>
    <s v="Yes"/>
    <s v="Yes"/>
    <n v="6"/>
    <x v="2"/>
    <s v="Every 3 Months"/>
    <n v="1"/>
    <x v="1"/>
  </r>
  <r>
    <n v="1431"/>
    <n v="48"/>
    <s v="Male"/>
    <s v="Sandals"/>
    <x v="1"/>
    <n v="30"/>
    <x v="49"/>
    <s v="S"/>
    <s v="Orange"/>
    <x v="2"/>
    <n v="4.9000000000000004"/>
    <s v="No"/>
    <s v="PayPal"/>
    <s v="Free Shipping"/>
    <s v="Yes"/>
    <s v="Yes"/>
    <n v="3"/>
    <x v="2"/>
    <s v="Fortnightly"/>
    <n v="1"/>
    <x v="0"/>
  </r>
  <r>
    <n v="1432"/>
    <n v="39"/>
    <s v="Male"/>
    <s v="Pants"/>
    <x v="0"/>
    <n v="88"/>
    <x v="45"/>
    <s v="M"/>
    <s v="Cyan"/>
    <x v="3"/>
    <n v="2.9"/>
    <s v="No"/>
    <s v="Bank Transfer"/>
    <s v="Express"/>
    <s v="Yes"/>
    <s v="Yes"/>
    <n v="29"/>
    <x v="0"/>
    <s v="Quarterly"/>
    <n v="1"/>
    <x v="2"/>
  </r>
  <r>
    <n v="1433"/>
    <n v="34"/>
    <s v="Male"/>
    <s v="Hat"/>
    <x v="3"/>
    <n v="33"/>
    <x v="20"/>
    <s v="L"/>
    <s v="Black"/>
    <x v="0"/>
    <n v="4.4000000000000004"/>
    <s v="No"/>
    <s v="Cash"/>
    <s v="Express"/>
    <s v="Yes"/>
    <s v="Yes"/>
    <n v="32"/>
    <x v="5"/>
    <s v="Quarterly"/>
    <n v="1"/>
    <x v="3"/>
  </r>
  <r>
    <n v="1434"/>
    <n v="70"/>
    <s v="Male"/>
    <s v="Hoodie"/>
    <x v="0"/>
    <n v="60"/>
    <x v="46"/>
    <s v="L"/>
    <s v="Yellow"/>
    <x v="0"/>
    <n v="3.2"/>
    <s v="No"/>
    <s v="Venmo"/>
    <s v="Next Day Air"/>
    <s v="Yes"/>
    <s v="Yes"/>
    <n v="45"/>
    <x v="5"/>
    <s v="Weekly"/>
    <n v="1"/>
    <x v="0"/>
  </r>
  <r>
    <n v="1435"/>
    <n v="59"/>
    <s v="Male"/>
    <s v="Sweater"/>
    <x v="0"/>
    <n v="64"/>
    <x v="14"/>
    <s v="L"/>
    <s v="Maroon"/>
    <x v="2"/>
    <n v="4.5999999999999996"/>
    <s v="No"/>
    <s v="PayPal"/>
    <s v="Free Shipping"/>
    <s v="Yes"/>
    <s v="Yes"/>
    <n v="21"/>
    <x v="5"/>
    <s v="Bi-Weekly"/>
    <n v="1"/>
    <x v="0"/>
  </r>
  <r>
    <n v="1436"/>
    <n v="45"/>
    <s v="Male"/>
    <s v="Scarf"/>
    <x v="3"/>
    <n v="95"/>
    <x v="4"/>
    <s v="XL"/>
    <s v="Black"/>
    <x v="3"/>
    <n v="4"/>
    <s v="No"/>
    <s v="Debit Card"/>
    <s v="Standard"/>
    <s v="Yes"/>
    <s v="Yes"/>
    <n v="41"/>
    <x v="1"/>
    <s v="Weekly"/>
    <n v="1"/>
    <x v="2"/>
  </r>
  <r>
    <n v="1437"/>
    <n v="35"/>
    <s v="Male"/>
    <s v="Sneakers"/>
    <x v="1"/>
    <n v="83"/>
    <x v="46"/>
    <s v="M"/>
    <s v="Gray"/>
    <x v="0"/>
    <n v="3.7"/>
    <s v="No"/>
    <s v="Venmo"/>
    <s v="Free Shipping"/>
    <s v="Yes"/>
    <s v="Yes"/>
    <n v="23"/>
    <x v="3"/>
    <s v="Fortnightly"/>
    <n v="1"/>
    <x v="3"/>
  </r>
  <r>
    <n v="1438"/>
    <n v="69"/>
    <s v="Male"/>
    <s v="Boots"/>
    <x v="1"/>
    <n v="97"/>
    <x v="6"/>
    <s v="XL"/>
    <s v="Orange"/>
    <x v="0"/>
    <n v="4.2"/>
    <s v="No"/>
    <s v="Debit Card"/>
    <s v="Free Shipping"/>
    <s v="Yes"/>
    <s v="Yes"/>
    <n v="14"/>
    <x v="1"/>
    <s v="Annually"/>
    <n v="1"/>
    <x v="0"/>
  </r>
  <r>
    <n v="1439"/>
    <n v="58"/>
    <s v="Male"/>
    <s v="Coat"/>
    <x v="2"/>
    <n v="38"/>
    <x v="47"/>
    <s v="M"/>
    <s v="Cyan"/>
    <x v="1"/>
    <n v="2.9"/>
    <s v="No"/>
    <s v="Cash"/>
    <s v="Standard"/>
    <s v="Yes"/>
    <s v="Yes"/>
    <n v="24"/>
    <x v="5"/>
    <s v="Monthly"/>
    <n v="1"/>
    <x v="0"/>
  </r>
  <r>
    <n v="1440"/>
    <n v="25"/>
    <s v="Male"/>
    <s v="Boots"/>
    <x v="1"/>
    <n v="48"/>
    <x v="35"/>
    <s v="M"/>
    <s v="Magenta"/>
    <x v="2"/>
    <n v="4.8"/>
    <s v="No"/>
    <s v="Credit Card"/>
    <s v="Next Day Air"/>
    <s v="Yes"/>
    <s v="Yes"/>
    <n v="25"/>
    <x v="1"/>
    <s v="Fortnightly"/>
    <n v="1"/>
    <x v="1"/>
  </r>
  <r>
    <n v="1441"/>
    <n v="27"/>
    <s v="Male"/>
    <s v="Sandals"/>
    <x v="1"/>
    <n v="76"/>
    <x v="28"/>
    <s v="M"/>
    <s v="Pink"/>
    <x v="1"/>
    <n v="4.4000000000000004"/>
    <s v="No"/>
    <s v="Bank Transfer"/>
    <s v="Standard"/>
    <s v="Yes"/>
    <s v="Yes"/>
    <n v="13"/>
    <x v="0"/>
    <s v="Monthly"/>
    <n v="1"/>
    <x v="3"/>
  </r>
  <r>
    <n v="1442"/>
    <n v="34"/>
    <s v="Male"/>
    <s v="Pants"/>
    <x v="0"/>
    <n v="25"/>
    <x v="43"/>
    <s v="S"/>
    <s v="Turquoise"/>
    <x v="2"/>
    <n v="3.4"/>
    <s v="No"/>
    <s v="Debit Card"/>
    <s v="Free Shipping"/>
    <s v="Yes"/>
    <s v="Yes"/>
    <n v="3"/>
    <x v="0"/>
    <s v="Every 3 Months"/>
    <n v="1"/>
    <x v="3"/>
  </r>
  <r>
    <n v="1443"/>
    <n v="53"/>
    <s v="Male"/>
    <s v="Hoodie"/>
    <x v="0"/>
    <n v="92"/>
    <x v="37"/>
    <s v="S"/>
    <s v="Violet"/>
    <x v="1"/>
    <n v="2.8"/>
    <s v="No"/>
    <s v="Cash"/>
    <s v="2-Day Shipping"/>
    <s v="Yes"/>
    <s v="Yes"/>
    <n v="42"/>
    <x v="2"/>
    <s v="Annually"/>
    <n v="1"/>
    <x v="0"/>
  </r>
  <r>
    <n v="1444"/>
    <n v="58"/>
    <s v="Male"/>
    <s v="Sandals"/>
    <x v="1"/>
    <n v="47"/>
    <x v="37"/>
    <s v="L"/>
    <s v="Teal"/>
    <x v="3"/>
    <n v="4.2"/>
    <s v="No"/>
    <s v="PayPal"/>
    <s v="Next Day Air"/>
    <s v="Yes"/>
    <s v="Yes"/>
    <n v="2"/>
    <x v="1"/>
    <s v="Monthly"/>
    <n v="1"/>
    <x v="0"/>
  </r>
  <r>
    <n v="1445"/>
    <n v="32"/>
    <s v="Male"/>
    <s v="Sweater"/>
    <x v="0"/>
    <n v="36"/>
    <x v="34"/>
    <s v="L"/>
    <s v="Pink"/>
    <x v="3"/>
    <n v="3.8"/>
    <s v="No"/>
    <s v="Venmo"/>
    <s v="Express"/>
    <s v="Yes"/>
    <s v="Yes"/>
    <n v="26"/>
    <x v="1"/>
    <s v="Quarterly"/>
    <n v="1"/>
    <x v="3"/>
  </r>
  <r>
    <n v="1446"/>
    <n v="64"/>
    <s v="Male"/>
    <s v="Belt"/>
    <x v="3"/>
    <n v="51"/>
    <x v="10"/>
    <s v="M"/>
    <s v="Gold"/>
    <x v="3"/>
    <n v="3.1"/>
    <s v="No"/>
    <s v="Venmo"/>
    <s v="2-Day Shipping"/>
    <s v="Yes"/>
    <s v="Yes"/>
    <n v="24"/>
    <x v="2"/>
    <s v="Annually"/>
    <n v="1"/>
    <x v="0"/>
  </r>
  <r>
    <n v="1447"/>
    <n v="63"/>
    <s v="Male"/>
    <s v="Jeans"/>
    <x v="0"/>
    <n v="35"/>
    <x v="5"/>
    <s v="XL"/>
    <s v="Red"/>
    <x v="2"/>
    <n v="3.2"/>
    <s v="No"/>
    <s v="Debit Card"/>
    <s v="Express"/>
    <s v="Yes"/>
    <s v="Yes"/>
    <n v="6"/>
    <x v="2"/>
    <s v="Quarterly"/>
    <n v="1"/>
    <x v="0"/>
  </r>
  <r>
    <n v="1448"/>
    <n v="23"/>
    <s v="Male"/>
    <s v="Hoodie"/>
    <x v="0"/>
    <n v="57"/>
    <x v="35"/>
    <s v="S"/>
    <s v="Beige"/>
    <x v="2"/>
    <n v="3"/>
    <s v="No"/>
    <s v="Credit Card"/>
    <s v="Next Day Air"/>
    <s v="Yes"/>
    <s v="Yes"/>
    <n v="25"/>
    <x v="3"/>
    <s v="Monthly"/>
    <n v="1"/>
    <x v="1"/>
  </r>
  <r>
    <n v="1449"/>
    <n v="64"/>
    <s v="Male"/>
    <s v="Boots"/>
    <x v="1"/>
    <n v="95"/>
    <x v="8"/>
    <s v="M"/>
    <s v="Black"/>
    <x v="2"/>
    <n v="3.6"/>
    <s v="No"/>
    <s v="Bank Transfer"/>
    <s v="Free Shipping"/>
    <s v="Yes"/>
    <s v="Yes"/>
    <n v="11"/>
    <x v="2"/>
    <s v="Every 3 Months"/>
    <n v="1"/>
    <x v="0"/>
  </r>
  <r>
    <n v="1450"/>
    <n v="18"/>
    <s v="Male"/>
    <s v="Socks"/>
    <x v="0"/>
    <n v="41"/>
    <x v="14"/>
    <s v="L"/>
    <s v="Lavender"/>
    <x v="0"/>
    <n v="2.5"/>
    <s v="No"/>
    <s v="Debit Card"/>
    <s v="Store Pickup"/>
    <s v="Yes"/>
    <s v="Yes"/>
    <n v="20"/>
    <x v="1"/>
    <s v="Every 3 Months"/>
    <n v="1"/>
    <x v="1"/>
  </r>
  <r>
    <n v="1451"/>
    <n v="25"/>
    <s v="Male"/>
    <s v="Dress"/>
    <x v="0"/>
    <n v="44"/>
    <x v="26"/>
    <s v="S"/>
    <s v="Teal"/>
    <x v="0"/>
    <n v="3.4"/>
    <s v="No"/>
    <s v="PayPal"/>
    <s v="Free Shipping"/>
    <s v="Yes"/>
    <s v="Yes"/>
    <n v="25"/>
    <x v="1"/>
    <s v="Quarterly"/>
    <n v="1"/>
    <x v="1"/>
  </r>
  <r>
    <n v="1452"/>
    <n v="54"/>
    <s v="Male"/>
    <s v="Jacket"/>
    <x v="2"/>
    <n v="34"/>
    <x v="40"/>
    <s v="M"/>
    <s v="Maroon"/>
    <x v="3"/>
    <n v="2.5"/>
    <s v="No"/>
    <s v="Venmo"/>
    <s v="Next Day Air"/>
    <s v="Yes"/>
    <s v="Yes"/>
    <n v="35"/>
    <x v="3"/>
    <s v="Quarterly"/>
    <n v="1"/>
    <x v="0"/>
  </r>
  <r>
    <n v="1453"/>
    <n v="60"/>
    <s v="Male"/>
    <s v="Jacket"/>
    <x v="2"/>
    <n v="25"/>
    <x v="24"/>
    <s v="L"/>
    <s v="Blue"/>
    <x v="1"/>
    <n v="4.7"/>
    <s v="No"/>
    <s v="Venmo"/>
    <s v="2-Day Shipping"/>
    <s v="Yes"/>
    <s v="Yes"/>
    <n v="11"/>
    <x v="4"/>
    <s v="Quarterly"/>
    <n v="1"/>
    <x v="0"/>
  </r>
  <r>
    <n v="1454"/>
    <n v="36"/>
    <s v="Male"/>
    <s v="Boots"/>
    <x v="1"/>
    <n v="93"/>
    <x v="41"/>
    <s v="S"/>
    <s v="Teal"/>
    <x v="0"/>
    <n v="3.2"/>
    <s v="No"/>
    <s v="PayPal"/>
    <s v="2-Day Shipping"/>
    <s v="Yes"/>
    <s v="Yes"/>
    <n v="41"/>
    <x v="4"/>
    <s v="Fortnightly"/>
    <n v="1"/>
    <x v="2"/>
  </r>
  <r>
    <n v="1455"/>
    <n v="66"/>
    <s v="Male"/>
    <s v="Sneakers"/>
    <x v="1"/>
    <n v="50"/>
    <x v="42"/>
    <s v="L"/>
    <s v="Maroon"/>
    <x v="0"/>
    <n v="2.9"/>
    <s v="No"/>
    <s v="Bank Transfer"/>
    <s v="Free Shipping"/>
    <s v="Yes"/>
    <s v="Yes"/>
    <n v="17"/>
    <x v="2"/>
    <s v="Annually"/>
    <n v="1"/>
    <x v="0"/>
  </r>
  <r>
    <n v="1456"/>
    <n v="60"/>
    <s v="Male"/>
    <s v="Pants"/>
    <x v="0"/>
    <n v="79"/>
    <x v="15"/>
    <s v="L"/>
    <s v="Silver"/>
    <x v="3"/>
    <n v="4.9000000000000004"/>
    <s v="No"/>
    <s v="Debit Card"/>
    <s v="Express"/>
    <s v="Yes"/>
    <s v="Yes"/>
    <n v="1"/>
    <x v="3"/>
    <s v="Every 3 Months"/>
    <n v="1"/>
    <x v="0"/>
  </r>
  <r>
    <n v="1457"/>
    <n v="59"/>
    <s v="Male"/>
    <s v="Coat"/>
    <x v="2"/>
    <n v="100"/>
    <x v="6"/>
    <s v="S"/>
    <s v="Olive"/>
    <x v="1"/>
    <n v="2.7"/>
    <s v="No"/>
    <s v="Venmo"/>
    <s v="Store Pickup"/>
    <s v="Yes"/>
    <s v="Yes"/>
    <n v="30"/>
    <x v="3"/>
    <s v="Every 3 Months"/>
    <n v="1"/>
    <x v="0"/>
  </r>
  <r>
    <n v="1458"/>
    <n v="58"/>
    <s v="Male"/>
    <s v="Shirt"/>
    <x v="0"/>
    <n v="57"/>
    <x v="38"/>
    <s v="S"/>
    <s v="Gray"/>
    <x v="1"/>
    <n v="4.7"/>
    <s v="No"/>
    <s v="Bank Transfer"/>
    <s v="Express"/>
    <s v="Yes"/>
    <s v="Yes"/>
    <n v="47"/>
    <x v="0"/>
    <s v="Fortnightly"/>
    <n v="1"/>
    <x v="0"/>
  </r>
  <r>
    <n v="1459"/>
    <n v="35"/>
    <s v="Male"/>
    <s v="Sweater"/>
    <x v="0"/>
    <n v="28"/>
    <x v="9"/>
    <s v="M"/>
    <s v="Peach"/>
    <x v="1"/>
    <n v="2.9"/>
    <s v="No"/>
    <s v="Debit Card"/>
    <s v="2-Day Shipping"/>
    <s v="Yes"/>
    <s v="Yes"/>
    <n v="34"/>
    <x v="0"/>
    <s v="Weekly"/>
    <n v="1"/>
    <x v="3"/>
  </r>
  <r>
    <n v="1460"/>
    <n v="20"/>
    <s v="Male"/>
    <s v="Shoes"/>
    <x v="1"/>
    <n v="35"/>
    <x v="1"/>
    <s v="L"/>
    <s v="Yellow"/>
    <x v="0"/>
    <n v="4.8"/>
    <s v="No"/>
    <s v="PayPal"/>
    <s v="Express"/>
    <s v="Yes"/>
    <s v="Yes"/>
    <n v="18"/>
    <x v="0"/>
    <s v="Fortnightly"/>
    <n v="1"/>
    <x v="1"/>
  </r>
  <r>
    <n v="1461"/>
    <n v="70"/>
    <s v="Male"/>
    <s v="Boots"/>
    <x v="1"/>
    <n v="85"/>
    <x v="38"/>
    <s v="L"/>
    <s v="Violet"/>
    <x v="3"/>
    <n v="4.5999999999999996"/>
    <s v="No"/>
    <s v="Venmo"/>
    <s v="Standard"/>
    <s v="Yes"/>
    <s v="Yes"/>
    <n v="33"/>
    <x v="0"/>
    <s v="Bi-Weekly"/>
    <n v="1"/>
    <x v="0"/>
  </r>
  <r>
    <n v="1462"/>
    <n v="54"/>
    <s v="Male"/>
    <s v="Sunglasses"/>
    <x v="3"/>
    <n v="95"/>
    <x v="4"/>
    <s v="S"/>
    <s v="Red"/>
    <x v="2"/>
    <n v="5"/>
    <s v="No"/>
    <s v="PayPal"/>
    <s v="2-Day Shipping"/>
    <s v="Yes"/>
    <s v="Yes"/>
    <n v="42"/>
    <x v="0"/>
    <s v="Quarterly"/>
    <n v="1"/>
    <x v="0"/>
  </r>
  <r>
    <n v="1463"/>
    <n v="38"/>
    <s v="Male"/>
    <s v="Sneakers"/>
    <x v="1"/>
    <n v="90"/>
    <x v="40"/>
    <s v="S"/>
    <s v="Charcoal"/>
    <x v="2"/>
    <n v="4.8"/>
    <s v="No"/>
    <s v="Venmo"/>
    <s v="2-Day Shipping"/>
    <s v="Yes"/>
    <s v="Yes"/>
    <n v="2"/>
    <x v="0"/>
    <s v="Quarterly"/>
    <n v="1"/>
    <x v="2"/>
  </r>
  <r>
    <n v="1464"/>
    <n v="54"/>
    <s v="Male"/>
    <s v="Jewelry"/>
    <x v="3"/>
    <n v="49"/>
    <x v="19"/>
    <s v="M"/>
    <s v="Beige"/>
    <x v="2"/>
    <n v="4.9000000000000004"/>
    <s v="No"/>
    <s v="Credit Card"/>
    <s v="Store Pickup"/>
    <s v="Yes"/>
    <s v="Yes"/>
    <n v="1"/>
    <x v="4"/>
    <s v="Monthly"/>
    <n v="1"/>
    <x v="0"/>
  </r>
  <r>
    <n v="1465"/>
    <n v="33"/>
    <s v="Male"/>
    <s v="Belt"/>
    <x v="3"/>
    <n v="92"/>
    <x v="6"/>
    <s v="M"/>
    <s v="Peach"/>
    <x v="0"/>
    <n v="4.5999999999999996"/>
    <s v="No"/>
    <s v="Bank Transfer"/>
    <s v="2-Day Shipping"/>
    <s v="Yes"/>
    <s v="Yes"/>
    <n v="23"/>
    <x v="4"/>
    <s v="Quarterly"/>
    <n v="1"/>
    <x v="3"/>
  </r>
  <r>
    <n v="1466"/>
    <n v="46"/>
    <s v="Male"/>
    <s v="Gloves"/>
    <x v="3"/>
    <n v="72"/>
    <x v="43"/>
    <s v="XL"/>
    <s v="Violet"/>
    <x v="0"/>
    <n v="3.9"/>
    <s v="No"/>
    <s v="Bank Transfer"/>
    <s v="Store Pickup"/>
    <s v="Yes"/>
    <s v="Yes"/>
    <n v="42"/>
    <x v="1"/>
    <s v="Bi-Weekly"/>
    <n v="1"/>
    <x v="0"/>
  </r>
  <r>
    <n v="1467"/>
    <n v="58"/>
    <s v="Male"/>
    <s v="Shorts"/>
    <x v="0"/>
    <n v="71"/>
    <x v="15"/>
    <s v="M"/>
    <s v="Green"/>
    <x v="2"/>
    <n v="4.5"/>
    <s v="No"/>
    <s v="PayPal"/>
    <s v="Store Pickup"/>
    <s v="Yes"/>
    <s v="Yes"/>
    <n v="3"/>
    <x v="3"/>
    <s v="Annually"/>
    <n v="1"/>
    <x v="0"/>
  </r>
  <r>
    <n v="1468"/>
    <n v="30"/>
    <s v="Male"/>
    <s v="Jewelry"/>
    <x v="3"/>
    <n v="27"/>
    <x v="31"/>
    <s v="XL"/>
    <s v="Olive"/>
    <x v="0"/>
    <n v="4.7"/>
    <s v="No"/>
    <s v="Credit Card"/>
    <s v="Store Pickup"/>
    <s v="Yes"/>
    <s v="Yes"/>
    <n v="16"/>
    <x v="5"/>
    <s v="Fortnightly"/>
    <n v="1"/>
    <x v="3"/>
  </r>
  <r>
    <n v="1469"/>
    <n v="42"/>
    <s v="Male"/>
    <s v="Gloves"/>
    <x v="3"/>
    <n v="39"/>
    <x v="10"/>
    <s v="S"/>
    <s v="Silver"/>
    <x v="3"/>
    <n v="3.9"/>
    <s v="No"/>
    <s v="Bank Transfer"/>
    <s v="Express"/>
    <s v="Yes"/>
    <s v="Yes"/>
    <n v="46"/>
    <x v="1"/>
    <s v="Fortnightly"/>
    <n v="1"/>
    <x v="2"/>
  </r>
  <r>
    <n v="1470"/>
    <n v="28"/>
    <s v="Male"/>
    <s v="Jewelry"/>
    <x v="3"/>
    <n v="98"/>
    <x v="16"/>
    <s v="M"/>
    <s v="Purple"/>
    <x v="0"/>
    <n v="4.4000000000000004"/>
    <s v="No"/>
    <s v="Debit Card"/>
    <s v="Standard"/>
    <s v="Yes"/>
    <s v="Yes"/>
    <n v="31"/>
    <x v="3"/>
    <s v="Every 3 Months"/>
    <n v="1"/>
    <x v="3"/>
  </r>
  <r>
    <n v="1471"/>
    <n v="43"/>
    <s v="Male"/>
    <s v="Sandals"/>
    <x v="1"/>
    <n v="27"/>
    <x v="18"/>
    <s v="M"/>
    <s v="Silver"/>
    <x v="1"/>
    <n v="3.9"/>
    <s v="No"/>
    <s v="Venmo"/>
    <s v="Next Day Air"/>
    <s v="Yes"/>
    <s v="Yes"/>
    <n v="15"/>
    <x v="1"/>
    <s v="Every 3 Months"/>
    <n v="1"/>
    <x v="2"/>
  </r>
  <r>
    <n v="1472"/>
    <n v="31"/>
    <s v="Male"/>
    <s v="Jewelry"/>
    <x v="3"/>
    <n v="71"/>
    <x v="29"/>
    <s v="S"/>
    <s v="Gray"/>
    <x v="1"/>
    <n v="2.8"/>
    <s v="No"/>
    <s v="PayPal"/>
    <s v="2-Day Shipping"/>
    <s v="Yes"/>
    <s v="Yes"/>
    <n v="48"/>
    <x v="0"/>
    <s v="Every 3 Months"/>
    <n v="1"/>
    <x v="3"/>
  </r>
  <r>
    <n v="1473"/>
    <n v="39"/>
    <s v="Male"/>
    <s v="Hat"/>
    <x v="3"/>
    <n v="24"/>
    <x v="27"/>
    <s v="L"/>
    <s v="Turquoise"/>
    <x v="1"/>
    <n v="3.5"/>
    <s v="No"/>
    <s v="Bank Transfer"/>
    <s v="Store Pickup"/>
    <s v="Yes"/>
    <s v="Yes"/>
    <n v="11"/>
    <x v="1"/>
    <s v="Weekly"/>
    <n v="1"/>
    <x v="2"/>
  </r>
  <r>
    <n v="1474"/>
    <n v="69"/>
    <s v="Male"/>
    <s v="Shorts"/>
    <x v="0"/>
    <n v="63"/>
    <x v="48"/>
    <s v="M"/>
    <s v="Violet"/>
    <x v="3"/>
    <n v="4.3"/>
    <s v="No"/>
    <s v="Cash"/>
    <s v="Express"/>
    <s v="Yes"/>
    <s v="Yes"/>
    <n v="20"/>
    <x v="2"/>
    <s v="Every 3 Months"/>
    <n v="1"/>
    <x v="0"/>
  </r>
  <r>
    <n v="1475"/>
    <n v="31"/>
    <s v="Male"/>
    <s v="Sweater"/>
    <x v="0"/>
    <n v="72"/>
    <x v="32"/>
    <s v="S"/>
    <s v="Pink"/>
    <x v="3"/>
    <n v="3.9"/>
    <s v="No"/>
    <s v="Bank Transfer"/>
    <s v="Next Day Air"/>
    <s v="Yes"/>
    <s v="Yes"/>
    <n v="6"/>
    <x v="2"/>
    <s v="Monthly"/>
    <n v="1"/>
    <x v="3"/>
  </r>
  <r>
    <n v="1476"/>
    <n v="44"/>
    <s v="Male"/>
    <s v="Blouse"/>
    <x v="0"/>
    <n v="61"/>
    <x v="3"/>
    <s v="M"/>
    <s v="Teal"/>
    <x v="1"/>
    <n v="4"/>
    <s v="No"/>
    <s v="Bank Transfer"/>
    <s v="Express"/>
    <s v="Yes"/>
    <s v="Yes"/>
    <n v="24"/>
    <x v="1"/>
    <s v="Monthly"/>
    <n v="1"/>
    <x v="2"/>
  </r>
  <r>
    <n v="1477"/>
    <n v="39"/>
    <s v="Male"/>
    <s v="Hat"/>
    <x v="3"/>
    <n v="56"/>
    <x v="5"/>
    <s v="M"/>
    <s v="Magenta"/>
    <x v="3"/>
    <n v="4.0999999999999996"/>
    <s v="No"/>
    <s v="Credit Card"/>
    <s v="Next Day Air"/>
    <s v="Yes"/>
    <s v="Yes"/>
    <n v="18"/>
    <x v="2"/>
    <s v="Monthly"/>
    <n v="1"/>
    <x v="2"/>
  </r>
  <r>
    <n v="1478"/>
    <n v="24"/>
    <s v="Male"/>
    <s v="Belt"/>
    <x v="3"/>
    <n v="32"/>
    <x v="4"/>
    <s v="XL"/>
    <s v="Silver"/>
    <x v="2"/>
    <n v="4.3"/>
    <s v="No"/>
    <s v="Credit Card"/>
    <s v="Standard"/>
    <s v="Yes"/>
    <s v="Yes"/>
    <n v="1"/>
    <x v="3"/>
    <s v="Every 3 Months"/>
    <n v="1"/>
    <x v="1"/>
  </r>
  <r>
    <n v="1479"/>
    <n v="28"/>
    <s v="Male"/>
    <s v="Gloves"/>
    <x v="3"/>
    <n v="23"/>
    <x v="47"/>
    <s v="M"/>
    <s v="Blue"/>
    <x v="2"/>
    <n v="4.2"/>
    <s v="No"/>
    <s v="PayPal"/>
    <s v="Free Shipping"/>
    <s v="Yes"/>
    <s v="Yes"/>
    <n v="13"/>
    <x v="0"/>
    <s v="Bi-Weekly"/>
    <n v="1"/>
    <x v="3"/>
  </r>
  <r>
    <n v="1480"/>
    <n v="48"/>
    <s v="Male"/>
    <s v="Coat"/>
    <x v="2"/>
    <n v="100"/>
    <x v="47"/>
    <s v="L"/>
    <s v="Black"/>
    <x v="1"/>
    <n v="4"/>
    <s v="No"/>
    <s v="Debit Card"/>
    <s v="Standard"/>
    <s v="Yes"/>
    <s v="Yes"/>
    <n v="2"/>
    <x v="4"/>
    <s v="Weekly"/>
    <n v="1"/>
    <x v="0"/>
  </r>
  <r>
    <n v="1481"/>
    <n v="39"/>
    <s v="Male"/>
    <s v="Jewelry"/>
    <x v="3"/>
    <n v="74"/>
    <x v="13"/>
    <s v="M"/>
    <s v="Gold"/>
    <x v="3"/>
    <n v="3.6"/>
    <s v="No"/>
    <s v="Cash"/>
    <s v="Express"/>
    <s v="Yes"/>
    <s v="Yes"/>
    <n v="26"/>
    <x v="1"/>
    <s v="Quarterly"/>
    <n v="1"/>
    <x v="2"/>
  </r>
  <r>
    <n v="1482"/>
    <n v="64"/>
    <s v="Male"/>
    <s v="Skirt"/>
    <x v="0"/>
    <n v="33"/>
    <x v="33"/>
    <s v="S"/>
    <s v="Gray"/>
    <x v="1"/>
    <n v="3.3"/>
    <s v="No"/>
    <s v="Credit Card"/>
    <s v="Standard"/>
    <s v="Yes"/>
    <s v="Yes"/>
    <n v="31"/>
    <x v="3"/>
    <s v="Quarterly"/>
    <n v="1"/>
    <x v="0"/>
  </r>
  <r>
    <n v="1483"/>
    <n v="28"/>
    <s v="Male"/>
    <s v="Gloves"/>
    <x v="3"/>
    <n v="67"/>
    <x v="48"/>
    <s v="S"/>
    <s v="Magenta"/>
    <x v="1"/>
    <n v="4.0999999999999996"/>
    <s v="No"/>
    <s v="Venmo"/>
    <s v="2-Day Shipping"/>
    <s v="Yes"/>
    <s v="Yes"/>
    <n v="43"/>
    <x v="4"/>
    <s v="Weekly"/>
    <n v="1"/>
    <x v="3"/>
  </r>
  <r>
    <n v="1484"/>
    <n v="39"/>
    <s v="Male"/>
    <s v="Jewelry"/>
    <x v="3"/>
    <n v="61"/>
    <x v="2"/>
    <s v="S"/>
    <s v="Yellow"/>
    <x v="2"/>
    <n v="4.7"/>
    <s v="No"/>
    <s v="PayPal"/>
    <s v="Next Day Air"/>
    <s v="Yes"/>
    <s v="Yes"/>
    <n v="12"/>
    <x v="5"/>
    <s v="Bi-Weekly"/>
    <n v="1"/>
    <x v="2"/>
  </r>
  <r>
    <n v="1485"/>
    <n v="49"/>
    <s v="Male"/>
    <s v="Shorts"/>
    <x v="0"/>
    <n v="46"/>
    <x v="43"/>
    <s v="M"/>
    <s v="Teal"/>
    <x v="2"/>
    <n v="4.4000000000000004"/>
    <s v="No"/>
    <s v="Cash"/>
    <s v="Store Pickup"/>
    <s v="Yes"/>
    <s v="Yes"/>
    <n v="22"/>
    <x v="0"/>
    <s v="Every 3 Months"/>
    <n v="1"/>
    <x v="0"/>
  </r>
  <r>
    <n v="1486"/>
    <n v="22"/>
    <s v="Male"/>
    <s v="Gloves"/>
    <x v="3"/>
    <n v="56"/>
    <x v="43"/>
    <s v="L"/>
    <s v="Red"/>
    <x v="1"/>
    <n v="3.4"/>
    <s v="No"/>
    <s v="Bank Transfer"/>
    <s v="Standard"/>
    <s v="Yes"/>
    <s v="Yes"/>
    <n v="3"/>
    <x v="1"/>
    <s v="Fortnightly"/>
    <n v="1"/>
    <x v="1"/>
  </r>
  <r>
    <n v="1487"/>
    <n v="25"/>
    <s v="Male"/>
    <s v="Sneakers"/>
    <x v="1"/>
    <n v="73"/>
    <x v="37"/>
    <s v="S"/>
    <s v="Yellow"/>
    <x v="1"/>
    <n v="5"/>
    <s v="No"/>
    <s v="Cash"/>
    <s v="Free Shipping"/>
    <s v="Yes"/>
    <s v="Yes"/>
    <n v="23"/>
    <x v="0"/>
    <s v="Every 3 Months"/>
    <n v="1"/>
    <x v="1"/>
  </r>
  <r>
    <n v="1488"/>
    <n v="40"/>
    <s v="Male"/>
    <s v="Skirt"/>
    <x v="0"/>
    <n v="44"/>
    <x v="28"/>
    <s v="L"/>
    <s v="Black"/>
    <x v="2"/>
    <n v="4.5999999999999996"/>
    <s v="No"/>
    <s v="Credit Card"/>
    <s v="Store Pickup"/>
    <s v="Yes"/>
    <s v="Yes"/>
    <n v="26"/>
    <x v="3"/>
    <s v="Annually"/>
    <n v="1"/>
    <x v="2"/>
  </r>
  <r>
    <n v="1489"/>
    <n v="23"/>
    <s v="Male"/>
    <s v="Hat"/>
    <x v="3"/>
    <n v="44"/>
    <x v="11"/>
    <s v="L"/>
    <s v="Pink"/>
    <x v="0"/>
    <n v="4"/>
    <s v="No"/>
    <s v="Venmo"/>
    <s v="Standard"/>
    <s v="Yes"/>
    <s v="Yes"/>
    <n v="37"/>
    <x v="2"/>
    <s v="Weekly"/>
    <n v="1"/>
    <x v="1"/>
  </r>
  <r>
    <n v="1490"/>
    <n v="24"/>
    <s v="Male"/>
    <s v="Jewelry"/>
    <x v="3"/>
    <n v="26"/>
    <x v="9"/>
    <s v="XL"/>
    <s v="Magenta"/>
    <x v="2"/>
    <n v="4.0999999999999996"/>
    <s v="No"/>
    <s v="PayPal"/>
    <s v="Next Day Air"/>
    <s v="Yes"/>
    <s v="Yes"/>
    <n v="42"/>
    <x v="0"/>
    <s v="Quarterly"/>
    <n v="1"/>
    <x v="1"/>
  </r>
  <r>
    <n v="1491"/>
    <n v="66"/>
    <s v="Male"/>
    <s v="Sneakers"/>
    <x v="1"/>
    <n v="52"/>
    <x v="7"/>
    <s v="L"/>
    <s v="Olive"/>
    <x v="1"/>
    <n v="4.9000000000000004"/>
    <s v="No"/>
    <s v="Venmo"/>
    <s v="Express"/>
    <s v="Yes"/>
    <s v="Yes"/>
    <n v="15"/>
    <x v="0"/>
    <s v="Bi-Weekly"/>
    <n v="1"/>
    <x v="0"/>
  </r>
  <r>
    <n v="1492"/>
    <n v="27"/>
    <s v="Male"/>
    <s v="Shirt"/>
    <x v="0"/>
    <n v="54"/>
    <x v="10"/>
    <s v="S"/>
    <s v="Black"/>
    <x v="2"/>
    <n v="2.7"/>
    <s v="No"/>
    <s v="Venmo"/>
    <s v="Free Shipping"/>
    <s v="Yes"/>
    <s v="Yes"/>
    <n v="10"/>
    <x v="4"/>
    <s v="Quarterly"/>
    <n v="1"/>
    <x v="3"/>
  </r>
  <r>
    <n v="1493"/>
    <n v="62"/>
    <s v="Male"/>
    <s v="Jacket"/>
    <x v="2"/>
    <n v="38"/>
    <x v="17"/>
    <s v="M"/>
    <s v="Maroon"/>
    <x v="2"/>
    <n v="4.5"/>
    <s v="No"/>
    <s v="Venmo"/>
    <s v="Free Shipping"/>
    <s v="Yes"/>
    <s v="Yes"/>
    <n v="3"/>
    <x v="0"/>
    <s v="Quarterly"/>
    <n v="1"/>
    <x v="0"/>
  </r>
  <r>
    <n v="1494"/>
    <n v="70"/>
    <s v="Male"/>
    <s v="Belt"/>
    <x v="3"/>
    <n v="44"/>
    <x v="25"/>
    <s v="S"/>
    <s v="Gold"/>
    <x v="3"/>
    <n v="2.7"/>
    <s v="No"/>
    <s v="Venmo"/>
    <s v="Standard"/>
    <s v="Yes"/>
    <s v="Yes"/>
    <n v="44"/>
    <x v="2"/>
    <s v="Quarterly"/>
    <n v="1"/>
    <x v="0"/>
  </r>
  <r>
    <n v="1495"/>
    <n v="43"/>
    <s v="Male"/>
    <s v="T-shirt"/>
    <x v="0"/>
    <n v="76"/>
    <x v="6"/>
    <s v="M"/>
    <s v="Gray"/>
    <x v="1"/>
    <n v="3"/>
    <s v="No"/>
    <s v="Bank Transfer"/>
    <s v="Next Day Air"/>
    <s v="Yes"/>
    <s v="Yes"/>
    <n v="23"/>
    <x v="4"/>
    <s v="Fortnightly"/>
    <n v="1"/>
    <x v="2"/>
  </r>
  <r>
    <n v="1496"/>
    <n v="45"/>
    <s v="Male"/>
    <s v="Jewelry"/>
    <x v="3"/>
    <n v="23"/>
    <x v="3"/>
    <s v="M"/>
    <s v="Brown"/>
    <x v="0"/>
    <n v="4.5"/>
    <s v="No"/>
    <s v="PayPal"/>
    <s v="Next Day Air"/>
    <s v="Yes"/>
    <s v="Yes"/>
    <n v="6"/>
    <x v="3"/>
    <s v="Weekly"/>
    <n v="1"/>
    <x v="2"/>
  </r>
  <r>
    <n v="1497"/>
    <n v="63"/>
    <s v="Male"/>
    <s v="T-shirt"/>
    <x v="0"/>
    <n v="98"/>
    <x v="37"/>
    <s v="M"/>
    <s v="Purple"/>
    <x v="0"/>
    <n v="5"/>
    <s v="No"/>
    <s v="Credit Card"/>
    <s v="Standard"/>
    <s v="Yes"/>
    <s v="Yes"/>
    <n v="9"/>
    <x v="0"/>
    <s v="Bi-Weekly"/>
    <n v="1"/>
    <x v="0"/>
  </r>
  <r>
    <n v="1498"/>
    <n v="69"/>
    <s v="Male"/>
    <s v="Jacket"/>
    <x v="2"/>
    <n v="33"/>
    <x v="49"/>
    <s v="S"/>
    <s v="Magenta"/>
    <x v="1"/>
    <n v="3.8"/>
    <s v="No"/>
    <s v="Debit Card"/>
    <s v="2-Day Shipping"/>
    <s v="Yes"/>
    <s v="Yes"/>
    <n v="16"/>
    <x v="5"/>
    <s v="Every 3 Months"/>
    <n v="1"/>
    <x v="0"/>
  </r>
  <r>
    <n v="1499"/>
    <n v="59"/>
    <s v="Male"/>
    <s v="Sweater"/>
    <x v="0"/>
    <n v="32"/>
    <x v="26"/>
    <s v="M"/>
    <s v="Teal"/>
    <x v="2"/>
    <n v="3.1"/>
    <s v="No"/>
    <s v="PayPal"/>
    <s v="Standard"/>
    <s v="Yes"/>
    <s v="Yes"/>
    <n v="46"/>
    <x v="0"/>
    <s v="Fortnightly"/>
    <n v="1"/>
    <x v="0"/>
  </r>
  <r>
    <n v="1500"/>
    <n v="19"/>
    <s v="Male"/>
    <s v="Boots"/>
    <x v="1"/>
    <n v="85"/>
    <x v="42"/>
    <s v="S"/>
    <s v="Olive"/>
    <x v="3"/>
    <n v="3.4"/>
    <s v="No"/>
    <s v="Cash"/>
    <s v="Free Shipping"/>
    <s v="Yes"/>
    <s v="Yes"/>
    <n v="24"/>
    <x v="2"/>
    <s v="Every 3 Months"/>
    <n v="1"/>
    <x v="1"/>
  </r>
  <r>
    <n v="1501"/>
    <n v="63"/>
    <s v="Male"/>
    <s v="Jeans"/>
    <x v="0"/>
    <n v="69"/>
    <x v="15"/>
    <s v="L"/>
    <s v="Maroon"/>
    <x v="2"/>
    <n v="4.8"/>
    <s v="No"/>
    <s v="Venmo"/>
    <s v="Next Day Air"/>
    <s v="Yes"/>
    <s v="Yes"/>
    <n v="22"/>
    <x v="5"/>
    <s v="Monthly"/>
    <n v="1"/>
    <x v="0"/>
  </r>
  <r>
    <n v="1502"/>
    <n v="37"/>
    <s v="Male"/>
    <s v="Jeans"/>
    <x v="0"/>
    <n v="55"/>
    <x v="29"/>
    <s v="XL"/>
    <s v="Silver"/>
    <x v="1"/>
    <n v="2.7"/>
    <s v="No"/>
    <s v="Bank Transfer"/>
    <s v="Standard"/>
    <s v="Yes"/>
    <s v="Yes"/>
    <n v="13"/>
    <x v="5"/>
    <s v="Every 3 Months"/>
    <n v="1"/>
    <x v="2"/>
  </r>
  <r>
    <n v="1503"/>
    <n v="37"/>
    <s v="Male"/>
    <s v="Pants"/>
    <x v="0"/>
    <n v="66"/>
    <x v="2"/>
    <s v="M"/>
    <s v="Black"/>
    <x v="2"/>
    <n v="3.2"/>
    <s v="No"/>
    <s v="PayPal"/>
    <s v="Store Pickup"/>
    <s v="Yes"/>
    <s v="Yes"/>
    <n v="20"/>
    <x v="1"/>
    <s v="Fortnightly"/>
    <n v="1"/>
    <x v="2"/>
  </r>
  <r>
    <n v="1504"/>
    <n v="50"/>
    <s v="Male"/>
    <s v="Jacket"/>
    <x v="2"/>
    <n v="30"/>
    <x v="49"/>
    <s v="M"/>
    <s v="Maroon"/>
    <x v="3"/>
    <n v="3.9"/>
    <s v="No"/>
    <s v="Cash"/>
    <s v="2-Day Shipping"/>
    <s v="Yes"/>
    <s v="Yes"/>
    <n v="46"/>
    <x v="1"/>
    <s v="Quarterly"/>
    <n v="1"/>
    <x v="0"/>
  </r>
  <r>
    <n v="1505"/>
    <n v="60"/>
    <s v="Male"/>
    <s v="Jacket"/>
    <x v="2"/>
    <n v="80"/>
    <x v="29"/>
    <s v="M"/>
    <s v="Teal"/>
    <x v="0"/>
    <n v="4.2"/>
    <s v="No"/>
    <s v="Cash"/>
    <s v="Next Day Air"/>
    <s v="Yes"/>
    <s v="Yes"/>
    <n v="10"/>
    <x v="4"/>
    <s v="Monthly"/>
    <n v="1"/>
    <x v="0"/>
  </r>
  <r>
    <n v="1506"/>
    <n v="46"/>
    <s v="Male"/>
    <s v="Belt"/>
    <x v="3"/>
    <n v="20"/>
    <x v="25"/>
    <s v="M"/>
    <s v="Teal"/>
    <x v="2"/>
    <n v="3"/>
    <s v="No"/>
    <s v="PayPal"/>
    <s v="Express"/>
    <s v="Yes"/>
    <s v="Yes"/>
    <n v="39"/>
    <x v="1"/>
    <s v="Monthly"/>
    <n v="1"/>
    <x v="0"/>
  </r>
  <r>
    <n v="1507"/>
    <n v="35"/>
    <s v="Male"/>
    <s v="Shirt"/>
    <x v="0"/>
    <n v="30"/>
    <x v="36"/>
    <s v="L"/>
    <s v="Beige"/>
    <x v="3"/>
    <n v="3"/>
    <s v="No"/>
    <s v="Venmo"/>
    <s v="2-Day Shipping"/>
    <s v="Yes"/>
    <s v="Yes"/>
    <n v="44"/>
    <x v="3"/>
    <s v="Quarterly"/>
    <n v="1"/>
    <x v="3"/>
  </r>
  <r>
    <n v="1508"/>
    <n v="66"/>
    <s v="Male"/>
    <s v="Dress"/>
    <x v="0"/>
    <n v="86"/>
    <x v="38"/>
    <s v="S"/>
    <s v="Maroon"/>
    <x v="0"/>
    <n v="3.7"/>
    <s v="No"/>
    <s v="Bank Transfer"/>
    <s v="2-Day Shipping"/>
    <s v="Yes"/>
    <s v="Yes"/>
    <n v="7"/>
    <x v="0"/>
    <s v="Annually"/>
    <n v="1"/>
    <x v="0"/>
  </r>
  <r>
    <n v="1509"/>
    <n v="35"/>
    <s v="Male"/>
    <s v="Blouse"/>
    <x v="0"/>
    <n v="84"/>
    <x v="24"/>
    <s v="L"/>
    <s v="Beige"/>
    <x v="1"/>
    <n v="4.4000000000000004"/>
    <s v="No"/>
    <s v="Credit Card"/>
    <s v="Store Pickup"/>
    <s v="Yes"/>
    <s v="Yes"/>
    <n v="3"/>
    <x v="1"/>
    <s v="Every 3 Months"/>
    <n v="1"/>
    <x v="3"/>
  </r>
  <r>
    <n v="1510"/>
    <n v="20"/>
    <s v="Male"/>
    <s v="Dress"/>
    <x v="0"/>
    <n v="54"/>
    <x v="13"/>
    <s v="XL"/>
    <s v="White"/>
    <x v="2"/>
    <n v="4.5999999999999996"/>
    <s v="No"/>
    <s v="Credit Card"/>
    <s v="Free Shipping"/>
    <s v="Yes"/>
    <s v="Yes"/>
    <n v="44"/>
    <x v="5"/>
    <s v="Annually"/>
    <n v="1"/>
    <x v="1"/>
  </r>
  <r>
    <n v="1511"/>
    <n v="55"/>
    <s v="Male"/>
    <s v="Blouse"/>
    <x v="0"/>
    <n v="30"/>
    <x v="33"/>
    <s v="XL"/>
    <s v="Gray"/>
    <x v="3"/>
    <n v="3"/>
    <s v="No"/>
    <s v="Credit Card"/>
    <s v="Free Shipping"/>
    <s v="Yes"/>
    <s v="Yes"/>
    <n v="31"/>
    <x v="0"/>
    <s v="Annually"/>
    <n v="1"/>
    <x v="0"/>
  </r>
  <r>
    <n v="1512"/>
    <n v="34"/>
    <s v="Male"/>
    <s v="Dress"/>
    <x v="0"/>
    <n v="91"/>
    <x v="42"/>
    <s v="M"/>
    <s v="Violet"/>
    <x v="0"/>
    <n v="3.6"/>
    <s v="No"/>
    <s v="Credit Card"/>
    <s v="Express"/>
    <s v="Yes"/>
    <s v="Yes"/>
    <n v="48"/>
    <x v="2"/>
    <s v="Weekly"/>
    <n v="1"/>
    <x v="3"/>
  </r>
  <r>
    <n v="1513"/>
    <n v="60"/>
    <s v="Male"/>
    <s v="Sneakers"/>
    <x v="1"/>
    <n v="23"/>
    <x v="48"/>
    <s v="L"/>
    <s v="Silver"/>
    <x v="0"/>
    <n v="3.9"/>
    <s v="No"/>
    <s v="Debit Card"/>
    <s v="Standard"/>
    <s v="Yes"/>
    <s v="Yes"/>
    <n v="18"/>
    <x v="3"/>
    <s v="Bi-Weekly"/>
    <n v="1"/>
    <x v="0"/>
  </r>
  <r>
    <n v="1514"/>
    <n v="22"/>
    <s v="Male"/>
    <s v="Socks"/>
    <x v="0"/>
    <n v="35"/>
    <x v="21"/>
    <s v="M"/>
    <s v="Red"/>
    <x v="1"/>
    <n v="4.0999999999999996"/>
    <s v="No"/>
    <s v="PayPal"/>
    <s v="Free Shipping"/>
    <s v="Yes"/>
    <s v="Yes"/>
    <n v="27"/>
    <x v="1"/>
    <s v="Monthly"/>
    <n v="1"/>
    <x v="1"/>
  </r>
  <r>
    <n v="1515"/>
    <n v="26"/>
    <s v="Male"/>
    <s v="Shoes"/>
    <x v="1"/>
    <n v="90"/>
    <x v="40"/>
    <s v="L"/>
    <s v="Brown"/>
    <x v="0"/>
    <n v="3.9"/>
    <s v="No"/>
    <s v="Venmo"/>
    <s v="2-Day Shipping"/>
    <s v="Yes"/>
    <s v="Yes"/>
    <n v="1"/>
    <x v="0"/>
    <s v="Weekly"/>
    <n v="1"/>
    <x v="3"/>
  </r>
  <r>
    <n v="1516"/>
    <n v="39"/>
    <s v="Male"/>
    <s v="Jeans"/>
    <x v="0"/>
    <n v="93"/>
    <x v="27"/>
    <s v="S"/>
    <s v="Turquoise"/>
    <x v="3"/>
    <n v="3.9"/>
    <s v="No"/>
    <s v="Debit Card"/>
    <s v="2-Day Shipping"/>
    <s v="Yes"/>
    <s v="Yes"/>
    <n v="34"/>
    <x v="1"/>
    <s v="Weekly"/>
    <n v="1"/>
    <x v="2"/>
  </r>
  <r>
    <n v="1517"/>
    <n v="20"/>
    <s v="Male"/>
    <s v="Jeans"/>
    <x v="0"/>
    <n v="68"/>
    <x v="22"/>
    <s v="L"/>
    <s v="Indigo"/>
    <x v="0"/>
    <n v="4.5"/>
    <s v="No"/>
    <s v="Bank Transfer"/>
    <s v="Express"/>
    <s v="Yes"/>
    <s v="Yes"/>
    <n v="5"/>
    <x v="4"/>
    <s v="Bi-Weekly"/>
    <n v="1"/>
    <x v="1"/>
  </r>
  <r>
    <n v="1518"/>
    <n v="57"/>
    <s v="Male"/>
    <s v="Gloves"/>
    <x v="3"/>
    <n v="41"/>
    <x v="13"/>
    <s v="M"/>
    <s v="Violet"/>
    <x v="1"/>
    <n v="3.4"/>
    <s v="No"/>
    <s v="PayPal"/>
    <s v="Standard"/>
    <s v="Yes"/>
    <s v="Yes"/>
    <n v="12"/>
    <x v="1"/>
    <s v="Quarterly"/>
    <n v="1"/>
    <x v="0"/>
  </r>
  <r>
    <n v="1519"/>
    <n v="68"/>
    <s v="Male"/>
    <s v="Belt"/>
    <x v="3"/>
    <n v="73"/>
    <x v="14"/>
    <s v="M"/>
    <s v="Yellow"/>
    <x v="0"/>
    <n v="4.0999999999999996"/>
    <s v="No"/>
    <s v="Cash"/>
    <s v="Next Day Air"/>
    <s v="Yes"/>
    <s v="Yes"/>
    <n v="14"/>
    <x v="0"/>
    <s v="Fortnightly"/>
    <n v="1"/>
    <x v="0"/>
  </r>
  <r>
    <n v="1520"/>
    <n v="50"/>
    <s v="Male"/>
    <s v="Sunglasses"/>
    <x v="3"/>
    <n v="73"/>
    <x v="21"/>
    <s v="L"/>
    <s v="Cyan"/>
    <x v="3"/>
    <n v="4.9000000000000004"/>
    <s v="No"/>
    <s v="Venmo"/>
    <s v="Next Day Air"/>
    <s v="Yes"/>
    <s v="Yes"/>
    <n v="40"/>
    <x v="3"/>
    <s v="Weekly"/>
    <n v="1"/>
    <x v="0"/>
  </r>
  <r>
    <n v="1521"/>
    <n v="21"/>
    <s v="Male"/>
    <s v="Hat"/>
    <x v="3"/>
    <n v="66"/>
    <x v="44"/>
    <s v="M"/>
    <s v="Brown"/>
    <x v="2"/>
    <n v="4.4000000000000004"/>
    <s v="No"/>
    <s v="Venmo"/>
    <s v="2-Day Shipping"/>
    <s v="Yes"/>
    <s v="Yes"/>
    <n v="39"/>
    <x v="1"/>
    <s v="Quarterly"/>
    <n v="1"/>
    <x v="1"/>
  </r>
  <r>
    <n v="1522"/>
    <n v="29"/>
    <s v="Male"/>
    <s v="Backpack"/>
    <x v="3"/>
    <n v="59"/>
    <x v="47"/>
    <s v="M"/>
    <s v="White"/>
    <x v="2"/>
    <n v="2.7"/>
    <s v="No"/>
    <s v="Credit Card"/>
    <s v="2-Day Shipping"/>
    <s v="Yes"/>
    <s v="Yes"/>
    <n v="50"/>
    <x v="4"/>
    <s v="Weekly"/>
    <n v="1"/>
    <x v="3"/>
  </r>
  <r>
    <n v="1523"/>
    <n v="38"/>
    <s v="Male"/>
    <s v="Shorts"/>
    <x v="0"/>
    <n v="72"/>
    <x v="30"/>
    <s v="L"/>
    <s v="Yellow"/>
    <x v="1"/>
    <n v="4.8"/>
    <s v="No"/>
    <s v="Venmo"/>
    <s v="Free Shipping"/>
    <s v="Yes"/>
    <s v="Yes"/>
    <n v="5"/>
    <x v="5"/>
    <s v="Monthly"/>
    <n v="1"/>
    <x v="2"/>
  </r>
  <r>
    <n v="1524"/>
    <n v="54"/>
    <s v="Male"/>
    <s v="Socks"/>
    <x v="0"/>
    <n v="88"/>
    <x v="42"/>
    <s v="M"/>
    <s v="White"/>
    <x v="2"/>
    <n v="3.3"/>
    <s v="No"/>
    <s v="Venmo"/>
    <s v="2-Day Shipping"/>
    <s v="Yes"/>
    <s v="Yes"/>
    <n v="35"/>
    <x v="5"/>
    <s v="Annually"/>
    <n v="1"/>
    <x v="0"/>
  </r>
  <r>
    <n v="1525"/>
    <n v="22"/>
    <s v="Male"/>
    <s v="Socks"/>
    <x v="0"/>
    <n v="76"/>
    <x v="2"/>
    <s v="L"/>
    <s v="Pink"/>
    <x v="2"/>
    <n v="4.4000000000000004"/>
    <s v="No"/>
    <s v="Debit Card"/>
    <s v="Free Shipping"/>
    <s v="Yes"/>
    <s v="Yes"/>
    <n v="6"/>
    <x v="1"/>
    <s v="Bi-Weekly"/>
    <n v="1"/>
    <x v="1"/>
  </r>
  <r>
    <n v="1526"/>
    <n v="29"/>
    <s v="Male"/>
    <s v="Belt"/>
    <x v="3"/>
    <n v="31"/>
    <x v="4"/>
    <s v="M"/>
    <s v="Indigo"/>
    <x v="0"/>
    <n v="4.5999999999999996"/>
    <s v="No"/>
    <s v="Debit Card"/>
    <s v="2-Day Shipping"/>
    <s v="Yes"/>
    <s v="Yes"/>
    <n v="22"/>
    <x v="1"/>
    <s v="Fortnightly"/>
    <n v="1"/>
    <x v="3"/>
  </r>
  <r>
    <n v="1527"/>
    <n v="41"/>
    <s v="Male"/>
    <s v="Jacket"/>
    <x v="2"/>
    <n v="22"/>
    <x v="19"/>
    <s v="L"/>
    <s v="White"/>
    <x v="2"/>
    <n v="3.1"/>
    <s v="No"/>
    <s v="PayPal"/>
    <s v="Next Day Air"/>
    <s v="Yes"/>
    <s v="Yes"/>
    <n v="27"/>
    <x v="3"/>
    <s v="Monthly"/>
    <n v="1"/>
    <x v="2"/>
  </r>
  <r>
    <n v="1528"/>
    <n v="26"/>
    <s v="Male"/>
    <s v="Hat"/>
    <x v="3"/>
    <n v="75"/>
    <x v="48"/>
    <s v="L"/>
    <s v="Red"/>
    <x v="3"/>
    <n v="4.5"/>
    <s v="No"/>
    <s v="Bank Transfer"/>
    <s v="2-Day Shipping"/>
    <s v="Yes"/>
    <s v="Yes"/>
    <n v="33"/>
    <x v="5"/>
    <s v="Fortnightly"/>
    <n v="1"/>
    <x v="3"/>
  </r>
  <r>
    <n v="1529"/>
    <n v="69"/>
    <s v="Male"/>
    <s v="T-shirt"/>
    <x v="0"/>
    <n v="75"/>
    <x v="4"/>
    <s v="S"/>
    <s v="Red"/>
    <x v="1"/>
    <n v="4"/>
    <s v="No"/>
    <s v="Credit Card"/>
    <s v="Store Pickup"/>
    <s v="Yes"/>
    <s v="Yes"/>
    <n v="47"/>
    <x v="0"/>
    <s v="Bi-Weekly"/>
    <n v="1"/>
    <x v="0"/>
  </r>
  <r>
    <n v="1530"/>
    <n v="20"/>
    <s v="Male"/>
    <s v="Backpack"/>
    <x v="3"/>
    <n v="63"/>
    <x v="42"/>
    <s v="M"/>
    <s v="Lavender"/>
    <x v="0"/>
    <n v="3.1"/>
    <s v="No"/>
    <s v="Venmo"/>
    <s v="Free Shipping"/>
    <s v="Yes"/>
    <s v="Yes"/>
    <n v="48"/>
    <x v="2"/>
    <s v="Bi-Weekly"/>
    <n v="1"/>
    <x v="1"/>
  </r>
  <r>
    <n v="1531"/>
    <n v="59"/>
    <s v="Male"/>
    <s v="Coat"/>
    <x v="2"/>
    <n v="21"/>
    <x v="35"/>
    <s v="M"/>
    <s v="Teal"/>
    <x v="1"/>
    <n v="3.9"/>
    <s v="No"/>
    <s v="Venmo"/>
    <s v="Next Day Air"/>
    <s v="Yes"/>
    <s v="Yes"/>
    <n v="22"/>
    <x v="4"/>
    <s v="Quarterly"/>
    <n v="1"/>
    <x v="0"/>
  </r>
  <r>
    <n v="1532"/>
    <n v="63"/>
    <s v="Male"/>
    <s v="Backpack"/>
    <x v="3"/>
    <n v="83"/>
    <x v="16"/>
    <s v="S"/>
    <s v="Violet"/>
    <x v="1"/>
    <n v="4.5"/>
    <s v="No"/>
    <s v="Cash"/>
    <s v="Next Day Air"/>
    <s v="Yes"/>
    <s v="Yes"/>
    <n v="8"/>
    <x v="3"/>
    <s v="Bi-Weekly"/>
    <n v="1"/>
    <x v="0"/>
  </r>
  <r>
    <n v="1533"/>
    <n v="68"/>
    <s v="Male"/>
    <s v="Jacket"/>
    <x v="2"/>
    <n v="46"/>
    <x v="48"/>
    <s v="S"/>
    <s v="Silver"/>
    <x v="0"/>
    <n v="4.4000000000000004"/>
    <s v="No"/>
    <s v="PayPal"/>
    <s v="Next Day Air"/>
    <s v="Yes"/>
    <s v="Yes"/>
    <n v="5"/>
    <x v="3"/>
    <s v="Every 3 Months"/>
    <n v="1"/>
    <x v="0"/>
  </r>
  <r>
    <n v="1534"/>
    <n v="50"/>
    <s v="Male"/>
    <s v="Shoes"/>
    <x v="1"/>
    <n v="59"/>
    <x v="13"/>
    <s v="M"/>
    <s v="Gold"/>
    <x v="2"/>
    <n v="3.6"/>
    <s v="No"/>
    <s v="Bank Transfer"/>
    <s v="2-Day Shipping"/>
    <s v="Yes"/>
    <s v="Yes"/>
    <n v="16"/>
    <x v="4"/>
    <s v="Quarterly"/>
    <n v="1"/>
    <x v="0"/>
  </r>
  <r>
    <n v="1535"/>
    <n v="55"/>
    <s v="Male"/>
    <s v="Blouse"/>
    <x v="0"/>
    <n v="66"/>
    <x v="5"/>
    <s v="M"/>
    <s v="Green"/>
    <x v="2"/>
    <n v="3.4"/>
    <s v="No"/>
    <s v="Venmo"/>
    <s v="Free Shipping"/>
    <s v="Yes"/>
    <s v="Yes"/>
    <n v="26"/>
    <x v="0"/>
    <s v="Fortnightly"/>
    <n v="1"/>
    <x v="0"/>
  </r>
  <r>
    <n v="1536"/>
    <n v="36"/>
    <s v="Male"/>
    <s v="Sandals"/>
    <x v="1"/>
    <n v="74"/>
    <x v="8"/>
    <s v="S"/>
    <s v="Turquoise"/>
    <x v="3"/>
    <n v="4"/>
    <s v="No"/>
    <s v="PayPal"/>
    <s v="2-Day Shipping"/>
    <s v="Yes"/>
    <s v="Yes"/>
    <n v="8"/>
    <x v="0"/>
    <s v="Monthly"/>
    <n v="1"/>
    <x v="2"/>
  </r>
  <r>
    <n v="1537"/>
    <n v="18"/>
    <s v="Male"/>
    <s v="Sunglasses"/>
    <x v="3"/>
    <n v="82"/>
    <x v="49"/>
    <s v="M"/>
    <s v="Indigo"/>
    <x v="2"/>
    <n v="2.6"/>
    <s v="No"/>
    <s v="Cash"/>
    <s v="Store Pickup"/>
    <s v="Yes"/>
    <s v="Yes"/>
    <n v="17"/>
    <x v="1"/>
    <s v="Quarterly"/>
    <n v="1"/>
    <x v="1"/>
  </r>
  <r>
    <n v="1538"/>
    <n v="68"/>
    <s v="Male"/>
    <s v="Shoes"/>
    <x v="1"/>
    <n v="89"/>
    <x v="29"/>
    <s v="L"/>
    <s v="Black"/>
    <x v="1"/>
    <n v="3.2"/>
    <s v="No"/>
    <s v="Bank Transfer"/>
    <s v="Next Day Air"/>
    <s v="Yes"/>
    <s v="Yes"/>
    <n v="50"/>
    <x v="0"/>
    <s v="Annually"/>
    <n v="1"/>
    <x v="0"/>
  </r>
  <r>
    <n v="1539"/>
    <n v="56"/>
    <s v="Male"/>
    <s v="Dress"/>
    <x v="0"/>
    <n v="65"/>
    <x v="26"/>
    <s v="L"/>
    <s v="Charcoal"/>
    <x v="3"/>
    <n v="3.2"/>
    <s v="No"/>
    <s v="Bank Transfer"/>
    <s v="Standard"/>
    <s v="Yes"/>
    <s v="Yes"/>
    <n v="22"/>
    <x v="0"/>
    <s v="Bi-Weekly"/>
    <n v="1"/>
    <x v="0"/>
  </r>
  <r>
    <n v="1540"/>
    <n v="32"/>
    <s v="Male"/>
    <s v="Belt"/>
    <x v="3"/>
    <n v="55"/>
    <x v="11"/>
    <s v="M"/>
    <s v="Turquoise"/>
    <x v="1"/>
    <n v="5"/>
    <s v="No"/>
    <s v="Credit Card"/>
    <s v="2-Day Shipping"/>
    <s v="Yes"/>
    <s v="Yes"/>
    <n v="19"/>
    <x v="1"/>
    <s v="Every 3 Months"/>
    <n v="1"/>
    <x v="3"/>
  </r>
  <r>
    <n v="1541"/>
    <n v="28"/>
    <s v="Male"/>
    <s v="Shorts"/>
    <x v="0"/>
    <n v="95"/>
    <x v="24"/>
    <s v="M"/>
    <s v="Red"/>
    <x v="0"/>
    <n v="2.9"/>
    <s v="No"/>
    <s v="Debit Card"/>
    <s v="Next Day Air"/>
    <s v="Yes"/>
    <s v="Yes"/>
    <n v="14"/>
    <x v="4"/>
    <s v="Monthly"/>
    <n v="1"/>
    <x v="3"/>
  </r>
  <r>
    <n v="1542"/>
    <n v="24"/>
    <s v="Male"/>
    <s v="Handbag"/>
    <x v="3"/>
    <n v="77"/>
    <x v="26"/>
    <s v="S"/>
    <s v="Indigo"/>
    <x v="0"/>
    <n v="2.9"/>
    <s v="No"/>
    <s v="Cash"/>
    <s v="Store Pickup"/>
    <s v="Yes"/>
    <s v="Yes"/>
    <n v="35"/>
    <x v="1"/>
    <s v="Bi-Weekly"/>
    <n v="1"/>
    <x v="1"/>
  </r>
  <r>
    <n v="1543"/>
    <n v="59"/>
    <s v="Male"/>
    <s v="Blouse"/>
    <x v="0"/>
    <n v="44"/>
    <x v="11"/>
    <s v="M"/>
    <s v="Maroon"/>
    <x v="0"/>
    <n v="3.5"/>
    <s v="No"/>
    <s v="Venmo"/>
    <s v="Next Day Air"/>
    <s v="Yes"/>
    <s v="Yes"/>
    <n v="43"/>
    <x v="3"/>
    <s v="Weekly"/>
    <n v="1"/>
    <x v="0"/>
  </r>
  <r>
    <n v="1544"/>
    <n v="56"/>
    <s v="Male"/>
    <s v="Jeans"/>
    <x v="0"/>
    <n v="89"/>
    <x v="48"/>
    <s v="M"/>
    <s v="Indigo"/>
    <x v="3"/>
    <n v="4"/>
    <s v="No"/>
    <s v="Bank Transfer"/>
    <s v="Standard"/>
    <s v="Yes"/>
    <s v="Yes"/>
    <n v="24"/>
    <x v="0"/>
    <s v="Annually"/>
    <n v="1"/>
    <x v="0"/>
  </r>
  <r>
    <n v="1545"/>
    <n v="30"/>
    <s v="Male"/>
    <s v="Jewelry"/>
    <x v="3"/>
    <n v="24"/>
    <x v="10"/>
    <s v="M"/>
    <s v="Maroon"/>
    <x v="1"/>
    <n v="3.9"/>
    <s v="No"/>
    <s v="PayPal"/>
    <s v="Standard"/>
    <s v="Yes"/>
    <s v="Yes"/>
    <n v="17"/>
    <x v="5"/>
    <s v="Bi-Weekly"/>
    <n v="1"/>
    <x v="3"/>
  </r>
  <r>
    <n v="1546"/>
    <n v="48"/>
    <s v="Male"/>
    <s v="Belt"/>
    <x v="3"/>
    <n v="43"/>
    <x v="12"/>
    <s v="M"/>
    <s v="Black"/>
    <x v="0"/>
    <n v="4.9000000000000004"/>
    <s v="No"/>
    <s v="Cash"/>
    <s v="Store Pickup"/>
    <s v="Yes"/>
    <s v="Yes"/>
    <n v="49"/>
    <x v="4"/>
    <s v="Annually"/>
    <n v="1"/>
    <x v="0"/>
  </r>
  <r>
    <n v="1547"/>
    <n v="60"/>
    <s v="Male"/>
    <s v="Sneakers"/>
    <x v="1"/>
    <n v="51"/>
    <x v="4"/>
    <s v="XL"/>
    <s v="Purple"/>
    <x v="2"/>
    <n v="3.8"/>
    <s v="No"/>
    <s v="Credit Card"/>
    <s v="Express"/>
    <s v="Yes"/>
    <s v="Yes"/>
    <n v="17"/>
    <x v="4"/>
    <s v="Annually"/>
    <n v="1"/>
    <x v="0"/>
  </r>
  <r>
    <n v="1548"/>
    <n v="46"/>
    <s v="Male"/>
    <s v="Hat"/>
    <x v="3"/>
    <n v="46"/>
    <x v="36"/>
    <s v="L"/>
    <s v="Teal"/>
    <x v="2"/>
    <n v="3.5"/>
    <s v="No"/>
    <s v="PayPal"/>
    <s v="Standard"/>
    <s v="Yes"/>
    <s v="Yes"/>
    <n v="40"/>
    <x v="1"/>
    <s v="Quarterly"/>
    <n v="1"/>
    <x v="0"/>
  </r>
  <r>
    <n v="1549"/>
    <n v="69"/>
    <s v="Male"/>
    <s v="Dress"/>
    <x v="0"/>
    <n v="32"/>
    <x v="33"/>
    <s v="M"/>
    <s v="Silver"/>
    <x v="2"/>
    <n v="3.7"/>
    <s v="No"/>
    <s v="PayPal"/>
    <s v="Store Pickup"/>
    <s v="Yes"/>
    <s v="Yes"/>
    <n v="43"/>
    <x v="4"/>
    <s v="Weekly"/>
    <n v="1"/>
    <x v="0"/>
  </r>
  <r>
    <n v="1550"/>
    <n v="19"/>
    <s v="Male"/>
    <s v="Sneakers"/>
    <x v="1"/>
    <n v="55"/>
    <x v="23"/>
    <s v="M"/>
    <s v="Black"/>
    <x v="1"/>
    <n v="2.9"/>
    <s v="No"/>
    <s v="Cash"/>
    <s v="2-Day Shipping"/>
    <s v="Yes"/>
    <s v="Yes"/>
    <n v="19"/>
    <x v="5"/>
    <s v="Every 3 Months"/>
    <n v="1"/>
    <x v="1"/>
  </r>
  <r>
    <n v="1551"/>
    <n v="66"/>
    <s v="Male"/>
    <s v="Sunglasses"/>
    <x v="3"/>
    <n v="26"/>
    <x v="10"/>
    <s v="S"/>
    <s v="Black"/>
    <x v="2"/>
    <n v="2.8"/>
    <s v="No"/>
    <s v="Debit Card"/>
    <s v="Free Shipping"/>
    <s v="Yes"/>
    <s v="Yes"/>
    <n v="40"/>
    <x v="4"/>
    <s v="Quarterly"/>
    <n v="1"/>
    <x v="0"/>
  </r>
  <r>
    <n v="1552"/>
    <n v="64"/>
    <s v="Male"/>
    <s v="Handbag"/>
    <x v="3"/>
    <n v="29"/>
    <x v="46"/>
    <s v="M"/>
    <s v="Olive"/>
    <x v="2"/>
    <n v="3.7"/>
    <s v="No"/>
    <s v="Debit Card"/>
    <s v="2-Day Shipping"/>
    <s v="Yes"/>
    <s v="Yes"/>
    <n v="13"/>
    <x v="2"/>
    <s v="Monthly"/>
    <n v="1"/>
    <x v="0"/>
  </r>
  <r>
    <n v="1553"/>
    <n v="54"/>
    <s v="Male"/>
    <s v="Blouse"/>
    <x v="0"/>
    <n v="49"/>
    <x v="35"/>
    <s v="L"/>
    <s v="Purple"/>
    <x v="1"/>
    <n v="3"/>
    <s v="No"/>
    <s v="Debit Card"/>
    <s v="Express"/>
    <s v="Yes"/>
    <s v="Yes"/>
    <n v="20"/>
    <x v="2"/>
    <s v="Monthly"/>
    <n v="1"/>
    <x v="0"/>
  </r>
  <r>
    <n v="1554"/>
    <n v="27"/>
    <s v="Male"/>
    <s v="Blouse"/>
    <x v="0"/>
    <n v="45"/>
    <x v="12"/>
    <s v="M"/>
    <s v="Indigo"/>
    <x v="1"/>
    <n v="4.8"/>
    <s v="No"/>
    <s v="PayPal"/>
    <s v="Free Shipping"/>
    <s v="Yes"/>
    <s v="Yes"/>
    <n v="21"/>
    <x v="5"/>
    <s v="Quarterly"/>
    <n v="1"/>
    <x v="3"/>
  </r>
  <r>
    <n v="1555"/>
    <n v="64"/>
    <s v="Male"/>
    <s v="Shorts"/>
    <x v="0"/>
    <n v="48"/>
    <x v="40"/>
    <s v="S"/>
    <s v="Lavender"/>
    <x v="0"/>
    <n v="2.7"/>
    <s v="No"/>
    <s v="Credit Card"/>
    <s v="Standard"/>
    <s v="Yes"/>
    <s v="Yes"/>
    <n v="18"/>
    <x v="1"/>
    <s v="Bi-Weekly"/>
    <n v="1"/>
    <x v="0"/>
  </r>
  <r>
    <n v="1556"/>
    <n v="43"/>
    <s v="Male"/>
    <s v="Shorts"/>
    <x v="0"/>
    <n v="47"/>
    <x v="31"/>
    <s v="S"/>
    <s v="Cyan"/>
    <x v="0"/>
    <n v="4.5"/>
    <s v="No"/>
    <s v="Bank Transfer"/>
    <s v="Free Shipping"/>
    <s v="Yes"/>
    <s v="Yes"/>
    <n v="44"/>
    <x v="1"/>
    <s v="Quarterly"/>
    <n v="1"/>
    <x v="2"/>
  </r>
  <r>
    <n v="1557"/>
    <n v="43"/>
    <s v="Male"/>
    <s v="Hoodie"/>
    <x v="0"/>
    <n v="57"/>
    <x v="15"/>
    <s v="M"/>
    <s v="Gold"/>
    <x v="3"/>
    <n v="2.7"/>
    <s v="No"/>
    <s v="Venmo"/>
    <s v="Standard"/>
    <s v="Yes"/>
    <s v="Yes"/>
    <n v="26"/>
    <x v="2"/>
    <s v="Quarterly"/>
    <n v="1"/>
    <x v="2"/>
  </r>
  <r>
    <n v="1558"/>
    <n v="27"/>
    <s v="Male"/>
    <s v="Backpack"/>
    <x v="3"/>
    <n v="34"/>
    <x v="45"/>
    <s v="L"/>
    <s v="Magenta"/>
    <x v="3"/>
    <n v="3.5"/>
    <s v="No"/>
    <s v="PayPal"/>
    <s v="Next Day Air"/>
    <s v="Yes"/>
    <s v="Yes"/>
    <n v="34"/>
    <x v="3"/>
    <s v="Quarterly"/>
    <n v="1"/>
    <x v="3"/>
  </r>
  <r>
    <n v="1559"/>
    <n v="35"/>
    <s v="Male"/>
    <s v="Sunglasses"/>
    <x v="3"/>
    <n v="75"/>
    <x v="35"/>
    <s v="XL"/>
    <s v="Teal"/>
    <x v="3"/>
    <n v="3.5"/>
    <s v="No"/>
    <s v="Credit Card"/>
    <s v="Express"/>
    <s v="Yes"/>
    <s v="Yes"/>
    <n v="24"/>
    <x v="2"/>
    <s v="Every 3 Months"/>
    <n v="1"/>
    <x v="3"/>
  </r>
  <r>
    <n v="1560"/>
    <n v="43"/>
    <s v="Male"/>
    <s v="Scarf"/>
    <x v="3"/>
    <n v="94"/>
    <x v="4"/>
    <s v="L"/>
    <s v="Beige"/>
    <x v="3"/>
    <n v="4.5"/>
    <s v="No"/>
    <s v="Venmo"/>
    <s v="Store Pickup"/>
    <s v="Yes"/>
    <s v="Yes"/>
    <n v="23"/>
    <x v="3"/>
    <s v="Fortnightly"/>
    <n v="1"/>
    <x v="2"/>
  </r>
  <r>
    <n v="1561"/>
    <n v="57"/>
    <s v="Male"/>
    <s v="Hat"/>
    <x v="3"/>
    <n v="84"/>
    <x v="4"/>
    <s v="M"/>
    <s v="Teal"/>
    <x v="0"/>
    <n v="3.8"/>
    <s v="No"/>
    <s v="Venmo"/>
    <s v="Free Shipping"/>
    <s v="Yes"/>
    <s v="Yes"/>
    <n v="3"/>
    <x v="5"/>
    <s v="Weekly"/>
    <n v="1"/>
    <x v="0"/>
  </r>
  <r>
    <n v="1562"/>
    <n v="50"/>
    <s v="Male"/>
    <s v="Scarf"/>
    <x v="3"/>
    <n v="38"/>
    <x v="16"/>
    <s v="M"/>
    <s v="Indigo"/>
    <x v="2"/>
    <n v="3.8"/>
    <s v="No"/>
    <s v="Credit Card"/>
    <s v="Standard"/>
    <s v="Yes"/>
    <s v="Yes"/>
    <n v="2"/>
    <x v="4"/>
    <s v="Quarterly"/>
    <n v="1"/>
    <x v="0"/>
  </r>
  <r>
    <n v="1563"/>
    <n v="37"/>
    <s v="Male"/>
    <s v="Scarf"/>
    <x v="3"/>
    <n v="75"/>
    <x v="15"/>
    <s v="M"/>
    <s v="Purple"/>
    <x v="0"/>
    <n v="3.2"/>
    <s v="No"/>
    <s v="Credit Card"/>
    <s v="Next Day Air"/>
    <s v="Yes"/>
    <s v="Yes"/>
    <n v="23"/>
    <x v="0"/>
    <s v="Bi-Weekly"/>
    <n v="1"/>
    <x v="2"/>
  </r>
  <r>
    <n v="1564"/>
    <n v="68"/>
    <s v="Male"/>
    <s v="Pants"/>
    <x v="0"/>
    <n v="44"/>
    <x v="23"/>
    <s v="M"/>
    <s v="Teal"/>
    <x v="3"/>
    <n v="4.3"/>
    <s v="No"/>
    <s v="Credit Card"/>
    <s v="Next Day Air"/>
    <s v="Yes"/>
    <s v="Yes"/>
    <n v="8"/>
    <x v="1"/>
    <s v="Weekly"/>
    <n v="1"/>
    <x v="0"/>
  </r>
  <r>
    <n v="1565"/>
    <n v="22"/>
    <s v="Male"/>
    <s v="Backpack"/>
    <x v="3"/>
    <n v="33"/>
    <x v="18"/>
    <s v="XL"/>
    <s v="Turquoise"/>
    <x v="2"/>
    <n v="4.5"/>
    <s v="No"/>
    <s v="Cash"/>
    <s v="Next Day Air"/>
    <s v="Yes"/>
    <s v="Yes"/>
    <n v="30"/>
    <x v="5"/>
    <s v="Every 3 Months"/>
    <n v="1"/>
    <x v="1"/>
  </r>
  <r>
    <n v="1566"/>
    <n v="58"/>
    <s v="Male"/>
    <s v="Sunglasses"/>
    <x v="3"/>
    <n v="93"/>
    <x v="37"/>
    <s v="L"/>
    <s v="Peach"/>
    <x v="3"/>
    <n v="4.2"/>
    <s v="No"/>
    <s v="Venmo"/>
    <s v="Free Shipping"/>
    <s v="Yes"/>
    <s v="Yes"/>
    <n v="48"/>
    <x v="3"/>
    <s v="Annually"/>
    <n v="1"/>
    <x v="0"/>
  </r>
  <r>
    <n v="1567"/>
    <n v="48"/>
    <s v="Male"/>
    <s v="Sneakers"/>
    <x v="1"/>
    <n v="99"/>
    <x v="5"/>
    <s v="S"/>
    <s v="Green"/>
    <x v="0"/>
    <n v="3"/>
    <s v="No"/>
    <s v="Credit Card"/>
    <s v="Free Shipping"/>
    <s v="Yes"/>
    <s v="Yes"/>
    <n v="21"/>
    <x v="1"/>
    <s v="Bi-Weekly"/>
    <n v="1"/>
    <x v="0"/>
  </r>
  <r>
    <n v="1568"/>
    <n v="30"/>
    <s v="Male"/>
    <s v="Backpack"/>
    <x v="3"/>
    <n v="33"/>
    <x v="46"/>
    <s v="M"/>
    <s v="Turquoise"/>
    <x v="1"/>
    <n v="4.0999999999999996"/>
    <s v="No"/>
    <s v="Venmo"/>
    <s v="Standard"/>
    <s v="Yes"/>
    <s v="Yes"/>
    <n v="9"/>
    <x v="1"/>
    <s v="Monthly"/>
    <n v="1"/>
    <x v="3"/>
  </r>
  <r>
    <n v="1569"/>
    <n v="51"/>
    <s v="Male"/>
    <s v="Sneakers"/>
    <x v="1"/>
    <n v="76"/>
    <x v="47"/>
    <s v="L"/>
    <s v="Yellow"/>
    <x v="1"/>
    <n v="4.5999999999999996"/>
    <s v="No"/>
    <s v="Venmo"/>
    <s v="Store Pickup"/>
    <s v="Yes"/>
    <s v="Yes"/>
    <n v="8"/>
    <x v="5"/>
    <s v="Monthly"/>
    <n v="1"/>
    <x v="0"/>
  </r>
  <r>
    <n v="1570"/>
    <n v="20"/>
    <s v="Male"/>
    <s v="Skirt"/>
    <x v="0"/>
    <n v="63"/>
    <x v="11"/>
    <s v="M"/>
    <s v="Orange"/>
    <x v="2"/>
    <n v="2.9"/>
    <s v="No"/>
    <s v="PayPal"/>
    <s v="Standard"/>
    <s v="Yes"/>
    <s v="Yes"/>
    <n v="29"/>
    <x v="5"/>
    <s v="Weekly"/>
    <n v="1"/>
    <x v="1"/>
  </r>
  <r>
    <n v="1571"/>
    <n v="30"/>
    <s v="Male"/>
    <s v="Pants"/>
    <x v="0"/>
    <n v="41"/>
    <x v="9"/>
    <s v="L"/>
    <s v="Brown"/>
    <x v="0"/>
    <n v="4.8"/>
    <s v="No"/>
    <s v="Debit Card"/>
    <s v="Next Day Air"/>
    <s v="Yes"/>
    <s v="Yes"/>
    <n v="3"/>
    <x v="4"/>
    <s v="Every 3 Months"/>
    <n v="1"/>
    <x v="3"/>
  </r>
  <r>
    <n v="1572"/>
    <n v="28"/>
    <s v="Male"/>
    <s v="Jewelry"/>
    <x v="3"/>
    <n v="88"/>
    <x v="24"/>
    <s v="L"/>
    <s v="Silver"/>
    <x v="0"/>
    <n v="4.5"/>
    <s v="No"/>
    <s v="Cash"/>
    <s v="Next Day Air"/>
    <s v="Yes"/>
    <s v="Yes"/>
    <n v="11"/>
    <x v="4"/>
    <s v="Fortnightly"/>
    <n v="1"/>
    <x v="3"/>
  </r>
  <r>
    <n v="1573"/>
    <n v="37"/>
    <s v="Male"/>
    <s v="Skirt"/>
    <x v="0"/>
    <n v="92"/>
    <x v="47"/>
    <s v="L"/>
    <s v="White"/>
    <x v="2"/>
    <n v="3.4"/>
    <s v="No"/>
    <s v="Venmo"/>
    <s v="2-Day Shipping"/>
    <s v="Yes"/>
    <s v="Yes"/>
    <n v="16"/>
    <x v="5"/>
    <s v="Monthly"/>
    <n v="1"/>
    <x v="2"/>
  </r>
  <r>
    <n v="1574"/>
    <n v="36"/>
    <s v="Male"/>
    <s v="T-shirt"/>
    <x v="0"/>
    <n v="31"/>
    <x v="25"/>
    <s v="L"/>
    <s v="Indigo"/>
    <x v="2"/>
    <n v="4.3"/>
    <s v="No"/>
    <s v="Debit Card"/>
    <s v="2-Day Shipping"/>
    <s v="Yes"/>
    <s v="Yes"/>
    <n v="25"/>
    <x v="5"/>
    <s v="Weekly"/>
    <n v="1"/>
    <x v="2"/>
  </r>
  <r>
    <n v="1575"/>
    <n v="18"/>
    <s v="Male"/>
    <s v="Skirt"/>
    <x v="0"/>
    <n v="25"/>
    <x v="46"/>
    <s v="S"/>
    <s v="Magenta"/>
    <x v="1"/>
    <n v="4.2"/>
    <s v="No"/>
    <s v="Bank Transfer"/>
    <s v="Free Shipping"/>
    <s v="Yes"/>
    <s v="Yes"/>
    <n v="32"/>
    <x v="3"/>
    <s v="Bi-Weekly"/>
    <n v="1"/>
    <x v="1"/>
  </r>
  <r>
    <n v="1576"/>
    <n v="52"/>
    <s v="Male"/>
    <s v="Shirt"/>
    <x v="0"/>
    <n v="28"/>
    <x v="18"/>
    <s v="M"/>
    <s v="Turquoise"/>
    <x v="1"/>
    <n v="3.6"/>
    <s v="No"/>
    <s v="Cash"/>
    <s v="Next Day Air"/>
    <s v="Yes"/>
    <s v="Yes"/>
    <n v="28"/>
    <x v="1"/>
    <s v="Fortnightly"/>
    <n v="1"/>
    <x v="0"/>
  </r>
  <r>
    <n v="1577"/>
    <n v="56"/>
    <s v="Male"/>
    <s v="Dress"/>
    <x v="0"/>
    <n v="75"/>
    <x v="49"/>
    <s v="M"/>
    <s v="White"/>
    <x v="1"/>
    <n v="3.7"/>
    <s v="No"/>
    <s v="PayPal"/>
    <s v="2-Day Shipping"/>
    <s v="Yes"/>
    <s v="Yes"/>
    <n v="36"/>
    <x v="3"/>
    <s v="Monthly"/>
    <n v="1"/>
    <x v="0"/>
  </r>
  <r>
    <n v="1578"/>
    <n v="68"/>
    <s v="Male"/>
    <s v="Boots"/>
    <x v="1"/>
    <n v="34"/>
    <x v="12"/>
    <s v="S"/>
    <s v="Olive"/>
    <x v="1"/>
    <n v="4"/>
    <s v="No"/>
    <s v="Debit Card"/>
    <s v="Standard"/>
    <s v="Yes"/>
    <s v="Yes"/>
    <n v="7"/>
    <x v="0"/>
    <s v="Fortnightly"/>
    <n v="1"/>
    <x v="0"/>
  </r>
  <r>
    <n v="1579"/>
    <n v="62"/>
    <s v="Male"/>
    <s v="Pants"/>
    <x v="0"/>
    <n v="97"/>
    <x v="18"/>
    <s v="S"/>
    <s v="Maroon"/>
    <x v="0"/>
    <n v="4.9000000000000004"/>
    <s v="No"/>
    <s v="Debit Card"/>
    <s v="2-Day Shipping"/>
    <s v="Yes"/>
    <s v="Yes"/>
    <n v="2"/>
    <x v="3"/>
    <s v="Quarterly"/>
    <n v="1"/>
    <x v="0"/>
  </r>
  <r>
    <n v="1580"/>
    <n v="35"/>
    <s v="Male"/>
    <s v="Jacket"/>
    <x v="2"/>
    <n v="80"/>
    <x v="19"/>
    <s v="M"/>
    <s v="Violet"/>
    <x v="2"/>
    <n v="3.1"/>
    <s v="No"/>
    <s v="Cash"/>
    <s v="Free Shipping"/>
    <s v="Yes"/>
    <s v="Yes"/>
    <n v="6"/>
    <x v="4"/>
    <s v="Monthly"/>
    <n v="1"/>
    <x v="3"/>
  </r>
  <r>
    <n v="1581"/>
    <n v="65"/>
    <s v="Male"/>
    <s v="Sneakers"/>
    <x v="1"/>
    <n v="71"/>
    <x v="25"/>
    <s v="L"/>
    <s v="Cyan"/>
    <x v="2"/>
    <n v="3.7"/>
    <s v="No"/>
    <s v="Credit Card"/>
    <s v="Standard"/>
    <s v="Yes"/>
    <s v="Yes"/>
    <n v="30"/>
    <x v="1"/>
    <s v="Annually"/>
    <n v="1"/>
    <x v="0"/>
  </r>
  <r>
    <n v="1582"/>
    <n v="69"/>
    <s v="Male"/>
    <s v="Jewelry"/>
    <x v="3"/>
    <n v="77"/>
    <x v="31"/>
    <s v="L"/>
    <s v="Teal"/>
    <x v="3"/>
    <n v="4.2"/>
    <s v="No"/>
    <s v="PayPal"/>
    <s v="Free Shipping"/>
    <s v="Yes"/>
    <s v="Yes"/>
    <n v="46"/>
    <x v="1"/>
    <s v="Quarterly"/>
    <n v="1"/>
    <x v="0"/>
  </r>
  <r>
    <n v="1583"/>
    <n v="28"/>
    <s v="Male"/>
    <s v="Belt"/>
    <x v="3"/>
    <n v="41"/>
    <x v="11"/>
    <s v="L"/>
    <s v="Red"/>
    <x v="1"/>
    <n v="2.5"/>
    <s v="No"/>
    <s v="Cash"/>
    <s v="Next Day Air"/>
    <s v="Yes"/>
    <s v="Yes"/>
    <n v="39"/>
    <x v="1"/>
    <s v="Monthly"/>
    <n v="1"/>
    <x v="3"/>
  </r>
  <r>
    <n v="1584"/>
    <n v="37"/>
    <s v="Male"/>
    <s v="Scarf"/>
    <x v="3"/>
    <n v="92"/>
    <x v="33"/>
    <s v="XL"/>
    <s v="Yellow"/>
    <x v="2"/>
    <n v="4.3"/>
    <s v="No"/>
    <s v="Cash"/>
    <s v="Next Day Air"/>
    <s v="Yes"/>
    <s v="Yes"/>
    <n v="8"/>
    <x v="0"/>
    <s v="Annually"/>
    <n v="1"/>
    <x v="2"/>
  </r>
  <r>
    <n v="1585"/>
    <n v="41"/>
    <s v="Male"/>
    <s v="Blouse"/>
    <x v="0"/>
    <n v="95"/>
    <x v="11"/>
    <s v="S"/>
    <s v="Silver"/>
    <x v="1"/>
    <n v="3.1"/>
    <s v="No"/>
    <s v="Venmo"/>
    <s v="Store Pickup"/>
    <s v="Yes"/>
    <s v="Yes"/>
    <n v="46"/>
    <x v="2"/>
    <s v="Quarterly"/>
    <n v="1"/>
    <x v="2"/>
  </r>
  <r>
    <n v="1586"/>
    <n v="37"/>
    <s v="Male"/>
    <s v="Sweater"/>
    <x v="0"/>
    <n v="25"/>
    <x v="15"/>
    <s v="M"/>
    <s v="Charcoal"/>
    <x v="3"/>
    <n v="3"/>
    <s v="No"/>
    <s v="Cash"/>
    <s v="Next Day Air"/>
    <s v="Yes"/>
    <s v="Yes"/>
    <n v="40"/>
    <x v="5"/>
    <s v="Fortnightly"/>
    <n v="1"/>
    <x v="2"/>
  </r>
  <r>
    <n v="1587"/>
    <n v="25"/>
    <s v="Male"/>
    <s v="Boots"/>
    <x v="1"/>
    <n v="77"/>
    <x v="19"/>
    <s v="M"/>
    <s v="Purple"/>
    <x v="3"/>
    <n v="4"/>
    <s v="No"/>
    <s v="Debit Card"/>
    <s v="Express"/>
    <s v="Yes"/>
    <s v="Yes"/>
    <n v="21"/>
    <x v="4"/>
    <s v="Weekly"/>
    <n v="1"/>
    <x v="1"/>
  </r>
  <r>
    <n v="1588"/>
    <n v="41"/>
    <s v="Male"/>
    <s v="Socks"/>
    <x v="0"/>
    <n v="99"/>
    <x v="15"/>
    <s v="M"/>
    <s v="Beige"/>
    <x v="2"/>
    <n v="3.5"/>
    <s v="No"/>
    <s v="Venmo"/>
    <s v="Free Shipping"/>
    <s v="Yes"/>
    <s v="Yes"/>
    <n v="33"/>
    <x v="2"/>
    <s v="Fortnightly"/>
    <n v="1"/>
    <x v="2"/>
  </r>
  <r>
    <n v="1589"/>
    <n v="48"/>
    <s v="Male"/>
    <s v="Belt"/>
    <x v="3"/>
    <n v="24"/>
    <x v="34"/>
    <s v="L"/>
    <s v="Cyan"/>
    <x v="0"/>
    <n v="3.2"/>
    <s v="No"/>
    <s v="Cash"/>
    <s v="Next Day Air"/>
    <s v="Yes"/>
    <s v="Yes"/>
    <n v="3"/>
    <x v="0"/>
    <s v="Monthly"/>
    <n v="1"/>
    <x v="0"/>
  </r>
  <r>
    <n v="1590"/>
    <n v="42"/>
    <s v="Male"/>
    <s v="Sneakers"/>
    <x v="1"/>
    <n v="72"/>
    <x v="31"/>
    <s v="M"/>
    <s v="Silver"/>
    <x v="2"/>
    <n v="2.7"/>
    <s v="No"/>
    <s v="Venmo"/>
    <s v="Store Pickup"/>
    <s v="Yes"/>
    <s v="Yes"/>
    <n v="48"/>
    <x v="1"/>
    <s v="Weekly"/>
    <n v="1"/>
    <x v="2"/>
  </r>
  <r>
    <n v="1591"/>
    <n v="54"/>
    <s v="Male"/>
    <s v="Jeans"/>
    <x v="0"/>
    <n v="80"/>
    <x v="48"/>
    <s v="S"/>
    <s v="Pink"/>
    <x v="0"/>
    <n v="3"/>
    <s v="No"/>
    <s v="Cash"/>
    <s v="Free Shipping"/>
    <s v="Yes"/>
    <s v="Yes"/>
    <n v="8"/>
    <x v="3"/>
    <s v="Annually"/>
    <n v="1"/>
    <x v="0"/>
  </r>
  <r>
    <n v="1592"/>
    <n v="18"/>
    <s v="Male"/>
    <s v="Skirt"/>
    <x v="0"/>
    <n v="100"/>
    <x v="45"/>
    <s v="L"/>
    <s v="Gold"/>
    <x v="0"/>
    <n v="2.9"/>
    <s v="No"/>
    <s v="Bank Transfer"/>
    <s v="Next Day Air"/>
    <s v="Yes"/>
    <s v="Yes"/>
    <n v="24"/>
    <x v="3"/>
    <s v="Annually"/>
    <n v="1"/>
    <x v="1"/>
  </r>
  <r>
    <n v="1593"/>
    <n v="56"/>
    <s v="Male"/>
    <s v="Shoes"/>
    <x v="1"/>
    <n v="83"/>
    <x v="44"/>
    <s v="M"/>
    <s v="Cyan"/>
    <x v="2"/>
    <n v="3.3"/>
    <s v="No"/>
    <s v="Credit Card"/>
    <s v="Free Shipping"/>
    <s v="Yes"/>
    <s v="Yes"/>
    <n v="10"/>
    <x v="4"/>
    <s v="Every 3 Months"/>
    <n v="1"/>
    <x v="0"/>
  </r>
  <r>
    <n v="1594"/>
    <n v="61"/>
    <s v="Male"/>
    <s v="Dress"/>
    <x v="0"/>
    <n v="95"/>
    <x v="33"/>
    <s v="M"/>
    <s v="Black"/>
    <x v="1"/>
    <n v="4.9000000000000004"/>
    <s v="No"/>
    <s v="PayPal"/>
    <s v="2-Day Shipping"/>
    <s v="Yes"/>
    <s v="Yes"/>
    <n v="25"/>
    <x v="4"/>
    <s v="Monthly"/>
    <n v="1"/>
    <x v="0"/>
  </r>
  <r>
    <n v="1595"/>
    <n v="40"/>
    <s v="Male"/>
    <s v="Handbag"/>
    <x v="3"/>
    <n v="41"/>
    <x v="24"/>
    <s v="XL"/>
    <s v="Charcoal"/>
    <x v="2"/>
    <n v="3.7"/>
    <s v="No"/>
    <s v="Bank Transfer"/>
    <s v="Store Pickup"/>
    <s v="Yes"/>
    <s v="Yes"/>
    <n v="3"/>
    <x v="1"/>
    <s v="Fortnightly"/>
    <n v="1"/>
    <x v="2"/>
  </r>
  <r>
    <n v="1596"/>
    <n v="34"/>
    <s v="Male"/>
    <s v="Backpack"/>
    <x v="3"/>
    <n v="35"/>
    <x v="48"/>
    <s v="S"/>
    <s v="Magenta"/>
    <x v="1"/>
    <n v="3.5"/>
    <s v="No"/>
    <s v="Cash"/>
    <s v="Standard"/>
    <s v="Yes"/>
    <s v="Yes"/>
    <n v="45"/>
    <x v="5"/>
    <s v="Fortnightly"/>
    <n v="1"/>
    <x v="3"/>
  </r>
  <r>
    <n v="1597"/>
    <n v="42"/>
    <s v="Male"/>
    <s v="Jewelry"/>
    <x v="3"/>
    <n v="30"/>
    <x v="16"/>
    <s v="S"/>
    <s v="Pink"/>
    <x v="3"/>
    <n v="4.7"/>
    <s v="No"/>
    <s v="Bank Transfer"/>
    <s v="Store Pickup"/>
    <s v="Yes"/>
    <s v="Yes"/>
    <n v="15"/>
    <x v="5"/>
    <s v="Monthly"/>
    <n v="1"/>
    <x v="2"/>
  </r>
  <r>
    <n v="1598"/>
    <n v="43"/>
    <s v="Male"/>
    <s v="Hat"/>
    <x v="3"/>
    <n v="21"/>
    <x v="16"/>
    <s v="XL"/>
    <s v="Maroon"/>
    <x v="0"/>
    <n v="2.6"/>
    <s v="No"/>
    <s v="Debit Card"/>
    <s v="Store Pickup"/>
    <s v="Yes"/>
    <s v="Yes"/>
    <n v="34"/>
    <x v="4"/>
    <s v="Quarterly"/>
    <n v="1"/>
    <x v="2"/>
  </r>
  <r>
    <n v="1599"/>
    <n v="47"/>
    <s v="Male"/>
    <s v="Jewelry"/>
    <x v="3"/>
    <n v="85"/>
    <x v="18"/>
    <s v="M"/>
    <s v="Teal"/>
    <x v="3"/>
    <n v="4.0999999999999996"/>
    <s v="No"/>
    <s v="Credit Card"/>
    <s v="Express"/>
    <s v="Yes"/>
    <s v="Yes"/>
    <n v="21"/>
    <x v="0"/>
    <s v="Bi-Weekly"/>
    <n v="1"/>
    <x v="0"/>
  </r>
  <r>
    <n v="1600"/>
    <n v="48"/>
    <s v="Male"/>
    <s v="Shirt"/>
    <x v="0"/>
    <n v="54"/>
    <x v="12"/>
    <s v="M"/>
    <s v="Orange"/>
    <x v="0"/>
    <n v="2.8"/>
    <s v="No"/>
    <s v="Venmo"/>
    <s v="2-Day Shipping"/>
    <s v="Yes"/>
    <s v="Yes"/>
    <n v="22"/>
    <x v="5"/>
    <s v="Bi-Weekly"/>
    <n v="1"/>
    <x v="0"/>
  </r>
  <r>
    <n v="1601"/>
    <n v="20"/>
    <s v="Male"/>
    <s v="Boots"/>
    <x v="1"/>
    <n v="26"/>
    <x v="6"/>
    <s v="S"/>
    <s v="Yellow"/>
    <x v="1"/>
    <n v="4.7"/>
    <s v="No"/>
    <s v="PayPal"/>
    <s v="Next Day Air"/>
    <s v="Yes"/>
    <s v="Yes"/>
    <n v="24"/>
    <x v="3"/>
    <s v="Weekly"/>
    <n v="1"/>
    <x v="1"/>
  </r>
  <r>
    <n v="1602"/>
    <n v="65"/>
    <s v="Male"/>
    <s v="Shirt"/>
    <x v="0"/>
    <n v="59"/>
    <x v="27"/>
    <s v="XL"/>
    <s v="Red"/>
    <x v="1"/>
    <n v="2.9"/>
    <s v="No"/>
    <s v="Venmo"/>
    <s v="Store Pickup"/>
    <s v="Yes"/>
    <s v="Yes"/>
    <n v="33"/>
    <x v="2"/>
    <s v="Monthly"/>
    <n v="1"/>
    <x v="0"/>
  </r>
  <r>
    <n v="1603"/>
    <n v="54"/>
    <s v="Male"/>
    <s v="Sunglasses"/>
    <x v="3"/>
    <n v="48"/>
    <x v="8"/>
    <s v="S"/>
    <s v="Charcoal"/>
    <x v="0"/>
    <n v="2.8"/>
    <s v="No"/>
    <s v="Credit Card"/>
    <s v="Free Shipping"/>
    <s v="Yes"/>
    <s v="Yes"/>
    <n v="13"/>
    <x v="0"/>
    <s v="Fortnightly"/>
    <n v="1"/>
    <x v="0"/>
  </r>
  <r>
    <n v="1604"/>
    <n v="23"/>
    <s v="Male"/>
    <s v="Shorts"/>
    <x v="0"/>
    <n v="98"/>
    <x v="44"/>
    <s v="L"/>
    <s v="Black"/>
    <x v="2"/>
    <n v="4.3"/>
    <s v="No"/>
    <s v="Debit Card"/>
    <s v="Next Day Air"/>
    <s v="Yes"/>
    <s v="Yes"/>
    <n v="17"/>
    <x v="5"/>
    <s v="Bi-Weekly"/>
    <n v="1"/>
    <x v="1"/>
  </r>
  <r>
    <n v="1605"/>
    <n v="18"/>
    <s v="Male"/>
    <s v="Sweater"/>
    <x v="0"/>
    <n v="92"/>
    <x v="1"/>
    <s v="M"/>
    <s v="White"/>
    <x v="2"/>
    <n v="4.8"/>
    <s v="No"/>
    <s v="Venmo"/>
    <s v="2-Day Shipping"/>
    <s v="Yes"/>
    <s v="Yes"/>
    <n v="25"/>
    <x v="2"/>
    <s v="Every 3 Months"/>
    <n v="1"/>
    <x v="1"/>
  </r>
  <r>
    <n v="1606"/>
    <n v="70"/>
    <s v="Male"/>
    <s v="Belt"/>
    <x v="3"/>
    <n v="46"/>
    <x v="39"/>
    <s v="M"/>
    <s v="Lavender"/>
    <x v="0"/>
    <n v="3.4"/>
    <s v="No"/>
    <s v="Bank Transfer"/>
    <s v="Next Day Air"/>
    <s v="Yes"/>
    <s v="Yes"/>
    <n v="15"/>
    <x v="2"/>
    <s v="Bi-Weekly"/>
    <n v="1"/>
    <x v="0"/>
  </r>
  <r>
    <n v="1607"/>
    <n v="55"/>
    <s v="Male"/>
    <s v="T-shirt"/>
    <x v="0"/>
    <n v="21"/>
    <x v="23"/>
    <s v="S"/>
    <s v="White"/>
    <x v="1"/>
    <n v="4.3"/>
    <s v="No"/>
    <s v="Debit Card"/>
    <s v="Standard"/>
    <s v="Yes"/>
    <s v="Yes"/>
    <n v="4"/>
    <x v="3"/>
    <s v="Fortnightly"/>
    <n v="1"/>
    <x v="0"/>
  </r>
  <r>
    <n v="1608"/>
    <n v="49"/>
    <s v="Male"/>
    <s v="Shorts"/>
    <x v="0"/>
    <n v="72"/>
    <x v="34"/>
    <s v="S"/>
    <s v="Gray"/>
    <x v="3"/>
    <n v="2.7"/>
    <s v="No"/>
    <s v="Venmo"/>
    <s v="Free Shipping"/>
    <s v="Yes"/>
    <s v="Yes"/>
    <n v="43"/>
    <x v="5"/>
    <s v="Quarterly"/>
    <n v="1"/>
    <x v="0"/>
  </r>
  <r>
    <n v="1609"/>
    <n v="26"/>
    <s v="Male"/>
    <s v="Sandals"/>
    <x v="1"/>
    <n v="58"/>
    <x v="43"/>
    <s v="XL"/>
    <s v="Cyan"/>
    <x v="3"/>
    <n v="4.5999999999999996"/>
    <s v="No"/>
    <s v="Cash"/>
    <s v="Next Day Air"/>
    <s v="Yes"/>
    <s v="Yes"/>
    <n v="12"/>
    <x v="4"/>
    <s v="Bi-Weekly"/>
    <n v="1"/>
    <x v="3"/>
  </r>
  <r>
    <n v="1610"/>
    <n v="33"/>
    <s v="Male"/>
    <s v="Shirt"/>
    <x v="0"/>
    <n v="93"/>
    <x v="22"/>
    <s v="S"/>
    <s v="Brown"/>
    <x v="3"/>
    <n v="4.0999999999999996"/>
    <s v="No"/>
    <s v="Credit Card"/>
    <s v="Standard"/>
    <s v="Yes"/>
    <s v="Yes"/>
    <n v="3"/>
    <x v="0"/>
    <s v="Monthly"/>
    <n v="1"/>
    <x v="3"/>
  </r>
  <r>
    <n v="1611"/>
    <n v="20"/>
    <s v="Male"/>
    <s v="Socks"/>
    <x v="0"/>
    <n v="31"/>
    <x v="30"/>
    <s v="L"/>
    <s v="Purple"/>
    <x v="1"/>
    <n v="3.4"/>
    <s v="No"/>
    <s v="Credit Card"/>
    <s v="2-Day Shipping"/>
    <s v="Yes"/>
    <s v="Yes"/>
    <n v="1"/>
    <x v="3"/>
    <s v="Annually"/>
    <n v="1"/>
    <x v="1"/>
  </r>
  <r>
    <n v="1612"/>
    <n v="41"/>
    <s v="Male"/>
    <s v="Pants"/>
    <x v="0"/>
    <n v="26"/>
    <x v="10"/>
    <s v="L"/>
    <s v="Yellow"/>
    <x v="0"/>
    <n v="4.5"/>
    <s v="No"/>
    <s v="PayPal"/>
    <s v="Next Day Air"/>
    <s v="Yes"/>
    <s v="Yes"/>
    <n v="6"/>
    <x v="5"/>
    <s v="Monthly"/>
    <n v="1"/>
    <x v="2"/>
  </r>
  <r>
    <n v="1613"/>
    <n v="18"/>
    <s v="Male"/>
    <s v="Skirt"/>
    <x v="0"/>
    <n v="68"/>
    <x v="48"/>
    <s v="M"/>
    <s v="Indigo"/>
    <x v="2"/>
    <n v="4.4000000000000004"/>
    <s v="No"/>
    <s v="Bank Transfer"/>
    <s v="Standard"/>
    <s v="Yes"/>
    <s v="Yes"/>
    <n v="26"/>
    <x v="0"/>
    <s v="Monthly"/>
    <n v="1"/>
    <x v="1"/>
  </r>
  <r>
    <n v="1614"/>
    <n v="26"/>
    <s v="Male"/>
    <s v="Jewelry"/>
    <x v="3"/>
    <n v="31"/>
    <x v="26"/>
    <s v="S"/>
    <s v="Black"/>
    <x v="2"/>
    <n v="4"/>
    <s v="No"/>
    <s v="Credit Card"/>
    <s v="Next Day Air"/>
    <s v="Yes"/>
    <s v="Yes"/>
    <n v="6"/>
    <x v="2"/>
    <s v="Fortnightly"/>
    <n v="1"/>
    <x v="3"/>
  </r>
  <r>
    <n v="1615"/>
    <n v="30"/>
    <s v="Male"/>
    <s v="T-shirt"/>
    <x v="0"/>
    <n v="41"/>
    <x v="23"/>
    <s v="S"/>
    <s v="Gray"/>
    <x v="2"/>
    <n v="3.4"/>
    <s v="No"/>
    <s v="Cash"/>
    <s v="Free Shipping"/>
    <s v="Yes"/>
    <s v="Yes"/>
    <n v="22"/>
    <x v="1"/>
    <s v="Bi-Weekly"/>
    <n v="1"/>
    <x v="3"/>
  </r>
  <r>
    <n v="1616"/>
    <n v="64"/>
    <s v="Male"/>
    <s v="Jewelry"/>
    <x v="3"/>
    <n v="62"/>
    <x v="14"/>
    <s v="M"/>
    <s v="Indigo"/>
    <x v="3"/>
    <n v="3.2"/>
    <s v="No"/>
    <s v="PayPal"/>
    <s v="Standard"/>
    <s v="Yes"/>
    <s v="Yes"/>
    <n v="45"/>
    <x v="1"/>
    <s v="Bi-Weekly"/>
    <n v="1"/>
    <x v="0"/>
  </r>
  <r>
    <n v="1617"/>
    <n v="26"/>
    <s v="Male"/>
    <s v="Hat"/>
    <x v="3"/>
    <n v="41"/>
    <x v="24"/>
    <s v="M"/>
    <s v="Green"/>
    <x v="1"/>
    <n v="3.4"/>
    <s v="No"/>
    <s v="Bank Transfer"/>
    <s v="Standard"/>
    <s v="Yes"/>
    <s v="Yes"/>
    <n v="50"/>
    <x v="1"/>
    <s v="Quarterly"/>
    <n v="1"/>
    <x v="3"/>
  </r>
  <r>
    <n v="1618"/>
    <n v="43"/>
    <s v="Male"/>
    <s v="Blouse"/>
    <x v="0"/>
    <n v="64"/>
    <x v="48"/>
    <s v="M"/>
    <s v="Peach"/>
    <x v="0"/>
    <n v="4.3"/>
    <s v="No"/>
    <s v="PayPal"/>
    <s v="Standard"/>
    <s v="Yes"/>
    <s v="Yes"/>
    <n v="50"/>
    <x v="2"/>
    <s v="Fortnightly"/>
    <n v="1"/>
    <x v="2"/>
  </r>
  <r>
    <n v="1619"/>
    <n v="63"/>
    <s v="Male"/>
    <s v="Sandals"/>
    <x v="1"/>
    <n v="72"/>
    <x v="49"/>
    <s v="L"/>
    <s v="Purple"/>
    <x v="2"/>
    <n v="5"/>
    <s v="No"/>
    <s v="Venmo"/>
    <s v="Standard"/>
    <s v="Yes"/>
    <s v="Yes"/>
    <n v="39"/>
    <x v="5"/>
    <s v="Quarterly"/>
    <n v="1"/>
    <x v="0"/>
  </r>
  <r>
    <n v="1620"/>
    <n v="57"/>
    <s v="Male"/>
    <s v="Handbag"/>
    <x v="3"/>
    <n v="78"/>
    <x v="11"/>
    <s v="L"/>
    <s v="Beige"/>
    <x v="0"/>
    <n v="3.5"/>
    <s v="No"/>
    <s v="Cash"/>
    <s v="Store Pickup"/>
    <s v="Yes"/>
    <s v="Yes"/>
    <n v="50"/>
    <x v="0"/>
    <s v="Bi-Weekly"/>
    <n v="1"/>
    <x v="0"/>
  </r>
  <r>
    <n v="1621"/>
    <n v="25"/>
    <s v="Male"/>
    <s v="Hat"/>
    <x v="3"/>
    <n v="47"/>
    <x v="41"/>
    <s v="M"/>
    <s v="Charcoal"/>
    <x v="0"/>
    <n v="3.1"/>
    <s v="No"/>
    <s v="Bank Transfer"/>
    <s v="2-Day Shipping"/>
    <s v="Yes"/>
    <s v="Yes"/>
    <n v="27"/>
    <x v="3"/>
    <s v="Every 3 Months"/>
    <n v="1"/>
    <x v="1"/>
  </r>
  <r>
    <n v="1622"/>
    <n v="68"/>
    <s v="Male"/>
    <s v="Scarf"/>
    <x v="3"/>
    <n v="46"/>
    <x v="31"/>
    <s v="L"/>
    <s v="Gray"/>
    <x v="2"/>
    <n v="3.9"/>
    <s v="No"/>
    <s v="Venmo"/>
    <s v="2-Day Shipping"/>
    <s v="Yes"/>
    <s v="Yes"/>
    <n v="38"/>
    <x v="5"/>
    <s v="Fortnightly"/>
    <n v="1"/>
    <x v="0"/>
  </r>
  <r>
    <n v="1623"/>
    <n v="31"/>
    <s v="Male"/>
    <s v="Shorts"/>
    <x v="0"/>
    <n v="43"/>
    <x v="9"/>
    <s v="S"/>
    <s v="Brown"/>
    <x v="0"/>
    <n v="4"/>
    <s v="No"/>
    <s v="PayPal"/>
    <s v="Store Pickup"/>
    <s v="Yes"/>
    <s v="Yes"/>
    <n v="37"/>
    <x v="4"/>
    <s v="Every 3 Months"/>
    <n v="1"/>
    <x v="3"/>
  </r>
  <r>
    <n v="1624"/>
    <n v="64"/>
    <s v="Male"/>
    <s v="Backpack"/>
    <x v="3"/>
    <n v="58"/>
    <x v="27"/>
    <s v="M"/>
    <s v="Cyan"/>
    <x v="2"/>
    <n v="3.5"/>
    <s v="No"/>
    <s v="Venmo"/>
    <s v="Next Day Air"/>
    <s v="Yes"/>
    <s v="Yes"/>
    <n v="50"/>
    <x v="5"/>
    <s v="Annually"/>
    <n v="1"/>
    <x v="0"/>
  </r>
  <r>
    <n v="1625"/>
    <n v="38"/>
    <s v="Male"/>
    <s v="Sweater"/>
    <x v="0"/>
    <n v="32"/>
    <x v="20"/>
    <s v="M"/>
    <s v="White"/>
    <x v="0"/>
    <n v="3.6"/>
    <s v="No"/>
    <s v="Venmo"/>
    <s v="Free Shipping"/>
    <s v="Yes"/>
    <s v="Yes"/>
    <n v="40"/>
    <x v="3"/>
    <s v="Every 3 Months"/>
    <n v="1"/>
    <x v="2"/>
  </r>
  <r>
    <n v="1626"/>
    <n v="34"/>
    <s v="Male"/>
    <s v="Skirt"/>
    <x v="0"/>
    <n v="45"/>
    <x v="46"/>
    <s v="L"/>
    <s v="Beige"/>
    <x v="0"/>
    <n v="3"/>
    <s v="No"/>
    <s v="PayPal"/>
    <s v="Next Day Air"/>
    <s v="Yes"/>
    <s v="Yes"/>
    <n v="3"/>
    <x v="3"/>
    <s v="Bi-Weekly"/>
    <n v="1"/>
    <x v="3"/>
  </r>
  <r>
    <n v="1627"/>
    <n v="32"/>
    <s v="Male"/>
    <s v="Sneakers"/>
    <x v="1"/>
    <n v="35"/>
    <x v="22"/>
    <s v="L"/>
    <s v="Orange"/>
    <x v="2"/>
    <n v="2.6"/>
    <s v="No"/>
    <s v="Bank Transfer"/>
    <s v="Next Day Air"/>
    <s v="Yes"/>
    <s v="Yes"/>
    <n v="45"/>
    <x v="2"/>
    <s v="Bi-Weekly"/>
    <n v="1"/>
    <x v="3"/>
  </r>
  <r>
    <n v="1628"/>
    <n v="69"/>
    <s v="Male"/>
    <s v="Sunglasses"/>
    <x v="3"/>
    <n v="21"/>
    <x v="1"/>
    <s v="M"/>
    <s v="Olive"/>
    <x v="0"/>
    <n v="2.9"/>
    <s v="No"/>
    <s v="Venmo"/>
    <s v="Next Day Air"/>
    <s v="Yes"/>
    <s v="Yes"/>
    <n v="8"/>
    <x v="2"/>
    <s v="Annually"/>
    <n v="1"/>
    <x v="0"/>
  </r>
  <r>
    <n v="1629"/>
    <n v="45"/>
    <s v="Male"/>
    <s v="Dress"/>
    <x v="0"/>
    <n v="64"/>
    <x v="2"/>
    <s v="S"/>
    <s v="Teal"/>
    <x v="0"/>
    <n v="3.1"/>
    <s v="No"/>
    <s v="PayPal"/>
    <s v="Next Day Air"/>
    <s v="Yes"/>
    <s v="Yes"/>
    <n v="7"/>
    <x v="1"/>
    <s v="Monthly"/>
    <n v="1"/>
    <x v="2"/>
  </r>
  <r>
    <n v="1630"/>
    <n v="35"/>
    <s v="Male"/>
    <s v="Blouse"/>
    <x v="0"/>
    <n v="88"/>
    <x v="25"/>
    <s v="S"/>
    <s v="Silver"/>
    <x v="1"/>
    <n v="3.3"/>
    <s v="No"/>
    <s v="Credit Card"/>
    <s v="Next Day Air"/>
    <s v="Yes"/>
    <s v="Yes"/>
    <n v="13"/>
    <x v="0"/>
    <s v="Quarterly"/>
    <n v="1"/>
    <x v="3"/>
  </r>
  <r>
    <n v="1631"/>
    <n v="63"/>
    <s v="Male"/>
    <s v="Shoes"/>
    <x v="1"/>
    <n v="48"/>
    <x v="32"/>
    <s v="M"/>
    <s v="Gold"/>
    <x v="2"/>
    <n v="2.9"/>
    <s v="No"/>
    <s v="Debit Card"/>
    <s v="Store Pickup"/>
    <s v="Yes"/>
    <s v="Yes"/>
    <n v="29"/>
    <x v="0"/>
    <s v="Every 3 Months"/>
    <n v="1"/>
    <x v="0"/>
  </r>
  <r>
    <n v="1632"/>
    <n v="65"/>
    <s v="Male"/>
    <s v="Sweater"/>
    <x v="0"/>
    <n v="36"/>
    <x v="27"/>
    <s v="L"/>
    <s v="Violet"/>
    <x v="2"/>
    <n v="3.9"/>
    <s v="No"/>
    <s v="PayPal"/>
    <s v="2-Day Shipping"/>
    <s v="Yes"/>
    <s v="Yes"/>
    <n v="7"/>
    <x v="4"/>
    <s v="Fortnightly"/>
    <n v="1"/>
    <x v="0"/>
  </r>
  <r>
    <n v="1633"/>
    <n v="35"/>
    <s v="Male"/>
    <s v="Gloves"/>
    <x v="3"/>
    <n v="28"/>
    <x v="4"/>
    <s v="S"/>
    <s v="White"/>
    <x v="2"/>
    <n v="4.7"/>
    <s v="No"/>
    <s v="PayPal"/>
    <s v="2-Day Shipping"/>
    <s v="Yes"/>
    <s v="Yes"/>
    <n v="50"/>
    <x v="5"/>
    <s v="Every 3 Months"/>
    <n v="1"/>
    <x v="3"/>
  </r>
  <r>
    <n v="1634"/>
    <n v="54"/>
    <s v="Male"/>
    <s v="Socks"/>
    <x v="0"/>
    <n v="80"/>
    <x v="25"/>
    <s v="M"/>
    <s v="Peach"/>
    <x v="1"/>
    <n v="4.4000000000000004"/>
    <s v="No"/>
    <s v="Bank Transfer"/>
    <s v="2-Day Shipping"/>
    <s v="Yes"/>
    <s v="Yes"/>
    <n v="33"/>
    <x v="5"/>
    <s v="Bi-Weekly"/>
    <n v="1"/>
    <x v="0"/>
  </r>
  <r>
    <n v="1635"/>
    <n v="28"/>
    <s v="Male"/>
    <s v="Coat"/>
    <x v="2"/>
    <n v="23"/>
    <x v="36"/>
    <s v="S"/>
    <s v="Orange"/>
    <x v="2"/>
    <n v="3.6"/>
    <s v="No"/>
    <s v="Debit Card"/>
    <s v="Store Pickup"/>
    <s v="Yes"/>
    <s v="Yes"/>
    <n v="30"/>
    <x v="1"/>
    <s v="Every 3 Months"/>
    <n v="1"/>
    <x v="3"/>
  </r>
  <r>
    <n v="1636"/>
    <n v="68"/>
    <s v="Male"/>
    <s v="Sunglasses"/>
    <x v="3"/>
    <n v="24"/>
    <x v="17"/>
    <s v="L"/>
    <s v="Violet"/>
    <x v="2"/>
    <n v="3.2"/>
    <s v="No"/>
    <s v="Cash"/>
    <s v="Standard"/>
    <s v="Yes"/>
    <s v="Yes"/>
    <n v="40"/>
    <x v="1"/>
    <s v="Annually"/>
    <n v="1"/>
    <x v="0"/>
  </r>
  <r>
    <n v="1637"/>
    <n v="58"/>
    <s v="Male"/>
    <s v="Boots"/>
    <x v="1"/>
    <n v="22"/>
    <x v="25"/>
    <s v="L"/>
    <s v="Green"/>
    <x v="3"/>
    <n v="4"/>
    <s v="No"/>
    <s v="Credit Card"/>
    <s v="Free Shipping"/>
    <s v="Yes"/>
    <s v="Yes"/>
    <n v="49"/>
    <x v="1"/>
    <s v="Fortnightly"/>
    <n v="1"/>
    <x v="0"/>
  </r>
  <r>
    <n v="1638"/>
    <n v="35"/>
    <s v="Male"/>
    <s v="Dress"/>
    <x v="0"/>
    <n v="21"/>
    <x v="2"/>
    <s v="M"/>
    <s v="Peach"/>
    <x v="1"/>
    <n v="3.5"/>
    <s v="No"/>
    <s v="Bank Transfer"/>
    <s v="Next Day Air"/>
    <s v="Yes"/>
    <s v="Yes"/>
    <n v="32"/>
    <x v="0"/>
    <s v="Fortnightly"/>
    <n v="1"/>
    <x v="3"/>
  </r>
  <r>
    <n v="1639"/>
    <n v="68"/>
    <s v="Male"/>
    <s v="Jacket"/>
    <x v="2"/>
    <n v="51"/>
    <x v="30"/>
    <s v="M"/>
    <s v="Black"/>
    <x v="1"/>
    <n v="4.5999999999999996"/>
    <s v="No"/>
    <s v="PayPal"/>
    <s v="Free Shipping"/>
    <s v="Yes"/>
    <s v="Yes"/>
    <n v="18"/>
    <x v="0"/>
    <s v="Weekly"/>
    <n v="1"/>
    <x v="0"/>
  </r>
  <r>
    <n v="1640"/>
    <n v="41"/>
    <s v="Male"/>
    <s v="Gloves"/>
    <x v="3"/>
    <n v="65"/>
    <x v="9"/>
    <s v="L"/>
    <s v="Blue"/>
    <x v="2"/>
    <n v="3.3"/>
    <s v="No"/>
    <s v="Bank Transfer"/>
    <s v="Free Shipping"/>
    <s v="Yes"/>
    <s v="Yes"/>
    <n v="50"/>
    <x v="3"/>
    <s v="Annually"/>
    <n v="1"/>
    <x v="2"/>
  </r>
  <r>
    <n v="1641"/>
    <n v="65"/>
    <s v="Male"/>
    <s v="Scarf"/>
    <x v="3"/>
    <n v="51"/>
    <x v="30"/>
    <s v="S"/>
    <s v="Magenta"/>
    <x v="1"/>
    <n v="4"/>
    <s v="No"/>
    <s v="Debit Card"/>
    <s v="2-Day Shipping"/>
    <s v="Yes"/>
    <s v="Yes"/>
    <n v="13"/>
    <x v="3"/>
    <s v="Weekly"/>
    <n v="1"/>
    <x v="0"/>
  </r>
  <r>
    <n v="1642"/>
    <n v="50"/>
    <s v="Male"/>
    <s v="Hoodie"/>
    <x v="0"/>
    <n v="32"/>
    <x v="24"/>
    <s v="L"/>
    <s v="Violet"/>
    <x v="2"/>
    <n v="3.4"/>
    <s v="No"/>
    <s v="Bank Transfer"/>
    <s v="Free Shipping"/>
    <s v="Yes"/>
    <s v="Yes"/>
    <n v="1"/>
    <x v="4"/>
    <s v="Every 3 Months"/>
    <n v="1"/>
    <x v="0"/>
  </r>
  <r>
    <n v="1643"/>
    <n v="18"/>
    <s v="Male"/>
    <s v="Coat"/>
    <x v="2"/>
    <n v="70"/>
    <x v="16"/>
    <s v="M"/>
    <s v="Beige"/>
    <x v="1"/>
    <n v="4.2"/>
    <s v="No"/>
    <s v="Bank Transfer"/>
    <s v="Store Pickup"/>
    <s v="Yes"/>
    <s v="Yes"/>
    <n v="16"/>
    <x v="3"/>
    <s v="Fortnightly"/>
    <n v="1"/>
    <x v="1"/>
  </r>
  <r>
    <n v="1644"/>
    <n v="38"/>
    <s v="Male"/>
    <s v="Scarf"/>
    <x v="3"/>
    <n v="77"/>
    <x v="31"/>
    <s v="L"/>
    <s v="Pink"/>
    <x v="2"/>
    <n v="3.9"/>
    <s v="No"/>
    <s v="PayPal"/>
    <s v="2-Day Shipping"/>
    <s v="Yes"/>
    <s v="Yes"/>
    <n v="6"/>
    <x v="3"/>
    <s v="Monthly"/>
    <n v="1"/>
    <x v="2"/>
  </r>
  <r>
    <n v="1645"/>
    <n v="68"/>
    <s v="Male"/>
    <s v="Coat"/>
    <x v="2"/>
    <n v="90"/>
    <x v="17"/>
    <s v="S"/>
    <s v="Beige"/>
    <x v="2"/>
    <n v="3.9"/>
    <s v="No"/>
    <s v="PayPal"/>
    <s v="Next Day Air"/>
    <s v="Yes"/>
    <s v="Yes"/>
    <n v="21"/>
    <x v="5"/>
    <s v="Monthly"/>
    <n v="1"/>
    <x v="0"/>
  </r>
  <r>
    <n v="1646"/>
    <n v="53"/>
    <s v="Male"/>
    <s v="Scarf"/>
    <x v="3"/>
    <n v="36"/>
    <x v="31"/>
    <s v="L"/>
    <s v="Green"/>
    <x v="2"/>
    <n v="2.8"/>
    <s v="No"/>
    <s v="Bank Transfer"/>
    <s v="Standard"/>
    <s v="Yes"/>
    <s v="Yes"/>
    <n v="36"/>
    <x v="0"/>
    <s v="Every 3 Months"/>
    <n v="1"/>
    <x v="0"/>
  </r>
  <r>
    <n v="1647"/>
    <n v="58"/>
    <s v="Male"/>
    <s v="Handbag"/>
    <x v="3"/>
    <n v="77"/>
    <x v="43"/>
    <s v="S"/>
    <s v="Silver"/>
    <x v="2"/>
    <n v="3.7"/>
    <s v="No"/>
    <s v="Credit Card"/>
    <s v="Standard"/>
    <s v="Yes"/>
    <s v="Yes"/>
    <n v="20"/>
    <x v="4"/>
    <s v="Every 3 Months"/>
    <n v="1"/>
    <x v="0"/>
  </r>
  <r>
    <n v="1648"/>
    <n v="34"/>
    <s v="Male"/>
    <s v="Boots"/>
    <x v="1"/>
    <n v="78"/>
    <x v="11"/>
    <s v="M"/>
    <s v="Purple"/>
    <x v="2"/>
    <n v="4.9000000000000004"/>
    <s v="No"/>
    <s v="Credit Card"/>
    <s v="Store Pickup"/>
    <s v="Yes"/>
    <s v="Yes"/>
    <n v="8"/>
    <x v="5"/>
    <s v="Quarterly"/>
    <n v="1"/>
    <x v="3"/>
  </r>
  <r>
    <n v="1649"/>
    <n v="36"/>
    <s v="Male"/>
    <s v="Pants"/>
    <x v="0"/>
    <n v="69"/>
    <x v="19"/>
    <s v="M"/>
    <s v="Gray"/>
    <x v="2"/>
    <n v="2.6"/>
    <s v="No"/>
    <s v="Bank Transfer"/>
    <s v="Express"/>
    <s v="Yes"/>
    <s v="Yes"/>
    <n v="22"/>
    <x v="2"/>
    <s v="Monthly"/>
    <n v="1"/>
    <x v="2"/>
  </r>
  <r>
    <n v="1650"/>
    <n v="58"/>
    <s v="Male"/>
    <s v="T-shirt"/>
    <x v="0"/>
    <n v="63"/>
    <x v="48"/>
    <s v="M"/>
    <s v="White"/>
    <x v="2"/>
    <n v="4.9000000000000004"/>
    <s v="No"/>
    <s v="PayPal"/>
    <s v="Free Shipping"/>
    <s v="Yes"/>
    <s v="Yes"/>
    <n v="3"/>
    <x v="2"/>
    <s v="Quarterly"/>
    <n v="1"/>
    <x v="0"/>
  </r>
  <r>
    <n v="1651"/>
    <n v="60"/>
    <s v="Male"/>
    <s v="Scarf"/>
    <x v="3"/>
    <n v="36"/>
    <x v="10"/>
    <s v="M"/>
    <s v="Silver"/>
    <x v="0"/>
    <n v="3.4"/>
    <s v="No"/>
    <s v="Venmo"/>
    <s v="Next Day Air"/>
    <s v="Yes"/>
    <s v="Yes"/>
    <n v="46"/>
    <x v="2"/>
    <s v="Fortnightly"/>
    <n v="1"/>
    <x v="0"/>
  </r>
  <r>
    <n v="1652"/>
    <n v="59"/>
    <s v="Male"/>
    <s v="Coat"/>
    <x v="2"/>
    <n v="80"/>
    <x v="21"/>
    <s v="M"/>
    <s v="Blue"/>
    <x v="0"/>
    <n v="3.9"/>
    <s v="No"/>
    <s v="Bank Transfer"/>
    <s v="Standard"/>
    <s v="Yes"/>
    <s v="Yes"/>
    <n v="42"/>
    <x v="5"/>
    <s v="Monthly"/>
    <n v="1"/>
    <x v="0"/>
  </r>
  <r>
    <n v="1653"/>
    <n v="65"/>
    <s v="Male"/>
    <s v="Sweater"/>
    <x v="0"/>
    <n v="35"/>
    <x v="35"/>
    <s v="M"/>
    <s v="Orange"/>
    <x v="2"/>
    <n v="4"/>
    <s v="No"/>
    <s v="Cash"/>
    <s v="Next Day Air"/>
    <s v="Yes"/>
    <s v="Yes"/>
    <n v="1"/>
    <x v="4"/>
    <s v="Fortnightly"/>
    <n v="1"/>
    <x v="0"/>
  </r>
  <r>
    <n v="1654"/>
    <n v="31"/>
    <s v="Male"/>
    <s v="Belt"/>
    <x v="3"/>
    <n v="93"/>
    <x v="24"/>
    <s v="L"/>
    <s v="Silver"/>
    <x v="0"/>
    <n v="3"/>
    <s v="No"/>
    <s v="Venmo"/>
    <s v="2-Day Shipping"/>
    <s v="Yes"/>
    <s v="Yes"/>
    <n v="29"/>
    <x v="5"/>
    <s v="Bi-Weekly"/>
    <n v="1"/>
    <x v="3"/>
  </r>
  <r>
    <n v="1655"/>
    <n v="43"/>
    <s v="Male"/>
    <s v="Belt"/>
    <x v="3"/>
    <n v="25"/>
    <x v="27"/>
    <s v="L"/>
    <s v="Gray"/>
    <x v="1"/>
    <n v="2.6"/>
    <s v="No"/>
    <s v="Venmo"/>
    <s v="Store Pickup"/>
    <s v="Yes"/>
    <s v="Yes"/>
    <n v="14"/>
    <x v="2"/>
    <s v="Quarterly"/>
    <n v="1"/>
    <x v="2"/>
  </r>
  <r>
    <n v="1656"/>
    <n v="37"/>
    <s v="Male"/>
    <s v="Sweater"/>
    <x v="0"/>
    <n v="81"/>
    <x v="28"/>
    <s v="L"/>
    <s v="Gold"/>
    <x v="1"/>
    <n v="3.2"/>
    <s v="No"/>
    <s v="Venmo"/>
    <s v="Next Day Air"/>
    <s v="Yes"/>
    <s v="Yes"/>
    <n v="4"/>
    <x v="3"/>
    <s v="Monthly"/>
    <n v="1"/>
    <x v="2"/>
  </r>
  <r>
    <n v="1657"/>
    <n v="21"/>
    <s v="Male"/>
    <s v="Blouse"/>
    <x v="0"/>
    <n v="42"/>
    <x v="27"/>
    <s v="L"/>
    <s v="Brown"/>
    <x v="1"/>
    <n v="2.6"/>
    <s v="No"/>
    <s v="Credit Card"/>
    <s v="2-Day Shipping"/>
    <s v="Yes"/>
    <s v="Yes"/>
    <n v="41"/>
    <x v="3"/>
    <s v="Every 3 Months"/>
    <n v="1"/>
    <x v="1"/>
  </r>
  <r>
    <n v="1658"/>
    <n v="69"/>
    <s v="Male"/>
    <s v="Skirt"/>
    <x v="0"/>
    <n v="36"/>
    <x v="27"/>
    <s v="L"/>
    <s v="Turquoise"/>
    <x v="1"/>
    <n v="3.2"/>
    <s v="No"/>
    <s v="Cash"/>
    <s v="Store Pickup"/>
    <s v="Yes"/>
    <s v="Yes"/>
    <n v="4"/>
    <x v="5"/>
    <s v="Bi-Weekly"/>
    <n v="1"/>
    <x v="0"/>
  </r>
  <r>
    <n v="1659"/>
    <n v="32"/>
    <s v="Male"/>
    <s v="Jewelry"/>
    <x v="3"/>
    <n v="66"/>
    <x v="29"/>
    <s v="S"/>
    <s v="Pink"/>
    <x v="1"/>
    <n v="4.0999999999999996"/>
    <s v="No"/>
    <s v="Debit Card"/>
    <s v="Store Pickup"/>
    <s v="Yes"/>
    <s v="Yes"/>
    <n v="47"/>
    <x v="1"/>
    <s v="Weekly"/>
    <n v="1"/>
    <x v="3"/>
  </r>
  <r>
    <n v="1660"/>
    <n v="53"/>
    <s v="Male"/>
    <s v="Gloves"/>
    <x v="3"/>
    <n v="37"/>
    <x v="40"/>
    <s v="M"/>
    <s v="Black"/>
    <x v="3"/>
    <n v="3.9"/>
    <s v="No"/>
    <s v="Bank Transfer"/>
    <s v="Next Day Air"/>
    <s v="Yes"/>
    <s v="Yes"/>
    <n v="44"/>
    <x v="0"/>
    <s v="Annually"/>
    <n v="1"/>
    <x v="0"/>
  </r>
  <r>
    <n v="1661"/>
    <n v="59"/>
    <s v="Male"/>
    <s v="T-shirt"/>
    <x v="0"/>
    <n v="45"/>
    <x v="7"/>
    <s v="L"/>
    <s v="Yellow"/>
    <x v="0"/>
    <n v="4.0999999999999996"/>
    <s v="No"/>
    <s v="Venmo"/>
    <s v="Standard"/>
    <s v="Yes"/>
    <s v="Yes"/>
    <n v="37"/>
    <x v="0"/>
    <s v="Monthly"/>
    <n v="1"/>
    <x v="0"/>
  </r>
  <r>
    <n v="1662"/>
    <n v="64"/>
    <s v="Male"/>
    <s v="Gloves"/>
    <x v="3"/>
    <n v="86"/>
    <x v="44"/>
    <s v="S"/>
    <s v="Beige"/>
    <x v="2"/>
    <n v="2.7"/>
    <s v="No"/>
    <s v="Credit Card"/>
    <s v="2-Day Shipping"/>
    <s v="Yes"/>
    <s v="Yes"/>
    <n v="21"/>
    <x v="5"/>
    <s v="Quarterly"/>
    <n v="1"/>
    <x v="0"/>
  </r>
  <r>
    <n v="1663"/>
    <n v="63"/>
    <s v="Male"/>
    <s v="Sunglasses"/>
    <x v="3"/>
    <n v="24"/>
    <x v="35"/>
    <s v="M"/>
    <s v="Olive"/>
    <x v="0"/>
    <n v="4.5999999999999996"/>
    <s v="No"/>
    <s v="Debit Card"/>
    <s v="Free Shipping"/>
    <s v="Yes"/>
    <s v="Yes"/>
    <n v="46"/>
    <x v="5"/>
    <s v="Fortnightly"/>
    <n v="1"/>
    <x v="0"/>
  </r>
  <r>
    <n v="1664"/>
    <n v="43"/>
    <s v="Male"/>
    <s v="Shirt"/>
    <x v="0"/>
    <n v="22"/>
    <x v="1"/>
    <s v="XL"/>
    <s v="Gold"/>
    <x v="2"/>
    <n v="3.5"/>
    <s v="No"/>
    <s v="Cash"/>
    <s v="Standard"/>
    <s v="Yes"/>
    <s v="Yes"/>
    <n v="1"/>
    <x v="1"/>
    <s v="Bi-Weekly"/>
    <n v="1"/>
    <x v="2"/>
  </r>
  <r>
    <n v="1665"/>
    <n v="19"/>
    <s v="Male"/>
    <s v="Handbag"/>
    <x v="3"/>
    <n v="53"/>
    <x v="46"/>
    <s v="M"/>
    <s v="Purple"/>
    <x v="1"/>
    <n v="5"/>
    <s v="No"/>
    <s v="PayPal"/>
    <s v="Next Day Air"/>
    <s v="Yes"/>
    <s v="Yes"/>
    <n v="35"/>
    <x v="3"/>
    <s v="Weekly"/>
    <n v="1"/>
    <x v="1"/>
  </r>
  <r>
    <n v="1666"/>
    <n v="40"/>
    <s v="Male"/>
    <s v="Jacket"/>
    <x v="2"/>
    <n v="41"/>
    <x v="35"/>
    <s v="L"/>
    <s v="Pink"/>
    <x v="3"/>
    <n v="3.4"/>
    <s v="No"/>
    <s v="Cash"/>
    <s v="Next Day Air"/>
    <s v="Yes"/>
    <s v="Yes"/>
    <n v="49"/>
    <x v="0"/>
    <s v="Monthly"/>
    <n v="1"/>
    <x v="2"/>
  </r>
  <r>
    <n v="1667"/>
    <n v="51"/>
    <s v="Male"/>
    <s v="Skirt"/>
    <x v="0"/>
    <n v="64"/>
    <x v="10"/>
    <s v="M"/>
    <s v="Blue"/>
    <x v="2"/>
    <n v="3.1"/>
    <s v="No"/>
    <s v="Cash"/>
    <s v="Store Pickup"/>
    <s v="Yes"/>
    <s v="Yes"/>
    <n v="47"/>
    <x v="3"/>
    <s v="Annually"/>
    <n v="1"/>
    <x v="0"/>
  </r>
  <r>
    <n v="1668"/>
    <n v="51"/>
    <s v="Male"/>
    <s v="Handbag"/>
    <x v="3"/>
    <n v="40"/>
    <x v="19"/>
    <s v="L"/>
    <s v="Brown"/>
    <x v="0"/>
    <n v="3.4"/>
    <s v="No"/>
    <s v="Bank Transfer"/>
    <s v="2-Day Shipping"/>
    <s v="Yes"/>
    <s v="Yes"/>
    <n v="24"/>
    <x v="4"/>
    <s v="Every 3 Months"/>
    <n v="1"/>
    <x v="0"/>
  </r>
  <r>
    <n v="1669"/>
    <n v="66"/>
    <s v="Male"/>
    <s v="Blouse"/>
    <x v="0"/>
    <n v="33"/>
    <x v="40"/>
    <s v="L"/>
    <s v="Charcoal"/>
    <x v="2"/>
    <n v="4"/>
    <s v="No"/>
    <s v="Credit Card"/>
    <s v="Standard"/>
    <s v="Yes"/>
    <s v="Yes"/>
    <n v="28"/>
    <x v="5"/>
    <s v="Fortnightly"/>
    <n v="1"/>
    <x v="0"/>
  </r>
  <r>
    <n v="1670"/>
    <n v="42"/>
    <s v="Male"/>
    <s v="T-shirt"/>
    <x v="0"/>
    <n v="59"/>
    <x v="48"/>
    <s v="L"/>
    <s v="Maroon"/>
    <x v="0"/>
    <n v="2.7"/>
    <s v="No"/>
    <s v="PayPal"/>
    <s v="Store Pickup"/>
    <s v="Yes"/>
    <s v="Yes"/>
    <n v="22"/>
    <x v="4"/>
    <s v="Quarterly"/>
    <n v="1"/>
    <x v="2"/>
  </r>
  <r>
    <n v="1671"/>
    <n v="22"/>
    <s v="Male"/>
    <s v="Pants"/>
    <x v="0"/>
    <n v="73"/>
    <x v="40"/>
    <s v="L"/>
    <s v="Cyan"/>
    <x v="3"/>
    <n v="3.6"/>
    <s v="No"/>
    <s v="Venmo"/>
    <s v="Free Shipping"/>
    <s v="Yes"/>
    <s v="Yes"/>
    <n v="20"/>
    <x v="1"/>
    <s v="Weekly"/>
    <n v="1"/>
    <x v="1"/>
  </r>
  <r>
    <n v="1672"/>
    <n v="31"/>
    <s v="Male"/>
    <s v="Hoodie"/>
    <x v="0"/>
    <n v="22"/>
    <x v="40"/>
    <s v="M"/>
    <s v="Olive"/>
    <x v="0"/>
    <n v="4"/>
    <s v="No"/>
    <s v="PayPal"/>
    <s v="Free Shipping"/>
    <s v="Yes"/>
    <s v="Yes"/>
    <n v="25"/>
    <x v="4"/>
    <s v="Weekly"/>
    <n v="1"/>
    <x v="3"/>
  </r>
  <r>
    <n v="1673"/>
    <n v="18"/>
    <s v="Male"/>
    <s v="Boots"/>
    <x v="1"/>
    <n v="73"/>
    <x v="36"/>
    <s v="L"/>
    <s v="Gold"/>
    <x v="3"/>
    <n v="3.8"/>
    <s v="No"/>
    <s v="Debit Card"/>
    <s v="Free Shipping"/>
    <s v="Yes"/>
    <s v="Yes"/>
    <n v="15"/>
    <x v="0"/>
    <s v="Quarterly"/>
    <n v="1"/>
    <x v="1"/>
  </r>
  <r>
    <n v="1674"/>
    <n v="21"/>
    <s v="Male"/>
    <s v="Blouse"/>
    <x v="0"/>
    <n v="62"/>
    <x v="11"/>
    <s v="M"/>
    <s v="Violet"/>
    <x v="3"/>
    <n v="3.4"/>
    <s v="No"/>
    <s v="Debit Card"/>
    <s v="Next Day Air"/>
    <s v="Yes"/>
    <s v="Yes"/>
    <n v="49"/>
    <x v="0"/>
    <s v="Bi-Weekly"/>
    <n v="1"/>
    <x v="1"/>
  </r>
  <r>
    <n v="1675"/>
    <n v="35"/>
    <s v="Male"/>
    <s v="Coat"/>
    <x v="2"/>
    <n v="56"/>
    <x v="29"/>
    <s v="M"/>
    <s v="Peach"/>
    <x v="0"/>
    <n v="3.2"/>
    <s v="No"/>
    <s v="PayPal"/>
    <s v="Free Shipping"/>
    <s v="Yes"/>
    <s v="Yes"/>
    <n v="10"/>
    <x v="5"/>
    <s v="Fortnightly"/>
    <n v="1"/>
    <x v="3"/>
  </r>
  <r>
    <n v="1676"/>
    <n v="35"/>
    <s v="Male"/>
    <s v="Pants"/>
    <x v="0"/>
    <n v="90"/>
    <x v="24"/>
    <s v="M"/>
    <s v="Beige"/>
    <x v="1"/>
    <n v="4.7"/>
    <s v="No"/>
    <s v="Venmo"/>
    <s v="Next Day Air"/>
    <s v="Yes"/>
    <s v="Yes"/>
    <n v="21"/>
    <x v="2"/>
    <s v="Annually"/>
    <n v="1"/>
    <x v="3"/>
  </r>
  <r>
    <n v="1677"/>
    <n v="27"/>
    <s v="Male"/>
    <s v="Sunglasses"/>
    <x v="3"/>
    <n v="44"/>
    <x v="8"/>
    <s v="M"/>
    <s v="Cyan"/>
    <x v="0"/>
    <n v="3.1"/>
    <s v="No"/>
    <s v="PayPal"/>
    <s v="Next Day Air"/>
    <s v="Yes"/>
    <s v="Yes"/>
    <n v="34"/>
    <x v="4"/>
    <s v="Weekly"/>
    <n v="1"/>
    <x v="3"/>
  </r>
  <r>
    <n v="1678"/>
    <n v="65"/>
    <s v="Male"/>
    <s v="Jeans"/>
    <x v="0"/>
    <n v="35"/>
    <x v="4"/>
    <s v="L"/>
    <s v="Silver"/>
    <x v="2"/>
    <n v="3.3"/>
    <s v="No"/>
    <s v="PayPal"/>
    <s v="Next Day Air"/>
    <s v="No"/>
    <s v="No"/>
    <n v="41"/>
    <x v="5"/>
    <s v="Weekly"/>
    <n v="0"/>
    <x v="0"/>
  </r>
  <r>
    <n v="1679"/>
    <n v="41"/>
    <s v="Male"/>
    <s v="Pants"/>
    <x v="0"/>
    <n v="71"/>
    <x v="31"/>
    <s v="S"/>
    <s v="Magenta"/>
    <x v="2"/>
    <n v="4.8"/>
    <s v="No"/>
    <s v="PayPal"/>
    <s v="2-Day Shipping"/>
    <s v="No"/>
    <s v="No"/>
    <n v="30"/>
    <x v="0"/>
    <s v="Fortnightly"/>
    <n v="0"/>
    <x v="2"/>
  </r>
  <r>
    <n v="1680"/>
    <n v="60"/>
    <s v="Male"/>
    <s v="Dress"/>
    <x v="0"/>
    <n v="52"/>
    <x v="2"/>
    <s v="S"/>
    <s v="Black"/>
    <x v="3"/>
    <n v="4.5"/>
    <s v="No"/>
    <s v="PayPal"/>
    <s v="Next Day Air"/>
    <s v="No"/>
    <s v="No"/>
    <n v="24"/>
    <x v="5"/>
    <s v="Bi-Weekly"/>
    <n v="0"/>
    <x v="0"/>
  </r>
  <r>
    <n v="1681"/>
    <n v="61"/>
    <s v="Male"/>
    <s v="Shoes"/>
    <x v="1"/>
    <n v="37"/>
    <x v="7"/>
    <s v="M"/>
    <s v="Olive"/>
    <x v="2"/>
    <n v="3.4"/>
    <s v="No"/>
    <s v="Credit Card"/>
    <s v="Store Pickup"/>
    <s v="No"/>
    <s v="No"/>
    <n v="6"/>
    <x v="2"/>
    <s v="Annually"/>
    <n v="0"/>
    <x v="0"/>
  </r>
  <r>
    <n v="1682"/>
    <n v="24"/>
    <s v="Male"/>
    <s v="Sneakers"/>
    <x v="1"/>
    <n v="95"/>
    <x v="41"/>
    <s v="L"/>
    <s v="Green"/>
    <x v="0"/>
    <n v="3.7"/>
    <s v="No"/>
    <s v="Cash"/>
    <s v="2-Day Shipping"/>
    <s v="No"/>
    <s v="No"/>
    <n v="14"/>
    <x v="2"/>
    <s v="Bi-Weekly"/>
    <n v="0"/>
    <x v="1"/>
  </r>
  <r>
    <n v="1683"/>
    <n v="65"/>
    <s v="Male"/>
    <s v="Socks"/>
    <x v="0"/>
    <n v="97"/>
    <x v="14"/>
    <s v="M"/>
    <s v="Yellow"/>
    <x v="3"/>
    <n v="4.9000000000000004"/>
    <s v="No"/>
    <s v="Venmo"/>
    <s v="2-Day Shipping"/>
    <s v="No"/>
    <s v="No"/>
    <n v="37"/>
    <x v="2"/>
    <s v="Bi-Weekly"/>
    <n v="0"/>
    <x v="0"/>
  </r>
  <r>
    <n v="1684"/>
    <n v="23"/>
    <s v="Male"/>
    <s v="Coat"/>
    <x v="2"/>
    <n v="57"/>
    <x v="10"/>
    <s v="S"/>
    <s v="Lavender"/>
    <x v="1"/>
    <n v="3.5"/>
    <s v="No"/>
    <s v="Debit Card"/>
    <s v="Next Day Air"/>
    <s v="No"/>
    <s v="No"/>
    <n v="37"/>
    <x v="0"/>
    <s v="Quarterly"/>
    <n v="0"/>
    <x v="1"/>
  </r>
  <r>
    <n v="1685"/>
    <n v="30"/>
    <s v="Male"/>
    <s v="Shirt"/>
    <x v="0"/>
    <n v="93"/>
    <x v="35"/>
    <s v="M"/>
    <s v="Indigo"/>
    <x v="1"/>
    <n v="4.5999999999999996"/>
    <s v="No"/>
    <s v="Cash"/>
    <s v="Standard"/>
    <s v="No"/>
    <s v="No"/>
    <n v="28"/>
    <x v="3"/>
    <s v="Weekly"/>
    <n v="0"/>
    <x v="3"/>
  </r>
  <r>
    <n v="1686"/>
    <n v="33"/>
    <s v="Male"/>
    <s v="Blouse"/>
    <x v="0"/>
    <n v="48"/>
    <x v="46"/>
    <s v="M"/>
    <s v="Pink"/>
    <x v="0"/>
    <n v="4.5999999999999996"/>
    <s v="No"/>
    <s v="Venmo"/>
    <s v="Standard"/>
    <s v="No"/>
    <s v="No"/>
    <n v="43"/>
    <x v="3"/>
    <s v="Bi-Weekly"/>
    <n v="0"/>
    <x v="3"/>
  </r>
  <r>
    <n v="1687"/>
    <n v="22"/>
    <s v="Male"/>
    <s v="Gloves"/>
    <x v="3"/>
    <n v="75"/>
    <x v="26"/>
    <s v="L"/>
    <s v="Red"/>
    <x v="3"/>
    <n v="4.2"/>
    <s v="No"/>
    <s v="Credit Card"/>
    <s v="Store Pickup"/>
    <s v="No"/>
    <s v="No"/>
    <n v="25"/>
    <x v="1"/>
    <s v="Annually"/>
    <n v="0"/>
    <x v="1"/>
  </r>
  <r>
    <n v="1688"/>
    <n v="67"/>
    <s v="Male"/>
    <s v="Skirt"/>
    <x v="0"/>
    <n v="70"/>
    <x v="42"/>
    <s v="S"/>
    <s v="Magenta"/>
    <x v="0"/>
    <n v="3.7"/>
    <s v="No"/>
    <s v="Venmo"/>
    <s v="Free Shipping"/>
    <s v="No"/>
    <s v="No"/>
    <n v="4"/>
    <x v="3"/>
    <s v="Annually"/>
    <n v="0"/>
    <x v="0"/>
  </r>
  <r>
    <n v="1689"/>
    <n v="28"/>
    <s v="Male"/>
    <s v="Handbag"/>
    <x v="3"/>
    <n v="26"/>
    <x v="16"/>
    <s v="S"/>
    <s v="Peach"/>
    <x v="0"/>
    <n v="3"/>
    <s v="No"/>
    <s v="Credit Card"/>
    <s v="Next Day Air"/>
    <s v="No"/>
    <s v="No"/>
    <n v="13"/>
    <x v="0"/>
    <s v="Fortnightly"/>
    <n v="0"/>
    <x v="3"/>
  </r>
  <r>
    <n v="1690"/>
    <n v="32"/>
    <s v="Male"/>
    <s v="Shirt"/>
    <x v="0"/>
    <n v="73"/>
    <x v="17"/>
    <s v="L"/>
    <s v="Turquoise"/>
    <x v="0"/>
    <n v="4.5999999999999996"/>
    <s v="No"/>
    <s v="Credit Card"/>
    <s v="Store Pickup"/>
    <s v="No"/>
    <s v="No"/>
    <n v="32"/>
    <x v="4"/>
    <s v="Monthly"/>
    <n v="0"/>
    <x v="3"/>
  </r>
  <r>
    <n v="1691"/>
    <n v="40"/>
    <s v="Male"/>
    <s v="Coat"/>
    <x v="2"/>
    <n v="30"/>
    <x v="22"/>
    <s v="M"/>
    <s v="Black"/>
    <x v="2"/>
    <n v="3.2"/>
    <s v="No"/>
    <s v="Cash"/>
    <s v="Free Shipping"/>
    <s v="No"/>
    <s v="No"/>
    <n v="1"/>
    <x v="1"/>
    <s v="Annually"/>
    <n v="0"/>
    <x v="2"/>
  </r>
  <r>
    <n v="1692"/>
    <n v="64"/>
    <s v="Male"/>
    <s v="Shoes"/>
    <x v="1"/>
    <n v="61"/>
    <x v="39"/>
    <s v="L"/>
    <s v="Blue"/>
    <x v="2"/>
    <n v="3.5"/>
    <s v="No"/>
    <s v="Credit Card"/>
    <s v="Next Day Air"/>
    <s v="No"/>
    <s v="No"/>
    <n v="4"/>
    <x v="1"/>
    <s v="Annually"/>
    <n v="0"/>
    <x v="0"/>
  </r>
  <r>
    <n v="1693"/>
    <n v="56"/>
    <s v="Male"/>
    <s v="Handbag"/>
    <x v="3"/>
    <n v="75"/>
    <x v="40"/>
    <s v="M"/>
    <s v="Beige"/>
    <x v="0"/>
    <n v="2.6"/>
    <s v="No"/>
    <s v="Debit Card"/>
    <s v="Standard"/>
    <s v="No"/>
    <s v="No"/>
    <n v="33"/>
    <x v="1"/>
    <s v="Bi-Weekly"/>
    <n v="0"/>
    <x v="0"/>
  </r>
  <r>
    <n v="1694"/>
    <n v="63"/>
    <s v="Male"/>
    <s v="Jacket"/>
    <x v="2"/>
    <n v="88"/>
    <x v="30"/>
    <s v="XL"/>
    <s v="Olive"/>
    <x v="3"/>
    <n v="4.9000000000000004"/>
    <s v="No"/>
    <s v="Venmo"/>
    <s v="Standard"/>
    <s v="No"/>
    <s v="No"/>
    <n v="45"/>
    <x v="4"/>
    <s v="Fortnightly"/>
    <n v="0"/>
    <x v="0"/>
  </r>
  <r>
    <n v="1695"/>
    <n v="20"/>
    <s v="Male"/>
    <s v="Shirt"/>
    <x v="0"/>
    <n v="67"/>
    <x v="16"/>
    <s v="M"/>
    <s v="Turquoise"/>
    <x v="2"/>
    <n v="2.7"/>
    <s v="No"/>
    <s v="Credit Card"/>
    <s v="Express"/>
    <s v="No"/>
    <s v="No"/>
    <n v="20"/>
    <x v="5"/>
    <s v="Fortnightly"/>
    <n v="0"/>
    <x v="1"/>
  </r>
  <r>
    <n v="1696"/>
    <n v="54"/>
    <s v="Male"/>
    <s v="Hat"/>
    <x v="3"/>
    <n v="95"/>
    <x v="43"/>
    <s v="S"/>
    <s v="Yellow"/>
    <x v="3"/>
    <n v="4.7"/>
    <s v="No"/>
    <s v="Venmo"/>
    <s v="2-Day Shipping"/>
    <s v="No"/>
    <s v="No"/>
    <n v="1"/>
    <x v="3"/>
    <s v="Fortnightly"/>
    <n v="0"/>
    <x v="0"/>
  </r>
  <r>
    <n v="1697"/>
    <n v="31"/>
    <s v="Male"/>
    <s v="Sunglasses"/>
    <x v="3"/>
    <n v="69"/>
    <x v="8"/>
    <s v="S"/>
    <s v="Turquoise"/>
    <x v="1"/>
    <n v="4"/>
    <s v="No"/>
    <s v="Bank Transfer"/>
    <s v="Free Shipping"/>
    <s v="No"/>
    <s v="No"/>
    <n v="7"/>
    <x v="2"/>
    <s v="Bi-Weekly"/>
    <n v="0"/>
    <x v="3"/>
  </r>
  <r>
    <n v="1698"/>
    <n v="36"/>
    <s v="Male"/>
    <s v="Shirt"/>
    <x v="0"/>
    <n v="87"/>
    <x v="36"/>
    <s v="L"/>
    <s v="Lavender"/>
    <x v="3"/>
    <n v="3.5"/>
    <s v="No"/>
    <s v="Venmo"/>
    <s v="Next Day Air"/>
    <s v="No"/>
    <s v="No"/>
    <n v="48"/>
    <x v="2"/>
    <s v="Every 3 Months"/>
    <n v="0"/>
    <x v="2"/>
  </r>
  <r>
    <n v="1699"/>
    <n v="25"/>
    <s v="Male"/>
    <s v="Belt"/>
    <x v="3"/>
    <n v="41"/>
    <x v="44"/>
    <s v="XL"/>
    <s v="Turquoise"/>
    <x v="0"/>
    <n v="4.8"/>
    <s v="No"/>
    <s v="Credit Card"/>
    <s v="Standard"/>
    <s v="No"/>
    <s v="No"/>
    <n v="46"/>
    <x v="4"/>
    <s v="Quarterly"/>
    <n v="0"/>
    <x v="1"/>
  </r>
  <r>
    <n v="1700"/>
    <n v="20"/>
    <s v="Male"/>
    <s v="Sweater"/>
    <x v="0"/>
    <n v="67"/>
    <x v="25"/>
    <s v="L"/>
    <s v="Teal"/>
    <x v="1"/>
    <n v="4"/>
    <s v="No"/>
    <s v="Bank Transfer"/>
    <s v="Free Shipping"/>
    <s v="No"/>
    <s v="No"/>
    <n v="34"/>
    <x v="5"/>
    <s v="Annually"/>
    <n v="0"/>
    <x v="1"/>
  </r>
  <r>
    <n v="1701"/>
    <n v="62"/>
    <s v="Male"/>
    <s v="Hoodie"/>
    <x v="0"/>
    <n v="70"/>
    <x v="8"/>
    <s v="L"/>
    <s v="Black"/>
    <x v="3"/>
    <n v="4.0999999999999996"/>
    <s v="No"/>
    <s v="Credit Card"/>
    <s v="Express"/>
    <s v="No"/>
    <s v="No"/>
    <n v="36"/>
    <x v="4"/>
    <s v="Monthly"/>
    <n v="0"/>
    <x v="0"/>
  </r>
  <r>
    <n v="1702"/>
    <n v="69"/>
    <s v="Male"/>
    <s v="Handbag"/>
    <x v="3"/>
    <n v="41"/>
    <x v="16"/>
    <s v="XL"/>
    <s v="Blue"/>
    <x v="0"/>
    <n v="3.8"/>
    <s v="No"/>
    <s v="PayPal"/>
    <s v="Next Day Air"/>
    <s v="No"/>
    <s v="No"/>
    <n v="44"/>
    <x v="5"/>
    <s v="Every 3 Months"/>
    <n v="0"/>
    <x v="0"/>
  </r>
  <r>
    <n v="1703"/>
    <n v="54"/>
    <s v="Male"/>
    <s v="Jeans"/>
    <x v="0"/>
    <n v="83"/>
    <x v="15"/>
    <s v="XL"/>
    <s v="Yellow"/>
    <x v="2"/>
    <n v="5"/>
    <s v="No"/>
    <s v="Debit Card"/>
    <s v="Express"/>
    <s v="No"/>
    <s v="No"/>
    <n v="48"/>
    <x v="4"/>
    <s v="Weekly"/>
    <n v="0"/>
    <x v="0"/>
  </r>
  <r>
    <n v="1704"/>
    <n v="39"/>
    <s v="Male"/>
    <s v="Backpack"/>
    <x v="3"/>
    <n v="22"/>
    <x v="18"/>
    <s v="M"/>
    <s v="Black"/>
    <x v="1"/>
    <n v="4"/>
    <s v="No"/>
    <s v="Venmo"/>
    <s v="Next Day Air"/>
    <s v="No"/>
    <s v="No"/>
    <n v="12"/>
    <x v="4"/>
    <s v="Annually"/>
    <n v="0"/>
    <x v="2"/>
  </r>
  <r>
    <n v="1705"/>
    <n v="56"/>
    <s v="Male"/>
    <s v="Sneakers"/>
    <x v="1"/>
    <n v="20"/>
    <x v="37"/>
    <s v="M"/>
    <s v="Lavender"/>
    <x v="2"/>
    <n v="3.9"/>
    <s v="No"/>
    <s v="Bank Transfer"/>
    <s v="Store Pickup"/>
    <s v="No"/>
    <s v="No"/>
    <n v="19"/>
    <x v="1"/>
    <s v="Every 3 Months"/>
    <n v="0"/>
    <x v="0"/>
  </r>
  <r>
    <n v="1706"/>
    <n v="39"/>
    <s v="Male"/>
    <s v="Jewelry"/>
    <x v="3"/>
    <n v="29"/>
    <x v="45"/>
    <s v="L"/>
    <s v="Cyan"/>
    <x v="2"/>
    <n v="3.4"/>
    <s v="No"/>
    <s v="Venmo"/>
    <s v="2-Day Shipping"/>
    <s v="No"/>
    <s v="No"/>
    <n v="49"/>
    <x v="0"/>
    <s v="Bi-Weekly"/>
    <n v="0"/>
    <x v="2"/>
  </r>
  <r>
    <n v="1707"/>
    <n v="37"/>
    <s v="Male"/>
    <s v="Sunglasses"/>
    <x v="3"/>
    <n v="87"/>
    <x v="25"/>
    <s v="M"/>
    <s v="Brown"/>
    <x v="1"/>
    <n v="3"/>
    <s v="No"/>
    <s v="Credit Card"/>
    <s v="Standard"/>
    <s v="No"/>
    <s v="No"/>
    <n v="25"/>
    <x v="0"/>
    <s v="Fortnightly"/>
    <n v="0"/>
    <x v="2"/>
  </r>
  <r>
    <n v="1708"/>
    <n v="25"/>
    <s v="Male"/>
    <s v="Shorts"/>
    <x v="0"/>
    <n v="81"/>
    <x v="22"/>
    <s v="L"/>
    <s v="Maroon"/>
    <x v="3"/>
    <n v="4.9000000000000004"/>
    <s v="No"/>
    <s v="Credit Card"/>
    <s v="2-Day Shipping"/>
    <s v="No"/>
    <s v="No"/>
    <n v="25"/>
    <x v="1"/>
    <s v="Bi-Weekly"/>
    <n v="0"/>
    <x v="1"/>
  </r>
  <r>
    <n v="1709"/>
    <n v="35"/>
    <s v="Male"/>
    <s v="Boots"/>
    <x v="1"/>
    <n v="58"/>
    <x v="20"/>
    <s v="L"/>
    <s v="Cyan"/>
    <x v="1"/>
    <n v="3.2"/>
    <s v="No"/>
    <s v="Bank Transfer"/>
    <s v="Express"/>
    <s v="No"/>
    <s v="No"/>
    <n v="1"/>
    <x v="2"/>
    <s v="Quarterly"/>
    <n v="0"/>
    <x v="3"/>
  </r>
  <r>
    <n v="1710"/>
    <n v="45"/>
    <s v="Male"/>
    <s v="Skirt"/>
    <x v="0"/>
    <n v="83"/>
    <x v="27"/>
    <s v="M"/>
    <s v="Pink"/>
    <x v="0"/>
    <n v="3.8"/>
    <s v="No"/>
    <s v="Venmo"/>
    <s v="Standard"/>
    <s v="No"/>
    <s v="No"/>
    <n v="19"/>
    <x v="4"/>
    <s v="Annually"/>
    <n v="0"/>
    <x v="2"/>
  </r>
  <r>
    <n v="1711"/>
    <n v="19"/>
    <s v="Male"/>
    <s v="Pants"/>
    <x v="0"/>
    <n v="59"/>
    <x v="10"/>
    <s v="XL"/>
    <s v="Orange"/>
    <x v="3"/>
    <n v="3.8"/>
    <s v="No"/>
    <s v="Debit Card"/>
    <s v="Store Pickup"/>
    <s v="No"/>
    <s v="No"/>
    <n v="7"/>
    <x v="2"/>
    <s v="Quarterly"/>
    <n v="0"/>
    <x v="1"/>
  </r>
  <r>
    <n v="1712"/>
    <n v="21"/>
    <s v="Male"/>
    <s v="T-shirt"/>
    <x v="0"/>
    <n v="93"/>
    <x v="17"/>
    <s v="M"/>
    <s v="Lavender"/>
    <x v="1"/>
    <n v="4.7"/>
    <s v="No"/>
    <s v="Debit Card"/>
    <s v="Express"/>
    <s v="No"/>
    <s v="No"/>
    <n v="19"/>
    <x v="2"/>
    <s v="Monthly"/>
    <n v="0"/>
    <x v="1"/>
  </r>
  <r>
    <n v="1713"/>
    <n v="65"/>
    <s v="Male"/>
    <s v="T-shirt"/>
    <x v="0"/>
    <n v="87"/>
    <x v="26"/>
    <s v="S"/>
    <s v="Beige"/>
    <x v="3"/>
    <n v="3.8"/>
    <s v="No"/>
    <s v="Debit Card"/>
    <s v="2-Day Shipping"/>
    <s v="No"/>
    <s v="No"/>
    <n v="9"/>
    <x v="1"/>
    <s v="Fortnightly"/>
    <n v="0"/>
    <x v="0"/>
  </r>
  <r>
    <n v="1714"/>
    <n v="49"/>
    <s v="Male"/>
    <s v="Jacket"/>
    <x v="2"/>
    <n v="22"/>
    <x v="9"/>
    <s v="M"/>
    <s v="Pink"/>
    <x v="0"/>
    <n v="4.5999999999999996"/>
    <s v="No"/>
    <s v="Venmo"/>
    <s v="Free Shipping"/>
    <s v="No"/>
    <s v="No"/>
    <n v="37"/>
    <x v="3"/>
    <s v="Quarterly"/>
    <n v="0"/>
    <x v="0"/>
  </r>
  <r>
    <n v="1715"/>
    <n v="30"/>
    <s v="Male"/>
    <s v="Jeans"/>
    <x v="0"/>
    <n v="71"/>
    <x v="45"/>
    <s v="S"/>
    <s v="Charcoal"/>
    <x v="2"/>
    <n v="4.4000000000000004"/>
    <s v="No"/>
    <s v="Bank Transfer"/>
    <s v="Standard"/>
    <s v="No"/>
    <s v="No"/>
    <n v="15"/>
    <x v="1"/>
    <s v="Monthly"/>
    <n v="0"/>
    <x v="3"/>
  </r>
  <r>
    <n v="1716"/>
    <n v="23"/>
    <s v="Male"/>
    <s v="Dress"/>
    <x v="0"/>
    <n v="69"/>
    <x v="37"/>
    <s v="XL"/>
    <s v="Gray"/>
    <x v="1"/>
    <n v="3.4"/>
    <s v="No"/>
    <s v="PayPal"/>
    <s v="2-Day Shipping"/>
    <s v="No"/>
    <s v="No"/>
    <n v="30"/>
    <x v="3"/>
    <s v="Bi-Weekly"/>
    <n v="0"/>
    <x v="1"/>
  </r>
  <r>
    <n v="1717"/>
    <n v="69"/>
    <s v="Male"/>
    <s v="Blouse"/>
    <x v="0"/>
    <n v="47"/>
    <x v="39"/>
    <s v="M"/>
    <s v="Cyan"/>
    <x v="0"/>
    <n v="4.7"/>
    <s v="No"/>
    <s v="Venmo"/>
    <s v="Standard"/>
    <s v="No"/>
    <s v="No"/>
    <n v="30"/>
    <x v="1"/>
    <s v="Every 3 Months"/>
    <n v="0"/>
    <x v="0"/>
  </r>
  <r>
    <n v="1718"/>
    <n v="29"/>
    <s v="Male"/>
    <s v="Hoodie"/>
    <x v="0"/>
    <n v="50"/>
    <x v="11"/>
    <s v="L"/>
    <s v="Orange"/>
    <x v="2"/>
    <n v="2.9"/>
    <s v="No"/>
    <s v="Cash"/>
    <s v="Express"/>
    <s v="No"/>
    <s v="No"/>
    <n v="16"/>
    <x v="5"/>
    <s v="Bi-Weekly"/>
    <n v="0"/>
    <x v="3"/>
  </r>
  <r>
    <n v="1719"/>
    <n v="54"/>
    <s v="Male"/>
    <s v="T-shirt"/>
    <x v="0"/>
    <n v="96"/>
    <x v="33"/>
    <s v="L"/>
    <s v="Pink"/>
    <x v="0"/>
    <n v="3.4"/>
    <s v="No"/>
    <s v="Cash"/>
    <s v="2-Day Shipping"/>
    <s v="No"/>
    <s v="No"/>
    <n v="14"/>
    <x v="3"/>
    <s v="Every 3 Months"/>
    <n v="0"/>
    <x v="0"/>
  </r>
  <r>
    <n v="1720"/>
    <n v="45"/>
    <s v="Male"/>
    <s v="Sweater"/>
    <x v="0"/>
    <n v="39"/>
    <x v="33"/>
    <s v="M"/>
    <s v="White"/>
    <x v="0"/>
    <n v="3.2"/>
    <s v="No"/>
    <s v="Venmo"/>
    <s v="Free Shipping"/>
    <s v="No"/>
    <s v="No"/>
    <n v="8"/>
    <x v="0"/>
    <s v="Quarterly"/>
    <n v="0"/>
    <x v="2"/>
  </r>
  <r>
    <n v="1721"/>
    <n v="25"/>
    <s v="Male"/>
    <s v="Shorts"/>
    <x v="0"/>
    <n v="84"/>
    <x v="2"/>
    <s v="S"/>
    <s v="Beige"/>
    <x v="0"/>
    <n v="2.8"/>
    <s v="No"/>
    <s v="Cash"/>
    <s v="Express"/>
    <s v="No"/>
    <s v="No"/>
    <n v="40"/>
    <x v="5"/>
    <s v="Bi-Weekly"/>
    <n v="0"/>
    <x v="1"/>
  </r>
  <r>
    <n v="1722"/>
    <n v="34"/>
    <s v="Male"/>
    <s v="Jewelry"/>
    <x v="3"/>
    <n v="28"/>
    <x v="12"/>
    <s v="S"/>
    <s v="Magenta"/>
    <x v="1"/>
    <n v="4.3"/>
    <s v="No"/>
    <s v="Venmo"/>
    <s v="Free Shipping"/>
    <s v="No"/>
    <s v="No"/>
    <n v="24"/>
    <x v="2"/>
    <s v="Monthly"/>
    <n v="0"/>
    <x v="3"/>
  </r>
  <r>
    <n v="1723"/>
    <n v="46"/>
    <s v="Male"/>
    <s v="T-shirt"/>
    <x v="0"/>
    <n v="51"/>
    <x v="2"/>
    <s v="L"/>
    <s v="Violet"/>
    <x v="2"/>
    <n v="3.3"/>
    <s v="No"/>
    <s v="Cash"/>
    <s v="Standard"/>
    <s v="No"/>
    <s v="No"/>
    <n v="14"/>
    <x v="1"/>
    <s v="Fortnightly"/>
    <n v="0"/>
    <x v="0"/>
  </r>
  <r>
    <n v="1724"/>
    <n v="70"/>
    <s v="Male"/>
    <s v="Scarf"/>
    <x v="3"/>
    <n v="20"/>
    <x v="14"/>
    <s v="XL"/>
    <s v="Gold"/>
    <x v="1"/>
    <n v="3.3"/>
    <s v="No"/>
    <s v="Bank Transfer"/>
    <s v="Standard"/>
    <s v="No"/>
    <s v="No"/>
    <n v="39"/>
    <x v="3"/>
    <s v="Annually"/>
    <n v="0"/>
    <x v="0"/>
  </r>
  <r>
    <n v="1725"/>
    <n v="42"/>
    <s v="Male"/>
    <s v="Shoes"/>
    <x v="1"/>
    <n v="72"/>
    <x v="12"/>
    <s v="S"/>
    <s v="Teal"/>
    <x v="0"/>
    <n v="3.3"/>
    <s v="No"/>
    <s v="PayPal"/>
    <s v="Free Shipping"/>
    <s v="No"/>
    <s v="No"/>
    <n v="21"/>
    <x v="3"/>
    <s v="Weekly"/>
    <n v="0"/>
    <x v="2"/>
  </r>
  <r>
    <n v="1726"/>
    <n v="45"/>
    <s v="Male"/>
    <s v="Sunglasses"/>
    <x v="3"/>
    <n v="33"/>
    <x v="2"/>
    <s v="M"/>
    <s v="Indigo"/>
    <x v="1"/>
    <n v="3"/>
    <s v="No"/>
    <s v="Cash"/>
    <s v="Next Day Air"/>
    <s v="No"/>
    <s v="No"/>
    <n v="32"/>
    <x v="0"/>
    <s v="Quarterly"/>
    <n v="0"/>
    <x v="2"/>
  </r>
  <r>
    <n v="1727"/>
    <n v="57"/>
    <s v="Male"/>
    <s v="Coat"/>
    <x v="2"/>
    <n v="28"/>
    <x v="27"/>
    <s v="S"/>
    <s v="Olive"/>
    <x v="2"/>
    <n v="2.8"/>
    <s v="No"/>
    <s v="Credit Card"/>
    <s v="Express"/>
    <s v="No"/>
    <s v="No"/>
    <n v="45"/>
    <x v="5"/>
    <s v="Weekly"/>
    <n v="0"/>
    <x v="0"/>
  </r>
  <r>
    <n v="1728"/>
    <n v="49"/>
    <s v="Male"/>
    <s v="Blouse"/>
    <x v="0"/>
    <n v="53"/>
    <x v="41"/>
    <s v="S"/>
    <s v="Violet"/>
    <x v="1"/>
    <n v="4"/>
    <s v="No"/>
    <s v="Credit Card"/>
    <s v="Express"/>
    <s v="No"/>
    <s v="No"/>
    <n v="19"/>
    <x v="3"/>
    <s v="Monthly"/>
    <n v="0"/>
    <x v="0"/>
  </r>
  <r>
    <n v="1729"/>
    <n v="23"/>
    <s v="Male"/>
    <s v="Jeans"/>
    <x v="0"/>
    <n v="48"/>
    <x v="5"/>
    <s v="L"/>
    <s v="Black"/>
    <x v="3"/>
    <n v="4.3"/>
    <s v="No"/>
    <s v="Debit Card"/>
    <s v="Express"/>
    <s v="No"/>
    <s v="No"/>
    <n v="1"/>
    <x v="5"/>
    <s v="Every 3 Months"/>
    <n v="0"/>
    <x v="1"/>
  </r>
  <r>
    <n v="1730"/>
    <n v="47"/>
    <s v="Male"/>
    <s v="Shorts"/>
    <x v="0"/>
    <n v="21"/>
    <x v="26"/>
    <s v="M"/>
    <s v="Brown"/>
    <x v="0"/>
    <n v="3.8"/>
    <s v="No"/>
    <s v="Venmo"/>
    <s v="Store Pickup"/>
    <s v="No"/>
    <s v="No"/>
    <n v="12"/>
    <x v="0"/>
    <s v="Fortnightly"/>
    <n v="0"/>
    <x v="0"/>
  </r>
  <r>
    <n v="1731"/>
    <n v="23"/>
    <s v="Male"/>
    <s v="Shirt"/>
    <x v="0"/>
    <n v="22"/>
    <x v="15"/>
    <s v="S"/>
    <s v="Silver"/>
    <x v="3"/>
    <n v="4.2"/>
    <s v="No"/>
    <s v="Cash"/>
    <s v="Free Shipping"/>
    <s v="No"/>
    <s v="No"/>
    <n v="26"/>
    <x v="2"/>
    <s v="Weekly"/>
    <n v="0"/>
    <x v="1"/>
  </r>
  <r>
    <n v="1732"/>
    <n v="21"/>
    <s v="Male"/>
    <s v="Backpack"/>
    <x v="3"/>
    <n v="87"/>
    <x v="37"/>
    <s v="M"/>
    <s v="Gray"/>
    <x v="3"/>
    <n v="3.1"/>
    <s v="No"/>
    <s v="Debit Card"/>
    <s v="Next Day Air"/>
    <s v="No"/>
    <s v="No"/>
    <n v="12"/>
    <x v="1"/>
    <s v="Monthly"/>
    <n v="0"/>
    <x v="1"/>
  </r>
  <r>
    <n v="1733"/>
    <n v="45"/>
    <s v="Male"/>
    <s v="Belt"/>
    <x v="3"/>
    <n v="50"/>
    <x v="3"/>
    <s v="S"/>
    <s v="Charcoal"/>
    <x v="0"/>
    <n v="2.6"/>
    <s v="No"/>
    <s v="Cash"/>
    <s v="Free Shipping"/>
    <s v="No"/>
    <s v="No"/>
    <n v="36"/>
    <x v="1"/>
    <s v="Every 3 Months"/>
    <n v="0"/>
    <x v="2"/>
  </r>
  <r>
    <n v="1734"/>
    <n v="67"/>
    <s v="Male"/>
    <s v="Blouse"/>
    <x v="0"/>
    <n v="85"/>
    <x v="14"/>
    <s v="L"/>
    <s v="Black"/>
    <x v="2"/>
    <n v="3.4"/>
    <s v="No"/>
    <s v="Bank Transfer"/>
    <s v="Express"/>
    <s v="No"/>
    <s v="No"/>
    <n v="22"/>
    <x v="2"/>
    <s v="Annually"/>
    <n v="0"/>
    <x v="0"/>
  </r>
  <r>
    <n v="1735"/>
    <n v="31"/>
    <s v="Male"/>
    <s v="Jeans"/>
    <x v="0"/>
    <n v="98"/>
    <x v="9"/>
    <s v="L"/>
    <s v="Brown"/>
    <x v="1"/>
    <n v="3.1"/>
    <s v="No"/>
    <s v="Credit Card"/>
    <s v="Next Day Air"/>
    <s v="No"/>
    <s v="No"/>
    <n v="16"/>
    <x v="3"/>
    <s v="Quarterly"/>
    <n v="0"/>
    <x v="3"/>
  </r>
  <r>
    <n v="1736"/>
    <n v="58"/>
    <s v="Male"/>
    <s v="Dress"/>
    <x v="0"/>
    <n v="34"/>
    <x v="21"/>
    <s v="M"/>
    <s v="Purple"/>
    <x v="0"/>
    <n v="3.6"/>
    <s v="No"/>
    <s v="Debit Card"/>
    <s v="Express"/>
    <s v="No"/>
    <s v="No"/>
    <n v="31"/>
    <x v="0"/>
    <s v="Annually"/>
    <n v="0"/>
    <x v="0"/>
  </r>
  <r>
    <n v="1737"/>
    <n v="57"/>
    <s v="Male"/>
    <s v="Shorts"/>
    <x v="0"/>
    <n v="61"/>
    <x v="30"/>
    <s v="M"/>
    <s v="Purple"/>
    <x v="2"/>
    <n v="2.6"/>
    <s v="No"/>
    <s v="Cash"/>
    <s v="2-Day Shipping"/>
    <s v="No"/>
    <s v="No"/>
    <n v="43"/>
    <x v="1"/>
    <s v="Quarterly"/>
    <n v="0"/>
    <x v="0"/>
  </r>
  <r>
    <n v="1738"/>
    <n v="42"/>
    <s v="Male"/>
    <s v="Jewelry"/>
    <x v="3"/>
    <n v="98"/>
    <x v="31"/>
    <s v="L"/>
    <s v="Gray"/>
    <x v="2"/>
    <n v="4.2"/>
    <s v="No"/>
    <s v="Bank Transfer"/>
    <s v="Store Pickup"/>
    <s v="No"/>
    <s v="No"/>
    <n v="50"/>
    <x v="0"/>
    <s v="Bi-Weekly"/>
    <n v="0"/>
    <x v="2"/>
  </r>
  <r>
    <n v="1739"/>
    <n v="60"/>
    <s v="Male"/>
    <s v="Handbag"/>
    <x v="3"/>
    <n v="61"/>
    <x v="30"/>
    <s v="M"/>
    <s v="Green"/>
    <x v="1"/>
    <n v="2.9"/>
    <s v="No"/>
    <s v="PayPal"/>
    <s v="2-Day Shipping"/>
    <s v="No"/>
    <s v="No"/>
    <n v="37"/>
    <x v="2"/>
    <s v="Weekly"/>
    <n v="0"/>
    <x v="0"/>
  </r>
  <r>
    <n v="1740"/>
    <n v="21"/>
    <s v="Male"/>
    <s v="Jewelry"/>
    <x v="3"/>
    <n v="98"/>
    <x v="46"/>
    <s v="L"/>
    <s v="Silver"/>
    <x v="0"/>
    <n v="4.2"/>
    <s v="No"/>
    <s v="Credit Card"/>
    <s v="Express"/>
    <s v="No"/>
    <s v="No"/>
    <n v="23"/>
    <x v="1"/>
    <s v="Weekly"/>
    <n v="0"/>
    <x v="1"/>
  </r>
  <r>
    <n v="1741"/>
    <n v="69"/>
    <s v="Male"/>
    <s v="Pants"/>
    <x v="0"/>
    <n v="21"/>
    <x v="48"/>
    <s v="L"/>
    <s v="Charcoal"/>
    <x v="3"/>
    <n v="3.3"/>
    <s v="No"/>
    <s v="Cash"/>
    <s v="Next Day Air"/>
    <s v="No"/>
    <s v="No"/>
    <n v="10"/>
    <x v="4"/>
    <s v="Every 3 Months"/>
    <n v="0"/>
    <x v="0"/>
  </r>
  <r>
    <n v="1742"/>
    <n v="41"/>
    <s v="Male"/>
    <s v="Pants"/>
    <x v="0"/>
    <n v="51"/>
    <x v="12"/>
    <s v="XL"/>
    <s v="Teal"/>
    <x v="0"/>
    <n v="3.6"/>
    <s v="No"/>
    <s v="Venmo"/>
    <s v="Next Day Air"/>
    <s v="No"/>
    <s v="No"/>
    <n v="20"/>
    <x v="4"/>
    <s v="Monthly"/>
    <n v="0"/>
    <x v="2"/>
  </r>
  <r>
    <n v="1743"/>
    <n v="51"/>
    <s v="Male"/>
    <s v="Sandals"/>
    <x v="1"/>
    <n v="80"/>
    <x v="23"/>
    <s v="XL"/>
    <s v="White"/>
    <x v="1"/>
    <n v="4.3"/>
    <s v="No"/>
    <s v="Credit Card"/>
    <s v="Express"/>
    <s v="No"/>
    <s v="No"/>
    <n v="18"/>
    <x v="0"/>
    <s v="Every 3 Months"/>
    <n v="0"/>
    <x v="0"/>
  </r>
  <r>
    <n v="1744"/>
    <n v="23"/>
    <s v="Male"/>
    <s v="Skirt"/>
    <x v="0"/>
    <n v="72"/>
    <x v="9"/>
    <s v="XL"/>
    <s v="Brown"/>
    <x v="0"/>
    <n v="3.3"/>
    <s v="No"/>
    <s v="Debit Card"/>
    <s v="Standard"/>
    <s v="No"/>
    <s v="No"/>
    <n v="3"/>
    <x v="4"/>
    <s v="Weekly"/>
    <n v="0"/>
    <x v="1"/>
  </r>
  <r>
    <n v="1745"/>
    <n v="57"/>
    <s v="Male"/>
    <s v="Sunglasses"/>
    <x v="3"/>
    <n v="63"/>
    <x v="49"/>
    <s v="L"/>
    <s v="Teal"/>
    <x v="0"/>
    <n v="3"/>
    <s v="No"/>
    <s v="PayPal"/>
    <s v="Standard"/>
    <s v="No"/>
    <s v="No"/>
    <n v="23"/>
    <x v="3"/>
    <s v="Weekly"/>
    <n v="0"/>
    <x v="0"/>
  </r>
  <r>
    <n v="1746"/>
    <n v="40"/>
    <s v="Male"/>
    <s v="Skirt"/>
    <x v="0"/>
    <n v="27"/>
    <x v="8"/>
    <s v="L"/>
    <s v="Red"/>
    <x v="0"/>
    <n v="3.6"/>
    <s v="No"/>
    <s v="Credit Card"/>
    <s v="Store Pickup"/>
    <s v="No"/>
    <s v="No"/>
    <n v="27"/>
    <x v="1"/>
    <s v="Weekly"/>
    <n v="0"/>
    <x v="2"/>
  </r>
  <r>
    <n v="1747"/>
    <n v="65"/>
    <s v="Male"/>
    <s v="Handbag"/>
    <x v="3"/>
    <n v="44"/>
    <x v="15"/>
    <s v="L"/>
    <s v="Brown"/>
    <x v="2"/>
    <n v="3.1"/>
    <s v="No"/>
    <s v="Bank Transfer"/>
    <s v="Store Pickup"/>
    <s v="No"/>
    <s v="No"/>
    <n v="44"/>
    <x v="4"/>
    <s v="Fortnightly"/>
    <n v="0"/>
    <x v="0"/>
  </r>
  <r>
    <n v="1748"/>
    <n v="61"/>
    <s v="Male"/>
    <s v="Coat"/>
    <x v="2"/>
    <n v="23"/>
    <x v="13"/>
    <s v="M"/>
    <s v="Yellow"/>
    <x v="0"/>
    <n v="2.9"/>
    <s v="No"/>
    <s v="Cash"/>
    <s v="Express"/>
    <s v="No"/>
    <s v="No"/>
    <n v="41"/>
    <x v="0"/>
    <s v="Quarterly"/>
    <n v="0"/>
    <x v="0"/>
  </r>
  <r>
    <n v="1749"/>
    <n v="34"/>
    <s v="Male"/>
    <s v="Skirt"/>
    <x v="0"/>
    <n v="93"/>
    <x v="6"/>
    <s v="L"/>
    <s v="Teal"/>
    <x v="0"/>
    <n v="3.9"/>
    <s v="No"/>
    <s v="Bank Transfer"/>
    <s v="2-Day Shipping"/>
    <s v="No"/>
    <s v="No"/>
    <n v="41"/>
    <x v="4"/>
    <s v="Annually"/>
    <n v="0"/>
    <x v="3"/>
  </r>
  <r>
    <n v="1750"/>
    <n v="43"/>
    <s v="Male"/>
    <s v="Hoodie"/>
    <x v="0"/>
    <n v="70"/>
    <x v="5"/>
    <s v="L"/>
    <s v="Pink"/>
    <x v="3"/>
    <n v="3.2"/>
    <s v="No"/>
    <s v="Credit Card"/>
    <s v="2-Day Shipping"/>
    <s v="No"/>
    <s v="No"/>
    <n v="36"/>
    <x v="5"/>
    <s v="Every 3 Months"/>
    <n v="0"/>
    <x v="2"/>
  </r>
  <r>
    <n v="1751"/>
    <n v="31"/>
    <s v="Male"/>
    <s v="Sunglasses"/>
    <x v="3"/>
    <n v="85"/>
    <x v="9"/>
    <s v="M"/>
    <s v="White"/>
    <x v="3"/>
    <n v="3.1"/>
    <s v="No"/>
    <s v="Credit Card"/>
    <s v="Express"/>
    <s v="No"/>
    <s v="No"/>
    <n v="38"/>
    <x v="0"/>
    <s v="Every 3 Months"/>
    <n v="0"/>
    <x v="3"/>
  </r>
  <r>
    <n v="1752"/>
    <n v="57"/>
    <s v="Male"/>
    <s v="Sweater"/>
    <x v="0"/>
    <n v="40"/>
    <x v="31"/>
    <s v="M"/>
    <s v="Silver"/>
    <x v="0"/>
    <n v="3.2"/>
    <s v="No"/>
    <s v="PayPal"/>
    <s v="2-Day Shipping"/>
    <s v="No"/>
    <s v="No"/>
    <n v="34"/>
    <x v="1"/>
    <s v="Annually"/>
    <n v="0"/>
    <x v="0"/>
  </r>
  <r>
    <n v="1753"/>
    <n v="34"/>
    <s v="Male"/>
    <s v="Boots"/>
    <x v="1"/>
    <n v="29"/>
    <x v="45"/>
    <s v="L"/>
    <s v="Blue"/>
    <x v="0"/>
    <n v="3.3"/>
    <s v="No"/>
    <s v="Debit Card"/>
    <s v="Store Pickup"/>
    <s v="No"/>
    <s v="No"/>
    <n v="14"/>
    <x v="0"/>
    <s v="Quarterly"/>
    <n v="0"/>
    <x v="3"/>
  </r>
  <r>
    <n v="1754"/>
    <n v="25"/>
    <s v="Male"/>
    <s v="Skirt"/>
    <x v="0"/>
    <n v="27"/>
    <x v="24"/>
    <s v="L"/>
    <s v="Black"/>
    <x v="3"/>
    <n v="4.8"/>
    <s v="No"/>
    <s v="Venmo"/>
    <s v="Next Day Air"/>
    <s v="No"/>
    <s v="No"/>
    <n v="23"/>
    <x v="2"/>
    <s v="Fortnightly"/>
    <n v="0"/>
    <x v="1"/>
  </r>
  <r>
    <n v="1755"/>
    <n v="66"/>
    <s v="Male"/>
    <s v="Dress"/>
    <x v="0"/>
    <n v="93"/>
    <x v="2"/>
    <s v="S"/>
    <s v="Beige"/>
    <x v="3"/>
    <n v="3.8"/>
    <s v="No"/>
    <s v="Debit Card"/>
    <s v="2-Day Shipping"/>
    <s v="No"/>
    <s v="No"/>
    <n v="18"/>
    <x v="2"/>
    <s v="Fortnightly"/>
    <n v="0"/>
    <x v="0"/>
  </r>
  <r>
    <n v="1756"/>
    <n v="56"/>
    <s v="Male"/>
    <s v="Belt"/>
    <x v="3"/>
    <n v="20"/>
    <x v="12"/>
    <s v="XL"/>
    <s v="Charcoal"/>
    <x v="1"/>
    <n v="4.5999999999999996"/>
    <s v="No"/>
    <s v="Cash"/>
    <s v="Next Day Air"/>
    <s v="No"/>
    <s v="No"/>
    <n v="45"/>
    <x v="1"/>
    <s v="Monthly"/>
    <n v="0"/>
    <x v="0"/>
  </r>
  <r>
    <n v="1757"/>
    <n v="49"/>
    <s v="Male"/>
    <s v="Jewelry"/>
    <x v="3"/>
    <n v="55"/>
    <x v="13"/>
    <s v="S"/>
    <s v="Cyan"/>
    <x v="3"/>
    <n v="2.8"/>
    <s v="No"/>
    <s v="PayPal"/>
    <s v="Free Shipping"/>
    <s v="No"/>
    <s v="No"/>
    <n v="14"/>
    <x v="4"/>
    <s v="Weekly"/>
    <n v="0"/>
    <x v="0"/>
  </r>
  <r>
    <n v="1758"/>
    <n v="19"/>
    <s v="Male"/>
    <s v="Dress"/>
    <x v="0"/>
    <n v="94"/>
    <x v="49"/>
    <s v="L"/>
    <s v="Yellow"/>
    <x v="3"/>
    <n v="3.6"/>
    <s v="No"/>
    <s v="Bank Transfer"/>
    <s v="Standard"/>
    <s v="No"/>
    <s v="No"/>
    <n v="48"/>
    <x v="5"/>
    <s v="Annually"/>
    <n v="0"/>
    <x v="1"/>
  </r>
  <r>
    <n v="1759"/>
    <n v="27"/>
    <s v="Male"/>
    <s v="Hat"/>
    <x v="3"/>
    <n v="56"/>
    <x v="38"/>
    <s v="M"/>
    <s v="Silver"/>
    <x v="0"/>
    <n v="4.3"/>
    <s v="No"/>
    <s v="Debit Card"/>
    <s v="Free Shipping"/>
    <s v="No"/>
    <s v="No"/>
    <n v="17"/>
    <x v="0"/>
    <s v="Bi-Weekly"/>
    <n v="0"/>
    <x v="3"/>
  </r>
  <r>
    <n v="1760"/>
    <n v="68"/>
    <s v="Male"/>
    <s v="Sweater"/>
    <x v="0"/>
    <n v="58"/>
    <x v="7"/>
    <s v="L"/>
    <s v="Green"/>
    <x v="1"/>
    <n v="4"/>
    <s v="No"/>
    <s v="Venmo"/>
    <s v="Next Day Air"/>
    <s v="No"/>
    <s v="No"/>
    <n v="1"/>
    <x v="3"/>
    <s v="Weekly"/>
    <n v="0"/>
    <x v="0"/>
  </r>
  <r>
    <n v="1761"/>
    <n v="20"/>
    <s v="Male"/>
    <s v="Skirt"/>
    <x v="0"/>
    <n v="44"/>
    <x v="46"/>
    <s v="XL"/>
    <s v="Peach"/>
    <x v="1"/>
    <n v="3.5"/>
    <s v="No"/>
    <s v="Credit Card"/>
    <s v="Standard"/>
    <s v="No"/>
    <s v="No"/>
    <n v="39"/>
    <x v="3"/>
    <s v="Weekly"/>
    <n v="0"/>
    <x v="1"/>
  </r>
  <r>
    <n v="1762"/>
    <n v="21"/>
    <s v="Male"/>
    <s v="Hoodie"/>
    <x v="0"/>
    <n v="95"/>
    <x v="11"/>
    <s v="S"/>
    <s v="Green"/>
    <x v="3"/>
    <n v="4.9000000000000004"/>
    <s v="No"/>
    <s v="PayPal"/>
    <s v="2-Day Shipping"/>
    <s v="No"/>
    <s v="No"/>
    <n v="24"/>
    <x v="1"/>
    <s v="Weekly"/>
    <n v="0"/>
    <x v="1"/>
  </r>
  <r>
    <n v="1763"/>
    <n v="36"/>
    <s v="Male"/>
    <s v="Sandals"/>
    <x v="1"/>
    <n v="42"/>
    <x v="37"/>
    <s v="M"/>
    <s v="Brown"/>
    <x v="2"/>
    <n v="3.1"/>
    <s v="No"/>
    <s v="Credit Card"/>
    <s v="Express"/>
    <s v="No"/>
    <s v="No"/>
    <n v="41"/>
    <x v="4"/>
    <s v="Fortnightly"/>
    <n v="0"/>
    <x v="2"/>
  </r>
  <r>
    <n v="1764"/>
    <n v="37"/>
    <s v="Male"/>
    <s v="Jewelry"/>
    <x v="3"/>
    <n v="93"/>
    <x v="34"/>
    <s v="M"/>
    <s v="Lavender"/>
    <x v="0"/>
    <n v="3.9"/>
    <s v="No"/>
    <s v="Venmo"/>
    <s v="Store Pickup"/>
    <s v="No"/>
    <s v="No"/>
    <n v="28"/>
    <x v="3"/>
    <s v="Annually"/>
    <n v="0"/>
    <x v="2"/>
  </r>
  <r>
    <n v="1765"/>
    <n v="61"/>
    <s v="Male"/>
    <s v="Dress"/>
    <x v="0"/>
    <n v="56"/>
    <x v="12"/>
    <s v="M"/>
    <s v="Charcoal"/>
    <x v="2"/>
    <n v="3"/>
    <s v="No"/>
    <s v="PayPal"/>
    <s v="Store Pickup"/>
    <s v="No"/>
    <s v="No"/>
    <n v="34"/>
    <x v="0"/>
    <s v="Quarterly"/>
    <n v="0"/>
    <x v="0"/>
  </r>
  <r>
    <n v="1766"/>
    <n v="68"/>
    <s v="Male"/>
    <s v="Hoodie"/>
    <x v="0"/>
    <n v="88"/>
    <x v="35"/>
    <s v="M"/>
    <s v="Orange"/>
    <x v="1"/>
    <n v="4.0999999999999996"/>
    <s v="No"/>
    <s v="Bank Transfer"/>
    <s v="2-Day Shipping"/>
    <s v="No"/>
    <s v="No"/>
    <n v="41"/>
    <x v="0"/>
    <s v="Quarterly"/>
    <n v="0"/>
    <x v="0"/>
  </r>
  <r>
    <n v="1767"/>
    <n v="60"/>
    <s v="Male"/>
    <s v="Sweater"/>
    <x v="0"/>
    <n v="54"/>
    <x v="29"/>
    <s v="S"/>
    <s v="Cyan"/>
    <x v="0"/>
    <n v="4.3"/>
    <s v="No"/>
    <s v="Venmo"/>
    <s v="2-Day Shipping"/>
    <s v="No"/>
    <s v="No"/>
    <n v="27"/>
    <x v="1"/>
    <s v="Bi-Weekly"/>
    <n v="0"/>
    <x v="0"/>
  </r>
  <r>
    <n v="1768"/>
    <n v="69"/>
    <s v="Male"/>
    <s v="Jewelry"/>
    <x v="3"/>
    <n v="89"/>
    <x v="46"/>
    <s v="L"/>
    <s v="Lavender"/>
    <x v="3"/>
    <n v="3.8"/>
    <s v="No"/>
    <s v="PayPal"/>
    <s v="2-Day Shipping"/>
    <s v="No"/>
    <s v="No"/>
    <n v="46"/>
    <x v="5"/>
    <s v="Fortnightly"/>
    <n v="0"/>
    <x v="0"/>
  </r>
  <r>
    <n v="1769"/>
    <n v="25"/>
    <s v="Male"/>
    <s v="Sandals"/>
    <x v="1"/>
    <n v="45"/>
    <x v="43"/>
    <s v="M"/>
    <s v="Indigo"/>
    <x v="2"/>
    <n v="3.9"/>
    <s v="No"/>
    <s v="Venmo"/>
    <s v="2-Day Shipping"/>
    <s v="No"/>
    <s v="No"/>
    <n v="2"/>
    <x v="3"/>
    <s v="Every 3 Months"/>
    <n v="0"/>
    <x v="1"/>
  </r>
  <r>
    <n v="1770"/>
    <n v="32"/>
    <s v="Male"/>
    <s v="Socks"/>
    <x v="0"/>
    <n v="75"/>
    <x v="29"/>
    <s v="L"/>
    <s v="Brown"/>
    <x v="0"/>
    <n v="4.3"/>
    <s v="No"/>
    <s v="Credit Card"/>
    <s v="Free Shipping"/>
    <s v="No"/>
    <s v="No"/>
    <n v="45"/>
    <x v="1"/>
    <s v="Monthly"/>
    <n v="0"/>
    <x v="3"/>
  </r>
  <r>
    <n v="1771"/>
    <n v="53"/>
    <s v="Male"/>
    <s v="Backpack"/>
    <x v="3"/>
    <n v="22"/>
    <x v="49"/>
    <s v="M"/>
    <s v="Pink"/>
    <x v="3"/>
    <n v="4.3"/>
    <s v="No"/>
    <s v="Credit Card"/>
    <s v="Express"/>
    <s v="No"/>
    <s v="No"/>
    <n v="34"/>
    <x v="4"/>
    <s v="Weekly"/>
    <n v="0"/>
    <x v="0"/>
  </r>
  <r>
    <n v="1772"/>
    <n v="46"/>
    <s v="Male"/>
    <s v="Shirt"/>
    <x v="0"/>
    <n v="82"/>
    <x v="27"/>
    <s v="XL"/>
    <s v="Turquoise"/>
    <x v="3"/>
    <n v="4.7"/>
    <s v="No"/>
    <s v="Credit Card"/>
    <s v="Store Pickup"/>
    <s v="No"/>
    <s v="No"/>
    <n v="9"/>
    <x v="2"/>
    <s v="Annually"/>
    <n v="0"/>
    <x v="0"/>
  </r>
  <r>
    <n v="1773"/>
    <n v="58"/>
    <s v="Male"/>
    <s v="Shoes"/>
    <x v="1"/>
    <n v="34"/>
    <x v="11"/>
    <s v="M"/>
    <s v="Gold"/>
    <x v="2"/>
    <n v="3.1"/>
    <s v="No"/>
    <s v="PayPal"/>
    <s v="2-Day Shipping"/>
    <s v="No"/>
    <s v="No"/>
    <n v="1"/>
    <x v="4"/>
    <s v="Annually"/>
    <n v="0"/>
    <x v="0"/>
  </r>
  <r>
    <n v="1774"/>
    <n v="21"/>
    <s v="Male"/>
    <s v="Coat"/>
    <x v="2"/>
    <n v="92"/>
    <x v="8"/>
    <s v="M"/>
    <s v="Blue"/>
    <x v="2"/>
    <n v="2.7"/>
    <s v="No"/>
    <s v="Cash"/>
    <s v="Free Shipping"/>
    <s v="No"/>
    <s v="No"/>
    <n v="17"/>
    <x v="3"/>
    <s v="Annually"/>
    <n v="0"/>
    <x v="1"/>
  </r>
  <r>
    <n v="1775"/>
    <n v="46"/>
    <s v="Male"/>
    <s v="Sweater"/>
    <x v="0"/>
    <n v="78"/>
    <x v="14"/>
    <s v="M"/>
    <s v="Lavender"/>
    <x v="1"/>
    <n v="3.7"/>
    <s v="No"/>
    <s v="Bank Transfer"/>
    <s v="Express"/>
    <s v="No"/>
    <s v="No"/>
    <n v="6"/>
    <x v="3"/>
    <s v="Weekly"/>
    <n v="0"/>
    <x v="0"/>
  </r>
  <r>
    <n v="1776"/>
    <n v="18"/>
    <s v="Male"/>
    <s v="Jacket"/>
    <x v="2"/>
    <n v="47"/>
    <x v="44"/>
    <s v="M"/>
    <s v="Violet"/>
    <x v="1"/>
    <n v="3.3"/>
    <s v="No"/>
    <s v="Bank Transfer"/>
    <s v="2-Day Shipping"/>
    <s v="No"/>
    <s v="No"/>
    <n v="12"/>
    <x v="1"/>
    <s v="Bi-Weekly"/>
    <n v="0"/>
    <x v="1"/>
  </r>
  <r>
    <n v="1777"/>
    <n v="56"/>
    <s v="Male"/>
    <s v="Jacket"/>
    <x v="2"/>
    <n v="64"/>
    <x v="28"/>
    <s v="L"/>
    <s v="Cyan"/>
    <x v="2"/>
    <n v="3.4"/>
    <s v="No"/>
    <s v="Bank Transfer"/>
    <s v="Free Shipping"/>
    <s v="No"/>
    <s v="No"/>
    <n v="10"/>
    <x v="0"/>
    <s v="Every 3 Months"/>
    <n v="0"/>
    <x v="0"/>
  </r>
  <r>
    <n v="1778"/>
    <n v="18"/>
    <s v="Male"/>
    <s v="Sneakers"/>
    <x v="1"/>
    <n v="44"/>
    <x v="46"/>
    <s v="L"/>
    <s v="Purple"/>
    <x v="0"/>
    <n v="4.7"/>
    <s v="No"/>
    <s v="Cash"/>
    <s v="Free Shipping"/>
    <s v="No"/>
    <s v="No"/>
    <n v="4"/>
    <x v="1"/>
    <s v="Fortnightly"/>
    <n v="0"/>
    <x v="1"/>
  </r>
  <r>
    <n v="1779"/>
    <n v="49"/>
    <s v="Male"/>
    <s v="Belt"/>
    <x v="3"/>
    <n v="94"/>
    <x v="21"/>
    <s v="M"/>
    <s v="Red"/>
    <x v="0"/>
    <n v="4.9000000000000004"/>
    <s v="No"/>
    <s v="Debit Card"/>
    <s v="Store Pickup"/>
    <s v="No"/>
    <s v="No"/>
    <n v="8"/>
    <x v="5"/>
    <s v="Bi-Weekly"/>
    <n v="0"/>
    <x v="0"/>
  </r>
  <r>
    <n v="1780"/>
    <n v="29"/>
    <s v="Male"/>
    <s v="Scarf"/>
    <x v="3"/>
    <n v="62"/>
    <x v="41"/>
    <s v="M"/>
    <s v="Charcoal"/>
    <x v="0"/>
    <n v="4.3"/>
    <s v="No"/>
    <s v="Bank Transfer"/>
    <s v="Free Shipping"/>
    <s v="No"/>
    <s v="No"/>
    <n v="41"/>
    <x v="0"/>
    <s v="Weekly"/>
    <n v="0"/>
    <x v="3"/>
  </r>
  <r>
    <n v="1781"/>
    <n v="67"/>
    <s v="Male"/>
    <s v="Jewelry"/>
    <x v="3"/>
    <n v="81"/>
    <x v="25"/>
    <s v="S"/>
    <s v="Gray"/>
    <x v="2"/>
    <n v="4.2"/>
    <s v="No"/>
    <s v="Cash"/>
    <s v="Next Day Air"/>
    <s v="No"/>
    <s v="No"/>
    <n v="49"/>
    <x v="2"/>
    <s v="Weekly"/>
    <n v="0"/>
    <x v="0"/>
  </r>
  <r>
    <n v="1782"/>
    <n v="31"/>
    <s v="Male"/>
    <s v="T-shirt"/>
    <x v="0"/>
    <n v="33"/>
    <x v="44"/>
    <s v="M"/>
    <s v="Pink"/>
    <x v="3"/>
    <n v="3.7"/>
    <s v="No"/>
    <s v="PayPal"/>
    <s v="Express"/>
    <s v="No"/>
    <s v="No"/>
    <n v="49"/>
    <x v="4"/>
    <s v="Quarterly"/>
    <n v="0"/>
    <x v="3"/>
  </r>
  <r>
    <n v="1783"/>
    <n v="52"/>
    <s v="Male"/>
    <s v="Pants"/>
    <x v="0"/>
    <n v="88"/>
    <x v="40"/>
    <s v="M"/>
    <s v="Lavender"/>
    <x v="3"/>
    <n v="2.7"/>
    <s v="No"/>
    <s v="Credit Card"/>
    <s v="Next Day Air"/>
    <s v="No"/>
    <s v="No"/>
    <n v="40"/>
    <x v="4"/>
    <s v="Fortnightly"/>
    <n v="0"/>
    <x v="0"/>
  </r>
  <r>
    <n v="1784"/>
    <n v="42"/>
    <s v="Male"/>
    <s v="Handbag"/>
    <x v="3"/>
    <n v="49"/>
    <x v="31"/>
    <s v="L"/>
    <s v="Lavender"/>
    <x v="0"/>
    <n v="3.3"/>
    <s v="No"/>
    <s v="Cash"/>
    <s v="Free Shipping"/>
    <s v="No"/>
    <s v="No"/>
    <n v="30"/>
    <x v="2"/>
    <s v="Monthly"/>
    <n v="0"/>
    <x v="2"/>
  </r>
  <r>
    <n v="1785"/>
    <n v="32"/>
    <s v="Male"/>
    <s v="Backpack"/>
    <x v="3"/>
    <n v="31"/>
    <x v="7"/>
    <s v="L"/>
    <s v="Yellow"/>
    <x v="2"/>
    <n v="4.8"/>
    <s v="No"/>
    <s v="Cash"/>
    <s v="Standard"/>
    <s v="No"/>
    <s v="No"/>
    <n v="4"/>
    <x v="5"/>
    <s v="Quarterly"/>
    <n v="0"/>
    <x v="3"/>
  </r>
  <r>
    <n v="1786"/>
    <n v="47"/>
    <s v="Male"/>
    <s v="Gloves"/>
    <x v="3"/>
    <n v="29"/>
    <x v="44"/>
    <s v="S"/>
    <s v="Peach"/>
    <x v="3"/>
    <n v="4.0999999999999996"/>
    <s v="No"/>
    <s v="Bank Transfer"/>
    <s v="Next Day Air"/>
    <s v="No"/>
    <s v="No"/>
    <n v="22"/>
    <x v="0"/>
    <s v="Monthly"/>
    <n v="0"/>
    <x v="0"/>
  </r>
  <r>
    <n v="1787"/>
    <n v="45"/>
    <s v="Male"/>
    <s v="Jacket"/>
    <x v="2"/>
    <n v="34"/>
    <x v="33"/>
    <s v="M"/>
    <s v="Brown"/>
    <x v="1"/>
    <n v="4.5999999999999996"/>
    <s v="No"/>
    <s v="Debit Card"/>
    <s v="2-Day Shipping"/>
    <s v="No"/>
    <s v="No"/>
    <n v="22"/>
    <x v="0"/>
    <s v="Monthly"/>
    <n v="0"/>
    <x v="2"/>
  </r>
  <r>
    <n v="1788"/>
    <n v="20"/>
    <s v="Male"/>
    <s v="Sweater"/>
    <x v="0"/>
    <n v="38"/>
    <x v="6"/>
    <s v="L"/>
    <s v="Gold"/>
    <x v="3"/>
    <n v="4.9000000000000004"/>
    <s v="No"/>
    <s v="Bank Transfer"/>
    <s v="2-Day Shipping"/>
    <s v="No"/>
    <s v="No"/>
    <n v="10"/>
    <x v="4"/>
    <s v="Quarterly"/>
    <n v="0"/>
    <x v="1"/>
  </r>
  <r>
    <n v="1789"/>
    <n v="66"/>
    <s v="Male"/>
    <s v="Blouse"/>
    <x v="0"/>
    <n v="41"/>
    <x v="26"/>
    <s v="L"/>
    <s v="Pink"/>
    <x v="2"/>
    <n v="3.1"/>
    <s v="No"/>
    <s v="PayPal"/>
    <s v="Store Pickup"/>
    <s v="No"/>
    <s v="No"/>
    <n v="23"/>
    <x v="1"/>
    <s v="Bi-Weekly"/>
    <n v="0"/>
    <x v="0"/>
  </r>
  <r>
    <n v="1790"/>
    <n v="52"/>
    <s v="Male"/>
    <s v="Blouse"/>
    <x v="0"/>
    <n v="34"/>
    <x v="28"/>
    <s v="L"/>
    <s v="Peach"/>
    <x v="1"/>
    <n v="3"/>
    <s v="No"/>
    <s v="PayPal"/>
    <s v="2-Day Shipping"/>
    <s v="No"/>
    <s v="No"/>
    <n v="43"/>
    <x v="5"/>
    <s v="Quarterly"/>
    <n v="0"/>
    <x v="0"/>
  </r>
  <r>
    <n v="1791"/>
    <n v="50"/>
    <s v="Male"/>
    <s v="Gloves"/>
    <x v="3"/>
    <n v="26"/>
    <x v="17"/>
    <s v="S"/>
    <s v="Violet"/>
    <x v="2"/>
    <n v="3.7"/>
    <s v="No"/>
    <s v="Credit Card"/>
    <s v="Store Pickup"/>
    <s v="No"/>
    <s v="No"/>
    <n v="31"/>
    <x v="3"/>
    <s v="Bi-Weekly"/>
    <n v="0"/>
    <x v="0"/>
  </r>
  <r>
    <n v="1792"/>
    <n v="62"/>
    <s v="Male"/>
    <s v="Jeans"/>
    <x v="0"/>
    <n v="98"/>
    <x v="6"/>
    <s v="S"/>
    <s v="Purple"/>
    <x v="0"/>
    <n v="4"/>
    <s v="No"/>
    <s v="Debit Card"/>
    <s v="Store Pickup"/>
    <s v="No"/>
    <s v="No"/>
    <n v="38"/>
    <x v="1"/>
    <s v="Annually"/>
    <n v="0"/>
    <x v="0"/>
  </r>
  <r>
    <n v="1793"/>
    <n v="38"/>
    <s v="Male"/>
    <s v="Sneakers"/>
    <x v="1"/>
    <n v="59"/>
    <x v="44"/>
    <s v="M"/>
    <s v="Peach"/>
    <x v="3"/>
    <n v="3"/>
    <s v="No"/>
    <s v="Bank Transfer"/>
    <s v="Express"/>
    <s v="No"/>
    <s v="No"/>
    <n v="22"/>
    <x v="5"/>
    <s v="Every 3 Months"/>
    <n v="0"/>
    <x v="2"/>
  </r>
  <r>
    <n v="1794"/>
    <n v="65"/>
    <s v="Male"/>
    <s v="Hat"/>
    <x v="3"/>
    <n v="92"/>
    <x v="44"/>
    <s v="S"/>
    <s v="White"/>
    <x v="3"/>
    <n v="3.8"/>
    <s v="No"/>
    <s v="Debit Card"/>
    <s v="Store Pickup"/>
    <s v="No"/>
    <s v="No"/>
    <n v="45"/>
    <x v="1"/>
    <s v="Every 3 Months"/>
    <n v="0"/>
    <x v="0"/>
  </r>
  <r>
    <n v="1795"/>
    <n v="60"/>
    <s v="Male"/>
    <s v="Backpack"/>
    <x v="3"/>
    <n v="40"/>
    <x v="31"/>
    <s v="L"/>
    <s v="Indigo"/>
    <x v="1"/>
    <n v="3.7"/>
    <s v="No"/>
    <s v="Bank Transfer"/>
    <s v="Express"/>
    <s v="No"/>
    <s v="No"/>
    <n v="21"/>
    <x v="5"/>
    <s v="Fortnightly"/>
    <n v="0"/>
    <x v="0"/>
  </r>
  <r>
    <n v="1796"/>
    <n v="68"/>
    <s v="Male"/>
    <s v="Jeans"/>
    <x v="0"/>
    <n v="20"/>
    <x v="48"/>
    <s v="S"/>
    <s v="Violet"/>
    <x v="3"/>
    <n v="4"/>
    <s v="No"/>
    <s v="Debit Card"/>
    <s v="2-Day Shipping"/>
    <s v="No"/>
    <s v="No"/>
    <n v="9"/>
    <x v="5"/>
    <s v="Fortnightly"/>
    <n v="0"/>
    <x v="0"/>
  </r>
  <r>
    <n v="1797"/>
    <n v="62"/>
    <s v="Male"/>
    <s v="Skirt"/>
    <x v="0"/>
    <n v="35"/>
    <x v="36"/>
    <s v="S"/>
    <s v="Brown"/>
    <x v="1"/>
    <n v="3.1"/>
    <s v="No"/>
    <s v="Debit Card"/>
    <s v="Store Pickup"/>
    <s v="No"/>
    <s v="No"/>
    <n v="34"/>
    <x v="0"/>
    <s v="Weekly"/>
    <n v="0"/>
    <x v="0"/>
  </r>
  <r>
    <n v="1798"/>
    <n v="62"/>
    <s v="Male"/>
    <s v="Belt"/>
    <x v="3"/>
    <n v="35"/>
    <x v="4"/>
    <s v="L"/>
    <s v="Maroon"/>
    <x v="1"/>
    <n v="3.9"/>
    <s v="No"/>
    <s v="PayPal"/>
    <s v="2-Day Shipping"/>
    <s v="No"/>
    <s v="No"/>
    <n v="26"/>
    <x v="0"/>
    <s v="Weekly"/>
    <n v="0"/>
    <x v="0"/>
  </r>
  <r>
    <n v="1799"/>
    <n v="40"/>
    <s v="Male"/>
    <s v="Dress"/>
    <x v="0"/>
    <n v="82"/>
    <x v="25"/>
    <s v="L"/>
    <s v="Magenta"/>
    <x v="0"/>
    <n v="3.7"/>
    <s v="No"/>
    <s v="Credit Card"/>
    <s v="Express"/>
    <s v="No"/>
    <s v="No"/>
    <n v="1"/>
    <x v="1"/>
    <s v="Weekly"/>
    <n v="0"/>
    <x v="2"/>
  </r>
  <r>
    <n v="1800"/>
    <n v="32"/>
    <s v="Male"/>
    <s v="Hoodie"/>
    <x v="0"/>
    <n v="48"/>
    <x v="18"/>
    <s v="M"/>
    <s v="Charcoal"/>
    <x v="3"/>
    <n v="3.9"/>
    <s v="No"/>
    <s v="Debit Card"/>
    <s v="Express"/>
    <s v="No"/>
    <s v="No"/>
    <n v="47"/>
    <x v="0"/>
    <s v="Weekly"/>
    <n v="0"/>
    <x v="3"/>
  </r>
  <r>
    <n v="1801"/>
    <n v="22"/>
    <s v="Male"/>
    <s v="Coat"/>
    <x v="2"/>
    <n v="58"/>
    <x v="16"/>
    <s v="XL"/>
    <s v="Indigo"/>
    <x v="0"/>
    <n v="2.7"/>
    <s v="No"/>
    <s v="Cash"/>
    <s v="Express"/>
    <s v="No"/>
    <s v="No"/>
    <n v="30"/>
    <x v="2"/>
    <s v="Weekly"/>
    <n v="0"/>
    <x v="1"/>
  </r>
  <r>
    <n v="1802"/>
    <n v="33"/>
    <s v="Male"/>
    <s v="Sweater"/>
    <x v="0"/>
    <n v="57"/>
    <x v="32"/>
    <s v="M"/>
    <s v="Turquoise"/>
    <x v="1"/>
    <n v="3.9"/>
    <s v="No"/>
    <s v="Credit Card"/>
    <s v="Express"/>
    <s v="No"/>
    <s v="No"/>
    <n v="48"/>
    <x v="5"/>
    <s v="Fortnightly"/>
    <n v="0"/>
    <x v="3"/>
  </r>
  <r>
    <n v="1803"/>
    <n v="57"/>
    <s v="Male"/>
    <s v="Shorts"/>
    <x v="0"/>
    <n v="96"/>
    <x v="3"/>
    <s v="L"/>
    <s v="Turquoise"/>
    <x v="0"/>
    <n v="2.6"/>
    <s v="No"/>
    <s v="Bank Transfer"/>
    <s v="Store Pickup"/>
    <s v="No"/>
    <s v="No"/>
    <n v="31"/>
    <x v="0"/>
    <s v="Bi-Weekly"/>
    <n v="0"/>
    <x v="0"/>
  </r>
  <r>
    <n v="1804"/>
    <n v="60"/>
    <s v="Male"/>
    <s v="Sneakers"/>
    <x v="1"/>
    <n v="97"/>
    <x v="13"/>
    <s v="S"/>
    <s v="Gray"/>
    <x v="2"/>
    <n v="3.5"/>
    <s v="No"/>
    <s v="PayPal"/>
    <s v="Free Shipping"/>
    <s v="No"/>
    <s v="No"/>
    <n v="33"/>
    <x v="0"/>
    <s v="Fortnightly"/>
    <n v="0"/>
    <x v="0"/>
  </r>
  <r>
    <n v="1805"/>
    <n v="30"/>
    <s v="Male"/>
    <s v="Sweater"/>
    <x v="0"/>
    <n v="42"/>
    <x v="7"/>
    <s v="L"/>
    <s v="Peach"/>
    <x v="0"/>
    <n v="4.4000000000000004"/>
    <s v="No"/>
    <s v="Debit Card"/>
    <s v="Next Day Air"/>
    <s v="No"/>
    <s v="No"/>
    <n v="39"/>
    <x v="2"/>
    <s v="Weekly"/>
    <n v="0"/>
    <x v="3"/>
  </r>
  <r>
    <n v="1806"/>
    <n v="41"/>
    <s v="Male"/>
    <s v="T-shirt"/>
    <x v="0"/>
    <n v="62"/>
    <x v="28"/>
    <s v="L"/>
    <s v="Gold"/>
    <x v="1"/>
    <n v="4.9000000000000004"/>
    <s v="No"/>
    <s v="Venmo"/>
    <s v="Store Pickup"/>
    <s v="No"/>
    <s v="No"/>
    <n v="46"/>
    <x v="5"/>
    <s v="Weekly"/>
    <n v="0"/>
    <x v="2"/>
  </r>
  <r>
    <n v="1807"/>
    <n v="58"/>
    <s v="Male"/>
    <s v="Handbag"/>
    <x v="3"/>
    <n v="67"/>
    <x v="3"/>
    <s v="M"/>
    <s v="Green"/>
    <x v="3"/>
    <n v="3.9"/>
    <s v="No"/>
    <s v="Credit Card"/>
    <s v="Standard"/>
    <s v="No"/>
    <s v="No"/>
    <n v="24"/>
    <x v="0"/>
    <s v="Annually"/>
    <n v="0"/>
    <x v="0"/>
  </r>
  <r>
    <n v="1808"/>
    <n v="34"/>
    <s v="Male"/>
    <s v="Sneakers"/>
    <x v="1"/>
    <n v="46"/>
    <x v="34"/>
    <s v="L"/>
    <s v="Gold"/>
    <x v="2"/>
    <n v="3.5"/>
    <s v="No"/>
    <s v="PayPal"/>
    <s v="Standard"/>
    <s v="No"/>
    <s v="No"/>
    <n v="37"/>
    <x v="0"/>
    <s v="Fortnightly"/>
    <n v="0"/>
    <x v="3"/>
  </r>
  <r>
    <n v="1809"/>
    <n v="67"/>
    <s v="Male"/>
    <s v="Jacket"/>
    <x v="2"/>
    <n v="71"/>
    <x v="30"/>
    <s v="M"/>
    <s v="Lavender"/>
    <x v="1"/>
    <n v="4.3"/>
    <s v="No"/>
    <s v="Credit Card"/>
    <s v="Next Day Air"/>
    <s v="No"/>
    <s v="No"/>
    <n v="7"/>
    <x v="5"/>
    <s v="Monthly"/>
    <n v="0"/>
    <x v="0"/>
  </r>
  <r>
    <n v="1810"/>
    <n v="58"/>
    <s v="Male"/>
    <s v="Backpack"/>
    <x v="3"/>
    <n v="99"/>
    <x v="29"/>
    <s v="S"/>
    <s v="Blue"/>
    <x v="3"/>
    <n v="3.4"/>
    <s v="No"/>
    <s v="Credit Card"/>
    <s v="Free Shipping"/>
    <s v="No"/>
    <s v="No"/>
    <n v="6"/>
    <x v="5"/>
    <s v="Fortnightly"/>
    <n v="0"/>
    <x v="0"/>
  </r>
  <r>
    <n v="1811"/>
    <n v="41"/>
    <s v="Male"/>
    <s v="Jeans"/>
    <x v="0"/>
    <n v="28"/>
    <x v="33"/>
    <s v="M"/>
    <s v="Magenta"/>
    <x v="3"/>
    <n v="2.7"/>
    <s v="No"/>
    <s v="Credit Card"/>
    <s v="Standard"/>
    <s v="No"/>
    <s v="No"/>
    <n v="16"/>
    <x v="1"/>
    <s v="Bi-Weekly"/>
    <n v="0"/>
    <x v="2"/>
  </r>
  <r>
    <n v="1812"/>
    <n v="42"/>
    <s v="Male"/>
    <s v="Belt"/>
    <x v="3"/>
    <n v="77"/>
    <x v="48"/>
    <s v="L"/>
    <s v="Blue"/>
    <x v="2"/>
    <n v="3.6"/>
    <s v="No"/>
    <s v="Bank Transfer"/>
    <s v="Standard"/>
    <s v="No"/>
    <s v="No"/>
    <n v="33"/>
    <x v="4"/>
    <s v="Annually"/>
    <n v="0"/>
    <x v="2"/>
  </r>
  <r>
    <n v="1813"/>
    <n v="50"/>
    <s v="Male"/>
    <s v="Boots"/>
    <x v="1"/>
    <n v="63"/>
    <x v="22"/>
    <s v="S"/>
    <s v="Blue"/>
    <x v="2"/>
    <n v="4.9000000000000004"/>
    <s v="No"/>
    <s v="Venmo"/>
    <s v="Express"/>
    <s v="No"/>
    <s v="No"/>
    <n v="18"/>
    <x v="3"/>
    <s v="Bi-Weekly"/>
    <n v="0"/>
    <x v="0"/>
  </r>
  <r>
    <n v="1814"/>
    <n v="40"/>
    <s v="Male"/>
    <s v="Shorts"/>
    <x v="0"/>
    <n v="62"/>
    <x v="26"/>
    <s v="M"/>
    <s v="Olive"/>
    <x v="1"/>
    <n v="3.5"/>
    <s v="No"/>
    <s v="Credit Card"/>
    <s v="Free Shipping"/>
    <s v="No"/>
    <s v="No"/>
    <n v="24"/>
    <x v="3"/>
    <s v="Weekly"/>
    <n v="0"/>
    <x v="2"/>
  </r>
  <r>
    <n v="1815"/>
    <n v="32"/>
    <s v="Male"/>
    <s v="Jeans"/>
    <x v="0"/>
    <n v="92"/>
    <x v="6"/>
    <s v="M"/>
    <s v="White"/>
    <x v="2"/>
    <n v="3.8"/>
    <s v="No"/>
    <s v="Debit Card"/>
    <s v="Free Shipping"/>
    <s v="No"/>
    <s v="No"/>
    <n v="24"/>
    <x v="1"/>
    <s v="Quarterly"/>
    <n v="0"/>
    <x v="3"/>
  </r>
  <r>
    <n v="1816"/>
    <n v="51"/>
    <s v="Male"/>
    <s v="Shoes"/>
    <x v="1"/>
    <n v="72"/>
    <x v="35"/>
    <s v="L"/>
    <s v="White"/>
    <x v="0"/>
    <n v="4.5"/>
    <s v="No"/>
    <s v="Venmo"/>
    <s v="2-Day Shipping"/>
    <s v="No"/>
    <s v="No"/>
    <n v="48"/>
    <x v="2"/>
    <s v="Every 3 Months"/>
    <n v="0"/>
    <x v="0"/>
  </r>
  <r>
    <n v="1817"/>
    <n v="26"/>
    <s v="Male"/>
    <s v="Hat"/>
    <x v="3"/>
    <n v="79"/>
    <x v="41"/>
    <s v="M"/>
    <s v="Purple"/>
    <x v="2"/>
    <n v="4"/>
    <s v="No"/>
    <s v="Venmo"/>
    <s v="Express"/>
    <s v="No"/>
    <s v="No"/>
    <n v="4"/>
    <x v="1"/>
    <s v="Weekly"/>
    <n v="0"/>
    <x v="3"/>
  </r>
  <r>
    <n v="1818"/>
    <n v="32"/>
    <s v="Male"/>
    <s v="T-shirt"/>
    <x v="0"/>
    <n v="27"/>
    <x v="12"/>
    <s v="M"/>
    <s v="White"/>
    <x v="2"/>
    <n v="4.7"/>
    <s v="No"/>
    <s v="Credit Card"/>
    <s v="Free Shipping"/>
    <s v="No"/>
    <s v="No"/>
    <n v="20"/>
    <x v="1"/>
    <s v="Weekly"/>
    <n v="0"/>
    <x v="3"/>
  </r>
  <r>
    <n v="1819"/>
    <n v="58"/>
    <s v="Male"/>
    <s v="Sunglasses"/>
    <x v="3"/>
    <n v="39"/>
    <x v="17"/>
    <s v="M"/>
    <s v="White"/>
    <x v="3"/>
    <n v="3.8"/>
    <s v="No"/>
    <s v="Credit Card"/>
    <s v="Express"/>
    <s v="No"/>
    <s v="No"/>
    <n v="47"/>
    <x v="5"/>
    <s v="Every 3 Months"/>
    <n v="0"/>
    <x v="0"/>
  </r>
  <r>
    <n v="1820"/>
    <n v="51"/>
    <s v="Male"/>
    <s v="Socks"/>
    <x v="0"/>
    <n v="86"/>
    <x v="22"/>
    <s v="S"/>
    <s v="Peach"/>
    <x v="1"/>
    <n v="4.5"/>
    <s v="No"/>
    <s v="Cash"/>
    <s v="Next Day Air"/>
    <s v="No"/>
    <s v="No"/>
    <n v="50"/>
    <x v="1"/>
    <s v="Quarterly"/>
    <n v="0"/>
    <x v="0"/>
  </r>
  <r>
    <n v="1821"/>
    <n v="19"/>
    <s v="Male"/>
    <s v="Shirt"/>
    <x v="0"/>
    <n v="94"/>
    <x v="47"/>
    <s v="XL"/>
    <s v="Gold"/>
    <x v="3"/>
    <n v="5"/>
    <s v="No"/>
    <s v="PayPal"/>
    <s v="Express"/>
    <s v="No"/>
    <s v="No"/>
    <n v="31"/>
    <x v="3"/>
    <s v="Monthly"/>
    <n v="0"/>
    <x v="1"/>
  </r>
  <r>
    <n v="1822"/>
    <n v="57"/>
    <s v="Male"/>
    <s v="Shorts"/>
    <x v="0"/>
    <n v="53"/>
    <x v="1"/>
    <s v="M"/>
    <s v="Teal"/>
    <x v="1"/>
    <n v="2.8"/>
    <s v="No"/>
    <s v="Credit Card"/>
    <s v="Express"/>
    <s v="No"/>
    <s v="No"/>
    <n v="29"/>
    <x v="3"/>
    <s v="Quarterly"/>
    <n v="0"/>
    <x v="0"/>
  </r>
  <r>
    <n v="1823"/>
    <n v="66"/>
    <s v="Male"/>
    <s v="Shirt"/>
    <x v="0"/>
    <n v="85"/>
    <x v="39"/>
    <s v="S"/>
    <s v="Cyan"/>
    <x v="2"/>
    <n v="4.4000000000000004"/>
    <s v="No"/>
    <s v="Cash"/>
    <s v="Standard"/>
    <s v="No"/>
    <s v="No"/>
    <n v="4"/>
    <x v="1"/>
    <s v="Annually"/>
    <n v="0"/>
    <x v="0"/>
  </r>
  <r>
    <n v="1824"/>
    <n v="62"/>
    <s v="Male"/>
    <s v="Socks"/>
    <x v="0"/>
    <n v="50"/>
    <x v="7"/>
    <s v="L"/>
    <s v="Pink"/>
    <x v="3"/>
    <n v="4.7"/>
    <s v="No"/>
    <s v="Cash"/>
    <s v="Free Shipping"/>
    <s v="No"/>
    <s v="No"/>
    <n v="40"/>
    <x v="4"/>
    <s v="Bi-Weekly"/>
    <n v="0"/>
    <x v="0"/>
  </r>
  <r>
    <n v="1825"/>
    <n v="58"/>
    <s v="Male"/>
    <s v="Pants"/>
    <x v="0"/>
    <n v="47"/>
    <x v="26"/>
    <s v="XL"/>
    <s v="Magenta"/>
    <x v="0"/>
    <n v="3.8"/>
    <s v="No"/>
    <s v="Credit Card"/>
    <s v="Express"/>
    <s v="No"/>
    <s v="No"/>
    <n v="31"/>
    <x v="1"/>
    <s v="Monthly"/>
    <n v="0"/>
    <x v="0"/>
  </r>
  <r>
    <n v="1826"/>
    <n v="23"/>
    <s v="Male"/>
    <s v="Boots"/>
    <x v="1"/>
    <n v="75"/>
    <x v="45"/>
    <s v="M"/>
    <s v="Pink"/>
    <x v="0"/>
    <n v="4.9000000000000004"/>
    <s v="No"/>
    <s v="Bank Transfer"/>
    <s v="Next Day Air"/>
    <s v="No"/>
    <s v="No"/>
    <n v="41"/>
    <x v="2"/>
    <s v="Weekly"/>
    <n v="0"/>
    <x v="1"/>
  </r>
  <r>
    <n v="1827"/>
    <n v="45"/>
    <s v="Male"/>
    <s v="T-shirt"/>
    <x v="0"/>
    <n v="60"/>
    <x v="27"/>
    <s v="M"/>
    <s v="Turquoise"/>
    <x v="0"/>
    <n v="4.2"/>
    <s v="No"/>
    <s v="PayPal"/>
    <s v="Express"/>
    <s v="No"/>
    <s v="No"/>
    <n v="44"/>
    <x v="5"/>
    <s v="Annually"/>
    <n v="0"/>
    <x v="2"/>
  </r>
  <r>
    <n v="1828"/>
    <n v="20"/>
    <s v="Male"/>
    <s v="T-shirt"/>
    <x v="0"/>
    <n v="36"/>
    <x v="34"/>
    <s v="S"/>
    <s v="Pink"/>
    <x v="1"/>
    <n v="4.9000000000000004"/>
    <s v="No"/>
    <s v="Cash"/>
    <s v="2-Day Shipping"/>
    <s v="No"/>
    <s v="No"/>
    <n v="31"/>
    <x v="4"/>
    <s v="Weekly"/>
    <n v="0"/>
    <x v="1"/>
  </r>
  <r>
    <n v="1829"/>
    <n v="33"/>
    <s v="Male"/>
    <s v="Coat"/>
    <x v="2"/>
    <n v="80"/>
    <x v="13"/>
    <s v="L"/>
    <s v="Gray"/>
    <x v="1"/>
    <n v="3.9"/>
    <s v="No"/>
    <s v="Debit Card"/>
    <s v="Express"/>
    <s v="No"/>
    <s v="No"/>
    <n v="45"/>
    <x v="1"/>
    <s v="Every 3 Months"/>
    <n v="0"/>
    <x v="3"/>
  </r>
  <r>
    <n v="1830"/>
    <n v="30"/>
    <s v="Male"/>
    <s v="Hat"/>
    <x v="3"/>
    <n v="96"/>
    <x v="4"/>
    <s v="M"/>
    <s v="White"/>
    <x v="1"/>
    <n v="4.9000000000000004"/>
    <s v="No"/>
    <s v="Venmo"/>
    <s v="2-Day Shipping"/>
    <s v="No"/>
    <s v="No"/>
    <n v="50"/>
    <x v="2"/>
    <s v="Quarterly"/>
    <n v="0"/>
    <x v="3"/>
  </r>
  <r>
    <n v="1831"/>
    <n v="50"/>
    <s v="Male"/>
    <s v="Sunglasses"/>
    <x v="3"/>
    <n v="80"/>
    <x v="23"/>
    <s v="M"/>
    <s v="Blue"/>
    <x v="0"/>
    <n v="4.8"/>
    <s v="No"/>
    <s v="Credit Card"/>
    <s v="Express"/>
    <s v="No"/>
    <s v="No"/>
    <n v="7"/>
    <x v="0"/>
    <s v="Annually"/>
    <n v="0"/>
    <x v="0"/>
  </r>
  <r>
    <n v="1832"/>
    <n v="62"/>
    <s v="Male"/>
    <s v="Blouse"/>
    <x v="0"/>
    <n v="71"/>
    <x v="1"/>
    <s v="M"/>
    <s v="Cyan"/>
    <x v="2"/>
    <n v="3.3"/>
    <s v="No"/>
    <s v="Bank Transfer"/>
    <s v="Free Shipping"/>
    <s v="No"/>
    <s v="No"/>
    <n v="5"/>
    <x v="4"/>
    <s v="Every 3 Months"/>
    <n v="0"/>
    <x v="0"/>
  </r>
  <r>
    <n v="1833"/>
    <n v="69"/>
    <s v="Male"/>
    <s v="Jewelry"/>
    <x v="3"/>
    <n v="29"/>
    <x v="7"/>
    <s v="M"/>
    <s v="Blue"/>
    <x v="3"/>
    <n v="4.5999999999999996"/>
    <s v="No"/>
    <s v="Debit Card"/>
    <s v="Free Shipping"/>
    <s v="No"/>
    <s v="No"/>
    <n v="48"/>
    <x v="1"/>
    <s v="Monthly"/>
    <n v="0"/>
    <x v="0"/>
  </r>
  <r>
    <n v="1834"/>
    <n v="34"/>
    <s v="Male"/>
    <s v="Jewelry"/>
    <x v="3"/>
    <n v="53"/>
    <x v="7"/>
    <s v="M"/>
    <s v="Yellow"/>
    <x v="1"/>
    <n v="4.5"/>
    <s v="No"/>
    <s v="Bank Transfer"/>
    <s v="2-Day Shipping"/>
    <s v="No"/>
    <s v="No"/>
    <n v="19"/>
    <x v="3"/>
    <s v="Fortnightly"/>
    <n v="0"/>
    <x v="3"/>
  </r>
  <r>
    <n v="1835"/>
    <n v="49"/>
    <s v="Male"/>
    <s v="Skirt"/>
    <x v="0"/>
    <n v="35"/>
    <x v="27"/>
    <s v="M"/>
    <s v="Charcoal"/>
    <x v="2"/>
    <n v="4.0999999999999996"/>
    <s v="No"/>
    <s v="Venmo"/>
    <s v="2-Day Shipping"/>
    <s v="No"/>
    <s v="No"/>
    <n v="39"/>
    <x v="0"/>
    <s v="Fortnightly"/>
    <n v="0"/>
    <x v="0"/>
  </r>
  <r>
    <n v="1836"/>
    <n v="65"/>
    <s v="Male"/>
    <s v="Scarf"/>
    <x v="3"/>
    <n v="75"/>
    <x v="0"/>
    <s v="M"/>
    <s v="Lavender"/>
    <x v="3"/>
    <n v="3.2"/>
    <s v="No"/>
    <s v="Cash"/>
    <s v="2-Day Shipping"/>
    <s v="No"/>
    <s v="No"/>
    <n v="45"/>
    <x v="2"/>
    <s v="Quarterly"/>
    <n v="0"/>
    <x v="0"/>
  </r>
  <r>
    <n v="1837"/>
    <n v="66"/>
    <s v="Male"/>
    <s v="Pants"/>
    <x v="0"/>
    <n v="52"/>
    <x v="36"/>
    <s v="M"/>
    <s v="Teal"/>
    <x v="3"/>
    <n v="4.2"/>
    <s v="No"/>
    <s v="Cash"/>
    <s v="2-Day Shipping"/>
    <s v="No"/>
    <s v="No"/>
    <n v="35"/>
    <x v="2"/>
    <s v="Monthly"/>
    <n v="0"/>
    <x v="0"/>
  </r>
  <r>
    <n v="1838"/>
    <n v="41"/>
    <s v="Male"/>
    <s v="Hat"/>
    <x v="3"/>
    <n v="77"/>
    <x v="6"/>
    <s v="M"/>
    <s v="Beige"/>
    <x v="0"/>
    <n v="4.8"/>
    <s v="No"/>
    <s v="PayPal"/>
    <s v="Free Shipping"/>
    <s v="No"/>
    <s v="No"/>
    <n v="8"/>
    <x v="0"/>
    <s v="Monthly"/>
    <n v="0"/>
    <x v="2"/>
  </r>
  <r>
    <n v="1839"/>
    <n v="37"/>
    <s v="Male"/>
    <s v="Gloves"/>
    <x v="3"/>
    <n v="24"/>
    <x v="34"/>
    <s v="L"/>
    <s v="Blue"/>
    <x v="3"/>
    <n v="4.0999999999999996"/>
    <s v="No"/>
    <s v="Credit Card"/>
    <s v="Next Day Air"/>
    <s v="No"/>
    <s v="No"/>
    <n v="11"/>
    <x v="2"/>
    <s v="Quarterly"/>
    <n v="0"/>
    <x v="2"/>
  </r>
  <r>
    <n v="1840"/>
    <n v="32"/>
    <s v="Male"/>
    <s v="Shirt"/>
    <x v="0"/>
    <n v="78"/>
    <x v="16"/>
    <s v="XL"/>
    <s v="Purple"/>
    <x v="0"/>
    <n v="3.7"/>
    <s v="No"/>
    <s v="Venmo"/>
    <s v="Store Pickup"/>
    <s v="No"/>
    <s v="No"/>
    <n v="32"/>
    <x v="1"/>
    <s v="Annually"/>
    <n v="0"/>
    <x v="3"/>
  </r>
  <r>
    <n v="1841"/>
    <n v="42"/>
    <s v="Male"/>
    <s v="Sandals"/>
    <x v="1"/>
    <n v="98"/>
    <x v="5"/>
    <s v="M"/>
    <s v="Gold"/>
    <x v="0"/>
    <n v="2.6"/>
    <s v="No"/>
    <s v="Cash"/>
    <s v="Store Pickup"/>
    <s v="No"/>
    <s v="No"/>
    <n v="46"/>
    <x v="4"/>
    <s v="Every 3 Months"/>
    <n v="0"/>
    <x v="2"/>
  </r>
  <r>
    <n v="1842"/>
    <n v="31"/>
    <s v="Male"/>
    <s v="Socks"/>
    <x v="0"/>
    <n v="57"/>
    <x v="34"/>
    <s v="L"/>
    <s v="Blue"/>
    <x v="0"/>
    <n v="3"/>
    <s v="No"/>
    <s v="Debit Card"/>
    <s v="Standard"/>
    <s v="No"/>
    <s v="No"/>
    <n v="7"/>
    <x v="3"/>
    <s v="Every 3 Months"/>
    <n v="0"/>
    <x v="3"/>
  </r>
  <r>
    <n v="1843"/>
    <n v="61"/>
    <s v="Male"/>
    <s v="Handbag"/>
    <x v="3"/>
    <n v="78"/>
    <x v="15"/>
    <s v="M"/>
    <s v="Black"/>
    <x v="2"/>
    <n v="4.4000000000000004"/>
    <s v="No"/>
    <s v="Bank Transfer"/>
    <s v="Express"/>
    <s v="No"/>
    <s v="No"/>
    <n v="1"/>
    <x v="5"/>
    <s v="Annually"/>
    <n v="0"/>
    <x v="0"/>
  </r>
  <r>
    <n v="1844"/>
    <n v="36"/>
    <s v="Male"/>
    <s v="Jacket"/>
    <x v="2"/>
    <n v="76"/>
    <x v="0"/>
    <s v="M"/>
    <s v="Charcoal"/>
    <x v="3"/>
    <n v="4.7"/>
    <s v="No"/>
    <s v="Bank Transfer"/>
    <s v="Next Day Air"/>
    <s v="No"/>
    <s v="No"/>
    <n v="32"/>
    <x v="2"/>
    <s v="Monthly"/>
    <n v="0"/>
    <x v="2"/>
  </r>
  <r>
    <n v="1845"/>
    <n v="60"/>
    <s v="Male"/>
    <s v="Shorts"/>
    <x v="0"/>
    <n v="26"/>
    <x v="45"/>
    <s v="M"/>
    <s v="Purple"/>
    <x v="1"/>
    <n v="2.7"/>
    <s v="No"/>
    <s v="Venmo"/>
    <s v="2-Day Shipping"/>
    <s v="No"/>
    <s v="No"/>
    <n v="31"/>
    <x v="2"/>
    <s v="Annually"/>
    <n v="0"/>
    <x v="0"/>
  </r>
  <r>
    <n v="1846"/>
    <n v="51"/>
    <s v="Male"/>
    <s v="Sandals"/>
    <x v="1"/>
    <n v="78"/>
    <x v="12"/>
    <s v="M"/>
    <s v="Orange"/>
    <x v="0"/>
    <n v="2.8"/>
    <s v="No"/>
    <s v="Debit Card"/>
    <s v="2-Day Shipping"/>
    <s v="No"/>
    <s v="No"/>
    <n v="39"/>
    <x v="4"/>
    <s v="Quarterly"/>
    <n v="0"/>
    <x v="0"/>
  </r>
  <r>
    <n v="1847"/>
    <n v="68"/>
    <s v="Male"/>
    <s v="Scarf"/>
    <x v="3"/>
    <n v="53"/>
    <x v="48"/>
    <s v="M"/>
    <s v="Yellow"/>
    <x v="2"/>
    <n v="2.9"/>
    <s v="No"/>
    <s v="Debit Card"/>
    <s v="Standard"/>
    <s v="No"/>
    <s v="No"/>
    <n v="9"/>
    <x v="0"/>
    <s v="Quarterly"/>
    <n v="0"/>
    <x v="0"/>
  </r>
  <r>
    <n v="1848"/>
    <n v="46"/>
    <s v="Male"/>
    <s v="Sandals"/>
    <x v="1"/>
    <n v="100"/>
    <x v="28"/>
    <s v="XL"/>
    <s v="Cyan"/>
    <x v="2"/>
    <n v="4.4000000000000004"/>
    <s v="No"/>
    <s v="Debit Card"/>
    <s v="Free Shipping"/>
    <s v="No"/>
    <s v="No"/>
    <n v="49"/>
    <x v="2"/>
    <s v="Weekly"/>
    <n v="0"/>
    <x v="0"/>
  </r>
  <r>
    <n v="1849"/>
    <n v="19"/>
    <s v="Male"/>
    <s v="Jeans"/>
    <x v="0"/>
    <n v="73"/>
    <x v="1"/>
    <s v="XL"/>
    <s v="Yellow"/>
    <x v="0"/>
    <n v="2.7"/>
    <s v="No"/>
    <s v="Credit Card"/>
    <s v="Express"/>
    <s v="No"/>
    <s v="No"/>
    <n v="34"/>
    <x v="1"/>
    <s v="Every 3 Months"/>
    <n v="0"/>
    <x v="1"/>
  </r>
  <r>
    <n v="1850"/>
    <n v="30"/>
    <s v="Male"/>
    <s v="Skirt"/>
    <x v="0"/>
    <n v="40"/>
    <x v="35"/>
    <s v="M"/>
    <s v="Maroon"/>
    <x v="0"/>
    <n v="4.5"/>
    <s v="No"/>
    <s v="Credit Card"/>
    <s v="Store Pickup"/>
    <s v="No"/>
    <s v="No"/>
    <n v="35"/>
    <x v="4"/>
    <s v="Monthly"/>
    <n v="0"/>
    <x v="3"/>
  </r>
  <r>
    <n v="1851"/>
    <n v="51"/>
    <s v="Male"/>
    <s v="Gloves"/>
    <x v="3"/>
    <n v="76"/>
    <x v="5"/>
    <s v="S"/>
    <s v="Black"/>
    <x v="0"/>
    <n v="2.8"/>
    <s v="No"/>
    <s v="Credit Card"/>
    <s v="Store Pickup"/>
    <s v="No"/>
    <s v="No"/>
    <n v="50"/>
    <x v="5"/>
    <s v="Weekly"/>
    <n v="0"/>
    <x v="0"/>
  </r>
  <r>
    <n v="1852"/>
    <n v="28"/>
    <s v="Male"/>
    <s v="Skirt"/>
    <x v="0"/>
    <n v="80"/>
    <x v="12"/>
    <s v="S"/>
    <s v="Lavender"/>
    <x v="3"/>
    <n v="3.1"/>
    <s v="No"/>
    <s v="Venmo"/>
    <s v="Free Shipping"/>
    <s v="No"/>
    <s v="No"/>
    <n v="4"/>
    <x v="4"/>
    <s v="Fortnightly"/>
    <n v="0"/>
    <x v="3"/>
  </r>
  <r>
    <n v="1853"/>
    <n v="41"/>
    <s v="Male"/>
    <s v="Sweater"/>
    <x v="0"/>
    <n v="80"/>
    <x v="38"/>
    <s v="XL"/>
    <s v="Violet"/>
    <x v="0"/>
    <n v="3.8"/>
    <s v="No"/>
    <s v="Cash"/>
    <s v="Store Pickup"/>
    <s v="No"/>
    <s v="No"/>
    <n v="32"/>
    <x v="1"/>
    <s v="Weekly"/>
    <n v="0"/>
    <x v="2"/>
  </r>
  <r>
    <n v="1854"/>
    <n v="29"/>
    <s v="Male"/>
    <s v="Blouse"/>
    <x v="0"/>
    <n v="67"/>
    <x v="25"/>
    <s v="XL"/>
    <s v="Olive"/>
    <x v="1"/>
    <n v="2.9"/>
    <s v="No"/>
    <s v="Bank Transfer"/>
    <s v="Express"/>
    <s v="No"/>
    <s v="No"/>
    <n v="11"/>
    <x v="3"/>
    <s v="Fortnightly"/>
    <n v="0"/>
    <x v="3"/>
  </r>
  <r>
    <n v="1855"/>
    <n v="25"/>
    <s v="Male"/>
    <s v="Sweater"/>
    <x v="0"/>
    <n v="61"/>
    <x v="0"/>
    <s v="M"/>
    <s v="Teal"/>
    <x v="1"/>
    <n v="3.8"/>
    <s v="No"/>
    <s v="Credit Card"/>
    <s v="Express"/>
    <s v="No"/>
    <s v="No"/>
    <n v="49"/>
    <x v="2"/>
    <s v="Annually"/>
    <n v="0"/>
    <x v="1"/>
  </r>
  <r>
    <n v="1856"/>
    <n v="60"/>
    <s v="Male"/>
    <s v="Shirt"/>
    <x v="0"/>
    <n v="76"/>
    <x v="3"/>
    <s v="XL"/>
    <s v="Teal"/>
    <x v="1"/>
    <n v="4.7"/>
    <s v="No"/>
    <s v="Bank Transfer"/>
    <s v="Standard"/>
    <s v="No"/>
    <s v="No"/>
    <n v="9"/>
    <x v="1"/>
    <s v="Annually"/>
    <n v="0"/>
    <x v="0"/>
  </r>
  <r>
    <n v="1857"/>
    <n v="63"/>
    <s v="Male"/>
    <s v="Jewelry"/>
    <x v="3"/>
    <n v="55"/>
    <x v="28"/>
    <s v="XL"/>
    <s v="Beige"/>
    <x v="2"/>
    <n v="3.2"/>
    <s v="No"/>
    <s v="Venmo"/>
    <s v="Free Shipping"/>
    <s v="No"/>
    <s v="No"/>
    <n v="30"/>
    <x v="3"/>
    <s v="Bi-Weekly"/>
    <n v="0"/>
    <x v="0"/>
  </r>
  <r>
    <n v="1858"/>
    <n v="51"/>
    <s v="Male"/>
    <s v="T-shirt"/>
    <x v="0"/>
    <n v="85"/>
    <x v="24"/>
    <s v="L"/>
    <s v="Maroon"/>
    <x v="2"/>
    <n v="4"/>
    <s v="No"/>
    <s v="Cash"/>
    <s v="Next Day Air"/>
    <s v="No"/>
    <s v="No"/>
    <n v="33"/>
    <x v="1"/>
    <s v="Monthly"/>
    <n v="0"/>
    <x v="0"/>
  </r>
  <r>
    <n v="1859"/>
    <n v="22"/>
    <s v="Male"/>
    <s v="Scarf"/>
    <x v="3"/>
    <n v="69"/>
    <x v="1"/>
    <s v="S"/>
    <s v="Peach"/>
    <x v="1"/>
    <n v="4.9000000000000004"/>
    <s v="No"/>
    <s v="Venmo"/>
    <s v="2-Day Shipping"/>
    <s v="No"/>
    <s v="No"/>
    <n v="8"/>
    <x v="5"/>
    <s v="Annually"/>
    <n v="0"/>
    <x v="1"/>
  </r>
  <r>
    <n v="1860"/>
    <n v="54"/>
    <s v="Male"/>
    <s v="Belt"/>
    <x v="3"/>
    <n v="26"/>
    <x v="32"/>
    <s v="L"/>
    <s v="Beige"/>
    <x v="2"/>
    <n v="3.7"/>
    <s v="No"/>
    <s v="Credit Card"/>
    <s v="Store Pickup"/>
    <s v="No"/>
    <s v="No"/>
    <n v="29"/>
    <x v="5"/>
    <s v="Fortnightly"/>
    <n v="0"/>
    <x v="0"/>
  </r>
  <r>
    <n v="1861"/>
    <n v="18"/>
    <s v="Male"/>
    <s v="T-shirt"/>
    <x v="0"/>
    <n v="64"/>
    <x v="23"/>
    <s v="M"/>
    <s v="Silver"/>
    <x v="2"/>
    <n v="4.8"/>
    <s v="No"/>
    <s v="Credit Card"/>
    <s v="Next Day Air"/>
    <s v="No"/>
    <s v="No"/>
    <n v="4"/>
    <x v="2"/>
    <s v="Monthly"/>
    <n v="0"/>
    <x v="1"/>
  </r>
  <r>
    <n v="1862"/>
    <n v="29"/>
    <s v="Male"/>
    <s v="Sneakers"/>
    <x v="1"/>
    <n v="60"/>
    <x v="45"/>
    <s v="S"/>
    <s v="Peach"/>
    <x v="3"/>
    <n v="3.6"/>
    <s v="No"/>
    <s v="Bank Transfer"/>
    <s v="Standard"/>
    <s v="No"/>
    <s v="No"/>
    <n v="19"/>
    <x v="5"/>
    <s v="Monthly"/>
    <n v="0"/>
    <x v="3"/>
  </r>
  <r>
    <n v="1863"/>
    <n v="59"/>
    <s v="Male"/>
    <s v="Gloves"/>
    <x v="3"/>
    <n v="36"/>
    <x v="13"/>
    <s v="M"/>
    <s v="Turquoise"/>
    <x v="0"/>
    <n v="4.5999999999999996"/>
    <s v="No"/>
    <s v="Debit Card"/>
    <s v="Express"/>
    <s v="No"/>
    <s v="No"/>
    <n v="10"/>
    <x v="3"/>
    <s v="Fortnightly"/>
    <n v="0"/>
    <x v="0"/>
  </r>
  <r>
    <n v="1864"/>
    <n v="25"/>
    <s v="Male"/>
    <s v="Sandals"/>
    <x v="1"/>
    <n v="21"/>
    <x v="39"/>
    <s v="L"/>
    <s v="Orange"/>
    <x v="1"/>
    <n v="4.3"/>
    <s v="No"/>
    <s v="Venmo"/>
    <s v="2-Day Shipping"/>
    <s v="No"/>
    <s v="No"/>
    <n v="39"/>
    <x v="5"/>
    <s v="Monthly"/>
    <n v="0"/>
    <x v="1"/>
  </r>
  <r>
    <n v="1865"/>
    <n v="19"/>
    <s v="Male"/>
    <s v="Backpack"/>
    <x v="3"/>
    <n v="72"/>
    <x v="5"/>
    <s v="S"/>
    <s v="Cyan"/>
    <x v="3"/>
    <n v="3.2"/>
    <s v="No"/>
    <s v="Bank Transfer"/>
    <s v="2-Day Shipping"/>
    <s v="No"/>
    <s v="No"/>
    <n v="21"/>
    <x v="0"/>
    <s v="Quarterly"/>
    <n v="0"/>
    <x v="1"/>
  </r>
  <r>
    <n v="1866"/>
    <n v="56"/>
    <s v="Male"/>
    <s v="Pants"/>
    <x v="0"/>
    <n v="62"/>
    <x v="9"/>
    <s v="S"/>
    <s v="Silver"/>
    <x v="2"/>
    <n v="3.8"/>
    <s v="No"/>
    <s v="Venmo"/>
    <s v="Store Pickup"/>
    <s v="No"/>
    <s v="No"/>
    <n v="12"/>
    <x v="4"/>
    <s v="Monthly"/>
    <n v="0"/>
    <x v="0"/>
  </r>
  <r>
    <n v="1867"/>
    <n v="31"/>
    <s v="Male"/>
    <s v="T-shirt"/>
    <x v="0"/>
    <n v="44"/>
    <x v="29"/>
    <s v="XL"/>
    <s v="Gold"/>
    <x v="0"/>
    <n v="4.2"/>
    <s v="No"/>
    <s v="Debit Card"/>
    <s v="Standard"/>
    <s v="No"/>
    <s v="No"/>
    <n v="9"/>
    <x v="2"/>
    <s v="Fortnightly"/>
    <n v="0"/>
    <x v="3"/>
  </r>
  <r>
    <n v="1868"/>
    <n v="45"/>
    <s v="Male"/>
    <s v="Skirt"/>
    <x v="0"/>
    <n v="52"/>
    <x v="12"/>
    <s v="M"/>
    <s v="Brown"/>
    <x v="3"/>
    <n v="3.4"/>
    <s v="No"/>
    <s v="Debit Card"/>
    <s v="2-Day Shipping"/>
    <s v="No"/>
    <s v="No"/>
    <n v="20"/>
    <x v="0"/>
    <s v="Quarterly"/>
    <n v="0"/>
    <x v="2"/>
  </r>
  <r>
    <n v="1869"/>
    <n v="23"/>
    <s v="Male"/>
    <s v="Gloves"/>
    <x v="3"/>
    <n v="58"/>
    <x v="27"/>
    <s v="M"/>
    <s v="Silver"/>
    <x v="1"/>
    <n v="4.7"/>
    <s v="No"/>
    <s v="Bank Transfer"/>
    <s v="Next Day Air"/>
    <s v="No"/>
    <s v="No"/>
    <n v="44"/>
    <x v="1"/>
    <s v="Fortnightly"/>
    <n v="0"/>
    <x v="1"/>
  </r>
  <r>
    <n v="1870"/>
    <n v="18"/>
    <s v="Male"/>
    <s v="Blouse"/>
    <x v="0"/>
    <n v="77"/>
    <x v="8"/>
    <s v="S"/>
    <s v="Beige"/>
    <x v="1"/>
    <n v="3.9"/>
    <s v="No"/>
    <s v="PayPal"/>
    <s v="2-Day Shipping"/>
    <s v="No"/>
    <s v="No"/>
    <n v="16"/>
    <x v="5"/>
    <s v="Every 3 Months"/>
    <n v="0"/>
    <x v="1"/>
  </r>
  <r>
    <n v="1871"/>
    <n v="43"/>
    <s v="Male"/>
    <s v="Blouse"/>
    <x v="0"/>
    <n v="99"/>
    <x v="5"/>
    <s v="L"/>
    <s v="Violet"/>
    <x v="1"/>
    <n v="4.3"/>
    <s v="No"/>
    <s v="Debit Card"/>
    <s v="Store Pickup"/>
    <s v="No"/>
    <s v="No"/>
    <n v="27"/>
    <x v="5"/>
    <s v="Fortnightly"/>
    <n v="0"/>
    <x v="2"/>
  </r>
  <r>
    <n v="1872"/>
    <n v="56"/>
    <s v="Male"/>
    <s v="Jeans"/>
    <x v="0"/>
    <n v="96"/>
    <x v="26"/>
    <s v="XL"/>
    <s v="Violet"/>
    <x v="3"/>
    <n v="2.7"/>
    <s v="No"/>
    <s v="Bank Transfer"/>
    <s v="Standard"/>
    <s v="No"/>
    <s v="No"/>
    <n v="14"/>
    <x v="1"/>
    <s v="Every 3 Months"/>
    <n v="0"/>
    <x v="0"/>
  </r>
  <r>
    <n v="1873"/>
    <n v="43"/>
    <s v="Male"/>
    <s v="T-shirt"/>
    <x v="0"/>
    <n v="64"/>
    <x v="29"/>
    <s v="M"/>
    <s v="Lavender"/>
    <x v="2"/>
    <n v="4.5999999999999996"/>
    <s v="No"/>
    <s v="Credit Card"/>
    <s v="Standard"/>
    <s v="No"/>
    <s v="No"/>
    <n v="24"/>
    <x v="2"/>
    <s v="Monthly"/>
    <n v="0"/>
    <x v="2"/>
  </r>
  <r>
    <n v="1874"/>
    <n v="64"/>
    <s v="Male"/>
    <s v="Sweater"/>
    <x v="0"/>
    <n v="44"/>
    <x v="48"/>
    <s v="XL"/>
    <s v="Red"/>
    <x v="3"/>
    <n v="2.9"/>
    <s v="No"/>
    <s v="Credit Card"/>
    <s v="Express"/>
    <s v="No"/>
    <s v="No"/>
    <n v="49"/>
    <x v="4"/>
    <s v="Weekly"/>
    <n v="0"/>
    <x v="0"/>
  </r>
  <r>
    <n v="1875"/>
    <n v="67"/>
    <s v="Male"/>
    <s v="Pants"/>
    <x v="0"/>
    <n v="33"/>
    <x v="27"/>
    <s v="L"/>
    <s v="Purple"/>
    <x v="3"/>
    <n v="3.6"/>
    <s v="No"/>
    <s v="Cash"/>
    <s v="Free Shipping"/>
    <s v="No"/>
    <s v="No"/>
    <n v="14"/>
    <x v="1"/>
    <s v="Weekly"/>
    <n v="0"/>
    <x v="0"/>
  </r>
  <r>
    <n v="1876"/>
    <n v="63"/>
    <s v="Male"/>
    <s v="Boots"/>
    <x v="1"/>
    <n v="71"/>
    <x v="30"/>
    <s v="M"/>
    <s v="Brown"/>
    <x v="0"/>
    <n v="3.9"/>
    <s v="No"/>
    <s v="Debit Card"/>
    <s v="Next Day Air"/>
    <s v="No"/>
    <s v="No"/>
    <n v="6"/>
    <x v="2"/>
    <s v="Quarterly"/>
    <n v="0"/>
    <x v="0"/>
  </r>
  <r>
    <n v="1877"/>
    <n v="54"/>
    <s v="Male"/>
    <s v="Skirt"/>
    <x v="0"/>
    <n v="36"/>
    <x v="26"/>
    <s v="M"/>
    <s v="Gray"/>
    <x v="3"/>
    <n v="2.6"/>
    <s v="No"/>
    <s v="Credit Card"/>
    <s v="Standard"/>
    <s v="No"/>
    <s v="No"/>
    <n v="20"/>
    <x v="0"/>
    <s v="Quarterly"/>
    <n v="0"/>
    <x v="0"/>
  </r>
  <r>
    <n v="1878"/>
    <n v="69"/>
    <s v="Male"/>
    <s v="Gloves"/>
    <x v="3"/>
    <n v="62"/>
    <x v="38"/>
    <s v="L"/>
    <s v="Pink"/>
    <x v="3"/>
    <n v="3.6"/>
    <s v="No"/>
    <s v="Cash"/>
    <s v="Express"/>
    <s v="No"/>
    <s v="No"/>
    <n v="3"/>
    <x v="2"/>
    <s v="Annually"/>
    <n v="0"/>
    <x v="0"/>
  </r>
  <r>
    <n v="1879"/>
    <n v="34"/>
    <s v="Male"/>
    <s v="Socks"/>
    <x v="0"/>
    <n v="29"/>
    <x v="19"/>
    <s v="L"/>
    <s v="Magenta"/>
    <x v="2"/>
    <n v="3.4"/>
    <s v="No"/>
    <s v="Credit Card"/>
    <s v="Store Pickup"/>
    <s v="No"/>
    <s v="No"/>
    <n v="5"/>
    <x v="2"/>
    <s v="Monthly"/>
    <n v="0"/>
    <x v="3"/>
  </r>
  <r>
    <n v="1880"/>
    <n v="56"/>
    <s v="Male"/>
    <s v="T-shirt"/>
    <x v="0"/>
    <n v="33"/>
    <x v="30"/>
    <s v="L"/>
    <s v="Charcoal"/>
    <x v="1"/>
    <n v="3.5"/>
    <s v="No"/>
    <s v="Debit Card"/>
    <s v="Express"/>
    <s v="No"/>
    <s v="No"/>
    <n v="46"/>
    <x v="1"/>
    <s v="Bi-Weekly"/>
    <n v="0"/>
    <x v="0"/>
  </r>
  <r>
    <n v="1881"/>
    <n v="34"/>
    <s v="Male"/>
    <s v="Blouse"/>
    <x v="0"/>
    <n v="33"/>
    <x v="32"/>
    <s v="L"/>
    <s v="Yellow"/>
    <x v="3"/>
    <n v="3.1"/>
    <s v="No"/>
    <s v="PayPal"/>
    <s v="2-Day Shipping"/>
    <s v="No"/>
    <s v="No"/>
    <n v="8"/>
    <x v="5"/>
    <s v="Monthly"/>
    <n v="0"/>
    <x v="3"/>
  </r>
  <r>
    <n v="1882"/>
    <n v="58"/>
    <s v="Male"/>
    <s v="Blouse"/>
    <x v="0"/>
    <n v="41"/>
    <x v="32"/>
    <s v="M"/>
    <s v="Red"/>
    <x v="0"/>
    <n v="4.3"/>
    <s v="No"/>
    <s v="Bank Transfer"/>
    <s v="Standard"/>
    <s v="No"/>
    <s v="No"/>
    <n v="13"/>
    <x v="1"/>
    <s v="Bi-Weekly"/>
    <n v="0"/>
    <x v="0"/>
  </r>
  <r>
    <n v="1883"/>
    <n v="44"/>
    <s v="Male"/>
    <s v="Scarf"/>
    <x v="3"/>
    <n v="54"/>
    <x v="30"/>
    <s v="L"/>
    <s v="Blue"/>
    <x v="0"/>
    <n v="5"/>
    <s v="No"/>
    <s v="Debit Card"/>
    <s v="Store Pickup"/>
    <s v="No"/>
    <s v="No"/>
    <n v="25"/>
    <x v="4"/>
    <s v="Quarterly"/>
    <n v="0"/>
    <x v="2"/>
  </r>
  <r>
    <n v="1884"/>
    <n v="25"/>
    <s v="Male"/>
    <s v="Backpack"/>
    <x v="3"/>
    <n v="58"/>
    <x v="42"/>
    <s v="M"/>
    <s v="Cyan"/>
    <x v="1"/>
    <n v="4.9000000000000004"/>
    <s v="No"/>
    <s v="PayPal"/>
    <s v="Store Pickup"/>
    <s v="No"/>
    <s v="No"/>
    <n v="39"/>
    <x v="5"/>
    <s v="Fortnightly"/>
    <n v="0"/>
    <x v="1"/>
  </r>
  <r>
    <n v="1885"/>
    <n v="27"/>
    <s v="Male"/>
    <s v="Shorts"/>
    <x v="0"/>
    <n v="30"/>
    <x v="28"/>
    <s v="S"/>
    <s v="Pink"/>
    <x v="2"/>
    <n v="4.3"/>
    <s v="No"/>
    <s v="Bank Transfer"/>
    <s v="Next Day Air"/>
    <s v="No"/>
    <s v="No"/>
    <n v="15"/>
    <x v="4"/>
    <s v="Bi-Weekly"/>
    <n v="0"/>
    <x v="3"/>
  </r>
  <r>
    <n v="1886"/>
    <n v="26"/>
    <s v="Male"/>
    <s v="Jewelry"/>
    <x v="3"/>
    <n v="53"/>
    <x v="22"/>
    <s v="S"/>
    <s v="Maroon"/>
    <x v="0"/>
    <n v="4.4000000000000004"/>
    <s v="No"/>
    <s v="Credit Card"/>
    <s v="Standard"/>
    <s v="No"/>
    <s v="No"/>
    <n v="35"/>
    <x v="1"/>
    <s v="Monthly"/>
    <n v="0"/>
    <x v="3"/>
  </r>
  <r>
    <n v="1887"/>
    <n v="18"/>
    <s v="Male"/>
    <s v="Gloves"/>
    <x v="3"/>
    <n v="91"/>
    <x v="10"/>
    <s v="L"/>
    <s v="Beige"/>
    <x v="1"/>
    <n v="4.4000000000000004"/>
    <s v="No"/>
    <s v="Cash"/>
    <s v="Next Day Air"/>
    <s v="No"/>
    <s v="No"/>
    <n v="46"/>
    <x v="1"/>
    <s v="Bi-Weekly"/>
    <n v="0"/>
    <x v="1"/>
  </r>
  <r>
    <n v="1888"/>
    <n v="64"/>
    <s v="Male"/>
    <s v="Hoodie"/>
    <x v="0"/>
    <n v="44"/>
    <x v="25"/>
    <s v="XL"/>
    <s v="Gold"/>
    <x v="3"/>
    <n v="3.5"/>
    <s v="No"/>
    <s v="Cash"/>
    <s v="Express"/>
    <s v="No"/>
    <s v="No"/>
    <n v="3"/>
    <x v="3"/>
    <s v="Monthly"/>
    <n v="0"/>
    <x v="0"/>
  </r>
  <r>
    <n v="1889"/>
    <n v="62"/>
    <s v="Male"/>
    <s v="Hoodie"/>
    <x v="0"/>
    <n v="89"/>
    <x v="45"/>
    <s v="XL"/>
    <s v="Turquoise"/>
    <x v="0"/>
    <n v="3.4"/>
    <s v="No"/>
    <s v="Bank Transfer"/>
    <s v="Free Shipping"/>
    <s v="No"/>
    <s v="No"/>
    <n v="48"/>
    <x v="2"/>
    <s v="Weekly"/>
    <n v="0"/>
    <x v="0"/>
  </r>
  <r>
    <n v="1890"/>
    <n v="59"/>
    <s v="Male"/>
    <s v="Skirt"/>
    <x v="0"/>
    <n v="57"/>
    <x v="17"/>
    <s v="L"/>
    <s v="Peach"/>
    <x v="1"/>
    <n v="2.5"/>
    <s v="No"/>
    <s v="Debit Card"/>
    <s v="Next Day Air"/>
    <s v="No"/>
    <s v="No"/>
    <n v="27"/>
    <x v="4"/>
    <s v="Weekly"/>
    <n v="0"/>
    <x v="0"/>
  </r>
  <r>
    <n v="1891"/>
    <n v="36"/>
    <s v="Male"/>
    <s v="Sunglasses"/>
    <x v="3"/>
    <n v="57"/>
    <x v="11"/>
    <s v="M"/>
    <s v="Lavender"/>
    <x v="1"/>
    <n v="3.4"/>
    <s v="No"/>
    <s v="Debit Card"/>
    <s v="Store Pickup"/>
    <s v="No"/>
    <s v="No"/>
    <n v="5"/>
    <x v="2"/>
    <s v="Weekly"/>
    <n v="0"/>
    <x v="2"/>
  </r>
  <r>
    <n v="1892"/>
    <n v="69"/>
    <s v="Male"/>
    <s v="Jewelry"/>
    <x v="3"/>
    <n v="74"/>
    <x v="13"/>
    <s v="M"/>
    <s v="Gray"/>
    <x v="2"/>
    <n v="2.6"/>
    <s v="No"/>
    <s v="Venmo"/>
    <s v="Next Day Air"/>
    <s v="No"/>
    <s v="No"/>
    <n v="48"/>
    <x v="5"/>
    <s v="Quarterly"/>
    <n v="0"/>
    <x v="0"/>
  </r>
  <r>
    <n v="1893"/>
    <n v="39"/>
    <s v="Male"/>
    <s v="Jacket"/>
    <x v="2"/>
    <n v="30"/>
    <x v="18"/>
    <s v="M"/>
    <s v="Blue"/>
    <x v="3"/>
    <n v="4.5999999999999996"/>
    <s v="No"/>
    <s v="Bank Transfer"/>
    <s v="2-Day Shipping"/>
    <s v="No"/>
    <s v="No"/>
    <n v="12"/>
    <x v="0"/>
    <s v="Weekly"/>
    <n v="0"/>
    <x v="2"/>
  </r>
  <r>
    <n v="1894"/>
    <n v="28"/>
    <s v="Male"/>
    <s v="Dress"/>
    <x v="0"/>
    <n v="20"/>
    <x v="12"/>
    <s v="L"/>
    <s v="Red"/>
    <x v="2"/>
    <n v="3.7"/>
    <s v="No"/>
    <s v="Venmo"/>
    <s v="Express"/>
    <s v="No"/>
    <s v="No"/>
    <n v="10"/>
    <x v="3"/>
    <s v="Fortnightly"/>
    <n v="0"/>
    <x v="3"/>
  </r>
  <r>
    <n v="1895"/>
    <n v="42"/>
    <s v="Male"/>
    <s v="Hoodie"/>
    <x v="0"/>
    <n v="90"/>
    <x v="28"/>
    <s v="M"/>
    <s v="Purple"/>
    <x v="3"/>
    <n v="2.5"/>
    <s v="No"/>
    <s v="Credit Card"/>
    <s v="Free Shipping"/>
    <s v="No"/>
    <s v="No"/>
    <n v="48"/>
    <x v="5"/>
    <s v="Bi-Weekly"/>
    <n v="0"/>
    <x v="2"/>
  </r>
  <r>
    <n v="1896"/>
    <n v="31"/>
    <s v="Male"/>
    <s v="Jeans"/>
    <x v="0"/>
    <n v="61"/>
    <x v="47"/>
    <s v="L"/>
    <s v="Indigo"/>
    <x v="3"/>
    <n v="4.5"/>
    <s v="No"/>
    <s v="Debit Card"/>
    <s v="Express"/>
    <s v="No"/>
    <s v="No"/>
    <n v="3"/>
    <x v="5"/>
    <s v="Monthly"/>
    <n v="0"/>
    <x v="3"/>
  </r>
  <r>
    <n v="1897"/>
    <n v="57"/>
    <s v="Male"/>
    <s v="Sandals"/>
    <x v="1"/>
    <n v="51"/>
    <x v="22"/>
    <s v="M"/>
    <s v="Gold"/>
    <x v="3"/>
    <n v="2.9"/>
    <s v="No"/>
    <s v="Cash"/>
    <s v="Standard"/>
    <s v="No"/>
    <s v="No"/>
    <n v="19"/>
    <x v="0"/>
    <s v="Monthly"/>
    <n v="0"/>
    <x v="0"/>
  </r>
  <r>
    <n v="1898"/>
    <n v="53"/>
    <s v="Male"/>
    <s v="Sunglasses"/>
    <x v="3"/>
    <n v="97"/>
    <x v="29"/>
    <s v="L"/>
    <s v="Teal"/>
    <x v="0"/>
    <n v="2.9"/>
    <s v="No"/>
    <s v="Venmo"/>
    <s v="Free Shipping"/>
    <s v="No"/>
    <s v="No"/>
    <n v="11"/>
    <x v="5"/>
    <s v="Fortnightly"/>
    <n v="0"/>
    <x v="0"/>
  </r>
  <r>
    <n v="1899"/>
    <n v="59"/>
    <s v="Male"/>
    <s v="Pants"/>
    <x v="0"/>
    <n v="97"/>
    <x v="21"/>
    <s v="L"/>
    <s v="Magenta"/>
    <x v="3"/>
    <n v="3.5"/>
    <s v="No"/>
    <s v="PayPal"/>
    <s v="Next Day Air"/>
    <s v="No"/>
    <s v="No"/>
    <n v="25"/>
    <x v="0"/>
    <s v="Monthly"/>
    <n v="0"/>
    <x v="0"/>
  </r>
  <r>
    <n v="1900"/>
    <n v="32"/>
    <s v="Male"/>
    <s v="Shorts"/>
    <x v="0"/>
    <n v="40"/>
    <x v="14"/>
    <s v="L"/>
    <s v="Maroon"/>
    <x v="0"/>
    <n v="4.2"/>
    <s v="No"/>
    <s v="Venmo"/>
    <s v="Store Pickup"/>
    <s v="No"/>
    <s v="No"/>
    <n v="42"/>
    <x v="3"/>
    <s v="Weekly"/>
    <n v="0"/>
    <x v="3"/>
  </r>
  <r>
    <n v="1901"/>
    <n v="65"/>
    <s v="Male"/>
    <s v="Jewelry"/>
    <x v="3"/>
    <n v="85"/>
    <x v="44"/>
    <s v="S"/>
    <s v="Blue"/>
    <x v="2"/>
    <n v="3.3"/>
    <s v="No"/>
    <s v="Debit Card"/>
    <s v="Free Shipping"/>
    <s v="No"/>
    <s v="No"/>
    <n v="34"/>
    <x v="1"/>
    <s v="Quarterly"/>
    <n v="0"/>
    <x v="0"/>
  </r>
  <r>
    <n v="1902"/>
    <n v="56"/>
    <s v="Male"/>
    <s v="Socks"/>
    <x v="0"/>
    <n v="76"/>
    <x v="28"/>
    <s v="S"/>
    <s v="Beige"/>
    <x v="0"/>
    <n v="3.9"/>
    <s v="No"/>
    <s v="Venmo"/>
    <s v="Store Pickup"/>
    <s v="No"/>
    <s v="No"/>
    <n v="50"/>
    <x v="1"/>
    <s v="Quarterly"/>
    <n v="0"/>
    <x v="0"/>
  </r>
  <r>
    <n v="1903"/>
    <n v="31"/>
    <s v="Male"/>
    <s v="Sandals"/>
    <x v="1"/>
    <n v="22"/>
    <x v="35"/>
    <s v="S"/>
    <s v="Olive"/>
    <x v="1"/>
    <n v="5"/>
    <s v="No"/>
    <s v="Bank Transfer"/>
    <s v="Store Pickup"/>
    <s v="No"/>
    <s v="No"/>
    <n v="21"/>
    <x v="0"/>
    <s v="Monthly"/>
    <n v="0"/>
    <x v="3"/>
  </r>
  <r>
    <n v="1904"/>
    <n v="59"/>
    <s v="Male"/>
    <s v="Pants"/>
    <x v="0"/>
    <n v="63"/>
    <x v="17"/>
    <s v="M"/>
    <s v="Gold"/>
    <x v="2"/>
    <n v="3.3"/>
    <s v="No"/>
    <s v="Bank Transfer"/>
    <s v="Standard"/>
    <s v="No"/>
    <s v="No"/>
    <n v="37"/>
    <x v="4"/>
    <s v="Weekly"/>
    <n v="0"/>
    <x v="0"/>
  </r>
  <r>
    <n v="1905"/>
    <n v="22"/>
    <s v="Male"/>
    <s v="T-shirt"/>
    <x v="0"/>
    <n v="71"/>
    <x v="22"/>
    <s v="S"/>
    <s v="Silver"/>
    <x v="1"/>
    <n v="4.2"/>
    <s v="No"/>
    <s v="PayPal"/>
    <s v="Free Shipping"/>
    <s v="No"/>
    <s v="No"/>
    <n v="46"/>
    <x v="1"/>
    <s v="Monthly"/>
    <n v="0"/>
    <x v="1"/>
  </r>
  <r>
    <n v="1906"/>
    <n v="47"/>
    <s v="Male"/>
    <s v="Boots"/>
    <x v="1"/>
    <n v="35"/>
    <x v="37"/>
    <s v="M"/>
    <s v="Teal"/>
    <x v="2"/>
    <n v="4.9000000000000004"/>
    <s v="No"/>
    <s v="Debit Card"/>
    <s v="2-Day Shipping"/>
    <s v="No"/>
    <s v="No"/>
    <n v="14"/>
    <x v="4"/>
    <s v="Fortnightly"/>
    <n v="0"/>
    <x v="0"/>
  </r>
  <r>
    <n v="1907"/>
    <n v="23"/>
    <s v="Male"/>
    <s v="Backpack"/>
    <x v="3"/>
    <n v="30"/>
    <x v="34"/>
    <s v="M"/>
    <s v="Green"/>
    <x v="1"/>
    <n v="4.5999999999999996"/>
    <s v="No"/>
    <s v="Bank Transfer"/>
    <s v="2-Day Shipping"/>
    <s v="No"/>
    <s v="No"/>
    <n v="24"/>
    <x v="3"/>
    <s v="Fortnightly"/>
    <n v="0"/>
    <x v="1"/>
  </r>
  <r>
    <n v="1908"/>
    <n v="69"/>
    <s v="Male"/>
    <s v="Skirt"/>
    <x v="0"/>
    <n v="74"/>
    <x v="35"/>
    <s v="L"/>
    <s v="Orange"/>
    <x v="3"/>
    <n v="4.8"/>
    <s v="No"/>
    <s v="Cash"/>
    <s v="Store Pickup"/>
    <s v="No"/>
    <s v="No"/>
    <n v="36"/>
    <x v="2"/>
    <s v="Every 3 Months"/>
    <n v="0"/>
    <x v="0"/>
  </r>
  <r>
    <n v="1909"/>
    <n v="18"/>
    <s v="Male"/>
    <s v="Scarf"/>
    <x v="3"/>
    <n v="71"/>
    <x v="42"/>
    <s v="XL"/>
    <s v="Charcoal"/>
    <x v="0"/>
    <n v="2.7"/>
    <s v="No"/>
    <s v="Credit Card"/>
    <s v="Next Day Air"/>
    <s v="No"/>
    <s v="No"/>
    <n v="19"/>
    <x v="5"/>
    <s v="Bi-Weekly"/>
    <n v="0"/>
    <x v="1"/>
  </r>
  <r>
    <n v="1910"/>
    <n v="50"/>
    <s v="Male"/>
    <s v="Sweater"/>
    <x v="0"/>
    <n v="84"/>
    <x v="0"/>
    <s v="S"/>
    <s v="Black"/>
    <x v="1"/>
    <n v="4.3"/>
    <s v="No"/>
    <s v="PayPal"/>
    <s v="Store Pickup"/>
    <s v="No"/>
    <s v="No"/>
    <n v="12"/>
    <x v="2"/>
    <s v="Monthly"/>
    <n v="0"/>
    <x v="0"/>
  </r>
  <r>
    <n v="1911"/>
    <n v="29"/>
    <s v="Male"/>
    <s v="Sandals"/>
    <x v="1"/>
    <n v="38"/>
    <x v="14"/>
    <s v="S"/>
    <s v="Yellow"/>
    <x v="3"/>
    <n v="3.8"/>
    <s v="No"/>
    <s v="Venmo"/>
    <s v="Express"/>
    <s v="No"/>
    <s v="No"/>
    <n v="13"/>
    <x v="5"/>
    <s v="Quarterly"/>
    <n v="0"/>
    <x v="3"/>
  </r>
  <r>
    <n v="1912"/>
    <n v="65"/>
    <s v="Male"/>
    <s v="Jewelry"/>
    <x v="3"/>
    <n v="81"/>
    <x v="28"/>
    <s v="M"/>
    <s v="Gray"/>
    <x v="1"/>
    <n v="4.9000000000000004"/>
    <s v="No"/>
    <s v="Credit Card"/>
    <s v="Express"/>
    <s v="No"/>
    <s v="No"/>
    <n v="32"/>
    <x v="5"/>
    <s v="Bi-Weekly"/>
    <n v="0"/>
    <x v="0"/>
  </r>
  <r>
    <n v="1913"/>
    <n v="29"/>
    <s v="Male"/>
    <s v="Sweater"/>
    <x v="0"/>
    <n v="56"/>
    <x v="24"/>
    <s v="S"/>
    <s v="Charcoal"/>
    <x v="0"/>
    <n v="3.4"/>
    <s v="No"/>
    <s v="Cash"/>
    <s v="2-Day Shipping"/>
    <s v="No"/>
    <s v="No"/>
    <n v="5"/>
    <x v="2"/>
    <s v="Bi-Weekly"/>
    <n v="0"/>
    <x v="3"/>
  </r>
  <r>
    <n v="1914"/>
    <n v="49"/>
    <s v="Male"/>
    <s v="Skirt"/>
    <x v="0"/>
    <n v="48"/>
    <x v="0"/>
    <s v="M"/>
    <s v="Peach"/>
    <x v="0"/>
    <n v="3.6"/>
    <s v="No"/>
    <s v="Venmo"/>
    <s v="Express"/>
    <s v="No"/>
    <s v="No"/>
    <n v="29"/>
    <x v="1"/>
    <s v="Annually"/>
    <n v="0"/>
    <x v="0"/>
  </r>
  <r>
    <n v="1915"/>
    <n v="28"/>
    <s v="Male"/>
    <s v="Shorts"/>
    <x v="0"/>
    <n v="97"/>
    <x v="29"/>
    <s v="L"/>
    <s v="Green"/>
    <x v="3"/>
    <n v="3.4"/>
    <s v="No"/>
    <s v="Venmo"/>
    <s v="Standard"/>
    <s v="No"/>
    <s v="No"/>
    <n v="40"/>
    <x v="2"/>
    <s v="Fortnightly"/>
    <n v="0"/>
    <x v="3"/>
  </r>
  <r>
    <n v="1916"/>
    <n v="51"/>
    <s v="Male"/>
    <s v="Backpack"/>
    <x v="3"/>
    <n v="74"/>
    <x v="15"/>
    <s v="M"/>
    <s v="Magenta"/>
    <x v="3"/>
    <n v="4.7"/>
    <s v="No"/>
    <s v="PayPal"/>
    <s v="2-Day Shipping"/>
    <s v="No"/>
    <s v="No"/>
    <n v="44"/>
    <x v="1"/>
    <s v="Weekly"/>
    <n v="0"/>
    <x v="0"/>
  </r>
  <r>
    <n v="1917"/>
    <n v="26"/>
    <s v="Male"/>
    <s v="Hoodie"/>
    <x v="0"/>
    <n v="50"/>
    <x v="39"/>
    <s v="S"/>
    <s v="Beige"/>
    <x v="0"/>
    <n v="3"/>
    <s v="No"/>
    <s v="PayPal"/>
    <s v="Next Day Air"/>
    <s v="No"/>
    <s v="No"/>
    <n v="3"/>
    <x v="5"/>
    <s v="Bi-Weekly"/>
    <n v="0"/>
    <x v="3"/>
  </r>
  <r>
    <n v="1918"/>
    <n v="38"/>
    <s v="Male"/>
    <s v="Skirt"/>
    <x v="0"/>
    <n v="71"/>
    <x v="11"/>
    <s v="L"/>
    <s v="Black"/>
    <x v="0"/>
    <n v="3.4"/>
    <s v="No"/>
    <s v="Venmo"/>
    <s v="Free Shipping"/>
    <s v="No"/>
    <s v="No"/>
    <n v="35"/>
    <x v="3"/>
    <s v="Bi-Weekly"/>
    <n v="0"/>
    <x v="2"/>
  </r>
  <r>
    <n v="1919"/>
    <n v="35"/>
    <s v="Male"/>
    <s v="Skirt"/>
    <x v="0"/>
    <n v="33"/>
    <x v="37"/>
    <s v="S"/>
    <s v="Purple"/>
    <x v="2"/>
    <n v="4.5999999999999996"/>
    <s v="No"/>
    <s v="PayPal"/>
    <s v="Standard"/>
    <s v="No"/>
    <s v="No"/>
    <n v="33"/>
    <x v="5"/>
    <s v="Monthly"/>
    <n v="0"/>
    <x v="3"/>
  </r>
  <r>
    <n v="1920"/>
    <n v="34"/>
    <s v="Male"/>
    <s v="Backpack"/>
    <x v="3"/>
    <n v="56"/>
    <x v="41"/>
    <s v="M"/>
    <s v="Olive"/>
    <x v="2"/>
    <n v="3.1"/>
    <s v="No"/>
    <s v="Credit Card"/>
    <s v="Express"/>
    <s v="No"/>
    <s v="No"/>
    <n v="20"/>
    <x v="3"/>
    <s v="Bi-Weekly"/>
    <n v="0"/>
    <x v="3"/>
  </r>
  <r>
    <n v="1921"/>
    <n v="51"/>
    <s v="Male"/>
    <s v="Blouse"/>
    <x v="0"/>
    <n v="84"/>
    <x v="39"/>
    <s v="M"/>
    <s v="Purple"/>
    <x v="1"/>
    <n v="2.8"/>
    <s v="No"/>
    <s v="Bank Transfer"/>
    <s v="Standard"/>
    <s v="No"/>
    <s v="No"/>
    <n v="40"/>
    <x v="1"/>
    <s v="Every 3 Months"/>
    <n v="0"/>
    <x v="0"/>
  </r>
  <r>
    <n v="1922"/>
    <n v="47"/>
    <s v="Male"/>
    <s v="Shirt"/>
    <x v="0"/>
    <n v="36"/>
    <x v="49"/>
    <s v="M"/>
    <s v="Green"/>
    <x v="3"/>
    <n v="3.5"/>
    <s v="No"/>
    <s v="Cash"/>
    <s v="Store Pickup"/>
    <s v="No"/>
    <s v="No"/>
    <n v="13"/>
    <x v="0"/>
    <s v="Annually"/>
    <n v="0"/>
    <x v="0"/>
  </r>
  <r>
    <n v="1923"/>
    <n v="18"/>
    <s v="Male"/>
    <s v="Gloves"/>
    <x v="3"/>
    <n v="63"/>
    <x v="0"/>
    <s v="S"/>
    <s v="Peach"/>
    <x v="2"/>
    <n v="4.5999999999999996"/>
    <s v="No"/>
    <s v="PayPal"/>
    <s v="Standard"/>
    <s v="No"/>
    <s v="No"/>
    <n v="9"/>
    <x v="3"/>
    <s v="Monthly"/>
    <n v="0"/>
    <x v="1"/>
  </r>
  <r>
    <n v="1924"/>
    <n v="64"/>
    <s v="Male"/>
    <s v="Sandals"/>
    <x v="1"/>
    <n v="36"/>
    <x v="43"/>
    <s v="XL"/>
    <s v="Blue"/>
    <x v="2"/>
    <n v="4.3"/>
    <s v="No"/>
    <s v="PayPal"/>
    <s v="Standard"/>
    <s v="No"/>
    <s v="No"/>
    <n v="7"/>
    <x v="1"/>
    <s v="Annually"/>
    <n v="0"/>
    <x v="0"/>
  </r>
  <r>
    <n v="1925"/>
    <n v="30"/>
    <s v="Male"/>
    <s v="Jacket"/>
    <x v="2"/>
    <n v="63"/>
    <x v="49"/>
    <s v="M"/>
    <s v="Gray"/>
    <x v="3"/>
    <n v="4.8"/>
    <s v="No"/>
    <s v="Venmo"/>
    <s v="Free Shipping"/>
    <s v="No"/>
    <s v="No"/>
    <n v="42"/>
    <x v="3"/>
    <s v="Quarterly"/>
    <n v="0"/>
    <x v="3"/>
  </r>
  <r>
    <n v="1926"/>
    <n v="59"/>
    <s v="Male"/>
    <s v="Sneakers"/>
    <x v="1"/>
    <n v="32"/>
    <x v="40"/>
    <s v="L"/>
    <s v="Black"/>
    <x v="0"/>
    <n v="2.9"/>
    <s v="No"/>
    <s v="Venmo"/>
    <s v="Express"/>
    <s v="No"/>
    <s v="No"/>
    <n v="44"/>
    <x v="2"/>
    <s v="Fortnightly"/>
    <n v="0"/>
    <x v="0"/>
  </r>
  <r>
    <n v="1927"/>
    <n v="66"/>
    <s v="Male"/>
    <s v="Backpack"/>
    <x v="3"/>
    <n v="93"/>
    <x v="35"/>
    <s v="M"/>
    <s v="Silver"/>
    <x v="1"/>
    <n v="3"/>
    <s v="No"/>
    <s v="Venmo"/>
    <s v="Express"/>
    <s v="No"/>
    <s v="No"/>
    <n v="6"/>
    <x v="3"/>
    <s v="Annually"/>
    <n v="0"/>
    <x v="0"/>
  </r>
  <r>
    <n v="1928"/>
    <n v="40"/>
    <s v="Male"/>
    <s v="Pants"/>
    <x v="0"/>
    <n v="29"/>
    <x v="20"/>
    <s v="M"/>
    <s v="Pink"/>
    <x v="2"/>
    <n v="2.9"/>
    <s v="No"/>
    <s v="Debit Card"/>
    <s v="Standard"/>
    <s v="No"/>
    <s v="No"/>
    <n v="8"/>
    <x v="1"/>
    <s v="Every 3 Months"/>
    <n v="0"/>
    <x v="2"/>
  </r>
  <r>
    <n v="1929"/>
    <n v="25"/>
    <s v="Male"/>
    <s v="Sunglasses"/>
    <x v="3"/>
    <n v="92"/>
    <x v="16"/>
    <s v="S"/>
    <s v="Lavender"/>
    <x v="2"/>
    <n v="3.7"/>
    <s v="No"/>
    <s v="PayPal"/>
    <s v="Standard"/>
    <s v="No"/>
    <s v="No"/>
    <n v="10"/>
    <x v="3"/>
    <s v="Weekly"/>
    <n v="0"/>
    <x v="1"/>
  </r>
  <r>
    <n v="1930"/>
    <n v="59"/>
    <s v="Male"/>
    <s v="Jeans"/>
    <x v="0"/>
    <n v="33"/>
    <x v="11"/>
    <s v="L"/>
    <s v="Brown"/>
    <x v="3"/>
    <n v="4.7"/>
    <s v="No"/>
    <s v="Debit Card"/>
    <s v="Standard"/>
    <s v="No"/>
    <s v="No"/>
    <n v="46"/>
    <x v="0"/>
    <s v="Quarterly"/>
    <n v="0"/>
    <x v="0"/>
  </r>
  <r>
    <n v="1931"/>
    <n v="66"/>
    <s v="Male"/>
    <s v="Pants"/>
    <x v="0"/>
    <n v="52"/>
    <x v="17"/>
    <s v="L"/>
    <s v="Turquoise"/>
    <x v="1"/>
    <n v="3.5"/>
    <s v="No"/>
    <s v="Bank Transfer"/>
    <s v="Store Pickup"/>
    <s v="No"/>
    <s v="No"/>
    <n v="26"/>
    <x v="1"/>
    <s v="Weekly"/>
    <n v="0"/>
    <x v="0"/>
  </r>
  <r>
    <n v="1932"/>
    <n v="54"/>
    <s v="Male"/>
    <s v="Jewelry"/>
    <x v="3"/>
    <n v="42"/>
    <x v="26"/>
    <s v="S"/>
    <s v="Olive"/>
    <x v="1"/>
    <n v="2.7"/>
    <s v="No"/>
    <s v="PayPal"/>
    <s v="Store Pickup"/>
    <s v="No"/>
    <s v="No"/>
    <n v="6"/>
    <x v="5"/>
    <s v="Every 3 Months"/>
    <n v="0"/>
    <x v="0"/>
  </r>
  <r>
    <n v="1933"/>
    <n v="42"/>
    <s v="Male"/>
    <s v="Hoodie"/>
    <x v="0"/>
    <n v="36"/>
    <x v="33"/>
    <s v="M"/>
    <s v="White"/>
    <x v="1"/>
    <n v="5"/>
    <s v="No"/>
    <s v="Cash"/>
    <s v="Free Shipping"/>
    <s v="No"/>
    <s v="No"/>
    <n v="47"/>
    <x v="2"/>
    <s v="Every 3 Months"/>
    <n v="0"/>
    <x v="2"/>
  </r>
  <r>
    <n v="1934"/>
    <n v="48"/>
    <s v="Male"/>
    <s v="Sandals"/>
    <x v="1"/>
    <n v="67"/>
    <x v="6"/>
    <s v="L"/>
    <s v="Violet"/>
    <x v="2"/>
    <n v="4.0999999999999996"/>
    <s v="No"/>
    <s v="Cash"/>
    <s v="Next Day Air"/>
    <s v="No"/>
    <s v="No"/>
    <n v="28"/>
    <x v="0"/>
    <s v="Annually"/>
    <n v="0"/>
    <x v="0"/>
  </r>
  <r>
    <n v="1935"/>
    <n v="34"/>
    <s v="Male"/>
    <s v="Jacket"/>
    <x v="2"/>
    <n v="43"/>
    <x v="49"/>
    <s v="L"/>
    <s v="Gold"/>
    <x v="0"/>
    <n v="2.7"/>
    <s v="No"/>
    <s v="Debit Card"/>
    <s v="Free Shipping"/>
    <s v="No"/>
    <s v="No"/>
    <n v="23"/>
    <x v="4"/>
    <s v="Annually"/>
    <n v="0"/>
    <x v="3"/>
  </r>
  <r>
    <n v="1936"/>
    <n v="19"/>
    <s v="Male"/>
    <s v="Blouse"/>
    <x v="0"/>
    <n v="68"/>
    <x v="17"/>
    <s v="XL"/>
    <s v="Violet"/>
    <x v="1"/>
    <n v="4.8"/>
    <s v="No"/>
    <s v="Debit Card"/>
    <s v="Free Shipping"/>
    <s v="No"/>
    <s v="No"/>
    <n v="45"/>
    <x v="1"/>
    <s v="Fortnightly"/>
    <n v="0"/>
    <x v="1"/>
  </r>
  <r>
    <n v="1937"/>
    <n v="70"/>
    <s v="Male"/>
    <s v="Jewelry"/>
    <x v="3"/>
    <n v="60"/>
    <x v="46"/>
    <s v="S"/>
    <s v="Teal"/>
    <x v="2"/>
    <n v="4.3"/>
    <s v="No"/>
    <s v="PayPal"/>
    <s v="2-Day Shipping"/>
    <s v="No"/>
    <s v="No"/>
    <n v="44"/>
    <x v="3"/>
    <s v="Every 3 Months"/>
    <n v="0"/>
    <x v="0"/>
  </r>
  <r>
    <n v="1938"/>
    <n v="43"/>
    <s v="Male"/>
    <s v="Socks"/>
    <x v="0"/>
    <n v="53"/>
    <x v="12"/>
    <s v="M"/>
    <s v="Olive"/>
    <x v="2"/>
    <n v="4.5"/>
    <s v="No"/>
    <s v="Venmo"/>
    <s v="2-Day Shipping"/>
    <s v="No"/>
    <s v="No"/>
    <n v="11"/>
    <x v="4"/>
    <s v="Monthly"/>
    <n v="0"/>
    <x v="2"/>
  </r>
  <r>
    <n v="1939"/>
    <n v="46"/>
    <s v="Male"/>
    <s v="Jeans"/>
    <x v="0"/>
    <n v="23"/>
    <x v="0"/>
    <s v="L"/>
    <s v="Blue"/>
    <x v="1"/>
    <n v="3.8"/>
    <s v="No"/>
    <s v="Bank Transfer"/>
    <s v="Standard"/>
    <s v="No"/>
    <s v="No"/>
    <n v="39"/>
    <x v="5"/>
    <s v="Bi-Weekly"/>
    <n v="0"/>
    <x v="0"/>
  </r>
  <r>
    <n v="1940"/>
    <n v="66"/>
    <s v="Male"/>
    <s v="Gloves"/>
    <x v="3"/>
    <n v="57"/>
    <x v="31"/>
    <s v="L"/>
    <s v="Magenta"/>
    <x v="0"/>
    <n v="3.7"/>
    <s v="No"/>
    <s v="Bank Transfer"/>
    <s v="Store Pickup"/>
    <s v="No"/>
    <s v="No"/>
    <n v="20"/>
    <x v="3"/>
    <s v="Every 3 Months"/>
    <n v="0"/>
    <x v="0"/>
  </r>
  <r>
    <n v="1941"/>
    <n v="50"/>
    <s v="Male"/>
    <s v="Hat"/>
    <x v="3"/>
    <n v="89"/>
    <x v="29"/>
    <s v="L"/>
    <s v="Gray"/>
    <x v="3"/>
    <n v="3.9"/>
    <s v="No"/>
    <s v="Venmo"/>
    <s v="2-Day Shipping"/>
    <s v="No"/>
    <s v="No"/>
    <n v="48"/>
    <x v="3"/>
    <s v="Fortnightly"/>
    <n v="0"/>
    <x v="0"/>
  </r>
  <r>
    <n v="1942"/>
    <n v="55"/>
    <s v="Male"/>
    <s v="Shoes"/>
    <x v="1"/>
    <n v="99"/>
    <x v="34"/>
    <s v="XL"/>
    <s v="Peach"/>
    <x v="0"/>
    <n v="3.3"/>
    <s v="No"/>
    <s v="PayPal"/>
    <s v="Standard"/>
    <s v="No"/>
    <s v="No"/>
    <n v="46"/>
    <x v="2"/>
    <s v="Quarterly"/>
    <n v="0"/>
    <x v="0"/>
  </r>
  <r>
    <n v="1943"/>
    <n v="63"/>
    <s v="Male"/>
    <s v="Pants"/>
    <x v="0"/>
    <n v="28"/>
    <x v="15"/>
    <s v="M"/>
    <s v="Cyan"/>
    <x v="3"/>
    <n v="3.4"/>
    <s v="No"/>
    <s v="Credit Card"/>
    <s v="Express"/>
    <s v="No"/>
    <s v="No"/>
    <n v="22"/>
    <x v="3"/>
    <s v="Monthly"/>
    <n v="0"/>
    <x v="0"/>
  </r>
  <r>
    <n v="1944"/>
    <n v="32"/>
    <s v="Male"/>
    <s v="Socks"/>
    <x v="0"/>
    <n v="53"/>
    <x v="48"/>
    <s v="L"/>
    <s v="Violet"/>
    <x v="2"/>
    <n v="3.8"/>
    <s v="No"/>
    <s v="Debit Card"/>
    <s v="Next Day Air"/>
    <s v="No"/>
    <s v="No"/>
    <n v="45"/>
    <x v="1"/>
    <s v="Annually"/>
    <n v="0"/>
    <x v="3"/>
  </r>
  <r>
    <n v="1945"/>
    <n v="30"/>
    <s v="Male"/>
    <s v="Hoodie"/>
    <x v="0"/>
    <n v="45"/>
    <x v="10"/>
    <s v="M"/>
    <s v="Gold"/>
    <x v="0"/>
    <n v="2.7"/>
    <s v="No"/>
    <s v="Debit Card"/>
    <s v="Free Shipping"/>
    <s v="No"/>
    <s v="No"/>
    <n v="49"/>
    <x v="1"/>
    <s v="Every 3 Months"/>
    <n v="0"/>
    <x v="3"/>
  </r>
  <r>
    <n v="1946"/>
    <n v="35"/>
    <s v="Male"/>
    <s v="Hoodie"/>
    <x v="0"/>
    <n v="38"/>
    <x v="42"/>
    <s v="M"/>
    <s v="Gold"/>
    <x v="0"/>
    <n v="2.9"/>
    <s v="No"/>
    <s v="Debit Card"/>
    <s v="2-Day Shipping"/>
    <s v="No"/>
    <s v="No"/>
    <n v="9"/>
    <x v="2"/>
    <s v="Every 3 Months"/>
    <n v="0"/>
    <x v="3"/>
  </r>
  <r>
    <n v="1947"/>
    <n v="59"/>
    <s v="Male"/>
    <s v="Pants"/>
    <x v="0"/>
    <n v="49"/>
    <x v="7"/>
    <s v="M"/>
    <s v="White"/>
    <x v="2"/>
    <n v="4.5"/>
    <s v="No"/>
    <s v="Bank Transfer"/>
    <s v="Standard"/>
    <s v="No"/>
    <s v="No"/>
    <n v="41"/>
    <x v="2"/>
    <s v="Quarterly"/>
    <n v="0"/>
    <x v="0"/>
  </r>
  <r>
    <n v="1948"/>
    <n v="59"/>
    <s v="Male"/>
    <s v="Shirt"/>
    <x v="0"/>
    <n v="32"/>
    <x v="14"/>
    <s v="M"/>
    <s v="Gray"/>
    <x v="2"/>
    <n v="2.6"/>
    <s v="No"/>
    <s v="Debit Card"/>
    <s v="Store Pickup"/>
    <s v="No"/>
    <s v="No"/>
    <n v="2"/>
    <x v="3"/>
    <s v="Monthly"/>
    <n v="0"/>
    <x v="0"/>
  </r>
  <r>
    <n v="1949"/>
    <n v="54"/>
    <s v="Male"/>
    <s v="T-shirt"/>
    <x v="0"/>
    <n v="37"/>
    <x v="39"/>
    <s v="L"/>
    <s v="Brown"/>
    <x v="0"/>
    <n v="3.1"/>
    <s v="No"/>
    <s v="Debit Card"/>
    <s v="Next Day Air"/>
    <s v="No"/>
    <s v="No"/>
    <n v="39"/>
    <x v="3"/>
    <s v="Bi-Weekly"/>
    <n v="0"/>
    <x v="0"/>
  </r>
  <r>
    <n v="1950"/>
    <n v="63"/>
    <s v="Male"/>
    <s v="Dress"/>
    <x v="0"/>
    <n v="80"/>
    <x v="43"/>
    <s v="L"/>
    <s v="Gray"/>
    <x v="0"/>
    <n v="4.7"/>
    <s v="No"/>
    <s v="Venmo"/>
    <s v="Store Pickup"/>
    <s v="No"/>
    <s v="No"/>
    <n v="12"/>
    <x v="3"/>
    <s v="Quarterly"/>
    <n v="0"/>
    <x v="0"/>
  </r>
  <r>
    <n v="1951"/>
    <n v="43"/>
    <s v="Male"/>
    <s v="Backpack"/>
    <x v="3"/>
    <n v="78"/>
    <x v="10"/>
    <s v="L"/>
    <s v="Blue"/>
    <x v="2"/>
    <n v="4.5999999999999996"/>
    <s v="No"/>
    <s v="Cash"/>
    <s v="Free Shipping"/>
    <s v="No"/>
    <s v="No"/>
    <n v="26"/>
    <x v="3"/>
    <s v="Every 3 Months"/>
    <n v="0"/>
    <x v="2"/>
  </r>
  <r>
    <n v="1952"/>
    <n v="33"/>
    <s v="Male"/>
    <s v="Gloves"/>
    <x v="3"/>
    <n v="53"/>
    <x v="39"/>
    <s v="L"/>
    <s v="Gold"/>
    <x v="2"/>
    <n v="2.7"/>
    <s v="No"/>
    <s v="Bank Transfer"/>
    <s v="Next Day Air"/>
    <s v="No"/>
    <s v="No"/>
    <n v="32"/>
    <x v="4"/>
    <s v="Bi-Weekly"/>
    <n v="0"/>
    <x v="3"/>
  </r>
  <r>
    <n v="1953"/>
    <n v="57"/>
    <s v="Male"/>
    <s v="Shoes"/>
    <x v="1"/>
    <n v="82"/>
    <x v="33"/>
    <s v="L"/>
    <s v="Yellow"/>
    <x v="2"/>
    <n v="4.5999999999999996"/>
    <s v="No"/>
    <s v="PayPal"/>
    <s v="2-Day Shipping"/>
    <s v="No"/>
    <s v="No"/>
    <n v="50"/>
    <x v="1"/>
    <s v="Bi-Weekly"/>
    <n v="0"/>
    <x v="0"/>
  </r>
  <r>
    <n v="1954"/>
    <n v="25"/>
    <s v="Male"/>
    <s v="Skirt"/>
    <x v="0"/>
    <n v="33"/>
    <x v="24"/>
    <s v="XL"/>
    <s v="Green"/>
    <x v="1"/>
    <n v="4.8"/>
    <s v="No"/>
    <s v="Cash"/>
    <s v="Standard"/>
    <s v="No"/>
    <s v="No"/>
    <n v="3"/>
    <x v="3"/>
    <s v="Fortnightly"/>
    <n v="0"/>
    <x v="1"/>
  </r>
  <r>
    <n v="1955"/>
    <n v="26"/>
    <s v="Male"/>
    <s v="Gloves"/>
    <x v="3"/>
    <n v="77"/>
    <x v="24"/>
    <s v="M"/>
    <s v="Pink"/>
    <x v="0"/>
    <n v="4.2"/>
    <s v="No"/>
    <s v="Bank Transfer"/>
    <s v="Free Shipping"/>
    <s v="No"/>
    <s v="No"/>
    <n v="3"/>
    <x v="0"/>
    <s v="Quarterly"/>
    <n v="0"/>
    <x v="3"/>
  </r>
  <r>
    <n v="1956"/>
    <n v="50"/>
    <s v="Male"/>
    <s v="Hoodie"/>
    <x v="0"/>
    <n v="56"/>
    <x v="1"/>
    <s v="M"/>
    <s v="Pink"/>
    <x v="0"/>
    <n v="4.9000000000000004"/>
    <s v="No"/>
    <s v="Credit Card"/>
    <s v="Express"/>
    <s v="No"/>
    <s v="No"/>
    <n v="37"/>
    <x v="1"/>
    <s v="Monthly"/>
    <n v="0"/>
    <x v="0"/>
  </r>
  <r>
    <n v="1957"/>
    <n v="70"/>
    <s v="Male"/>
    <s v="Socks"/>
    <x v="0"/>
    <n v="37"/>
    <x v="19"/>
    <s v="M"/>
    <s v="Pink"/>
    <x v="0"/>
    <n v="4.9000000000000004"/>
    <s v="No"/>
    <s v="Cash"/>
    <s v="Express"/>
    <s v="No"/>
    <s v="No"/>
    <n v="20"/>
    <x v="2"/>
    <s v="Fortnightly"/>
    <n v="0"/>
    <x v="0"/>
  </r>
  <r>
    <n v="1958"/>
    <n v="68"/>
    <s v="Male"/>
    <s v="Gloves"/>
    <x v="3"/>
    <n v="54"/>
    <x v="36"/>
    <s v="M"/>
    <s v="Cyan"/>
    <x v="1"/>
    <n v="4.5"/>
    <s v="No"/>
    <s v="Venmo"/>
    <s v="Store Pickup"/>
    <s v="No"/>
    <s v="No"/>
    <n v="26"/>
    <x v="1"/>
    <s v="Bi-Weekly"/>
    <n v="0"/>
    <x v="0"/>
  </r>
  <r>
    <n v="1959"/>
    <n v="39"/>
    <s v="Male"/>
    <s v="Shorts"/>
    <x v="0"/>
    <n v="67"/>
    <x v="22"/>
    <s v="M"/>
    <s v="Gray"/>
    <x v="0"/>
    <n v="2.7"/>
    <s v="No"/>
    <s v="Cash"/>
    <s v="Store Pickup"/>
    <s v="No"/>
    <s v="No"/>
    <n v="47"/>
    <x v="1"/>
    <s v="Quarterly"/>
    <n v="0"/>
    <x v="2"/>
  </r>
  <r>
    <n v="1960"/>
    <n v="46"/>
    <s v="Male"/>
    <s v="Shoes"/>
    <x v="1"/>
    <n v="90"/>
    <x v="24"/>
    <s v="M"/>
    <s v="White"/>
    <x v="3"/>
    <n v="3.1"/>
    <s v="No"/>
    <s v="Credit Card"/>
    <s v="Store Pickup"/>
    <s v="No"/>
    <s v="No"/>
    <n v="7"/>
    <x v="2"/>
    <s v="Every 3 Months"/>
    <n v="0"/>
    <x v="0"/>
  </r>
  <r>
    <n v="1961"/>
    <n v="57"/>
    <s v="Male"/>
    <s v="Jeans"/>
    <x v="0"/>
    <n v="72"/>
    <x v="2"/>
    <s v="L"/>
    <s v="Red"/>
    <x v="2"/>
    <n v="3.3"/>
    <s v="No"/>
    <s v="Bank Transfer"/>
    <s v="2-Day Shipping"/>
    <s v="No"/>
    <s v="No"/>
    <n v="40"/>
    <x v="2"/>
    <s v="Annually"/>
    <n v="0"/>
    <x v="0"/>
  </r>
  <r>
    <n v="1962"/>
    <n v="47"/>
    <s v="Male"/>
    <s v="Boots"/>
    <x v="1"/>
    <n v="59"/>
    <x v="22"/>
    <s v="L"/>
    <s v="Black"/>
    <x v="2"/>
    <n v="2.6"/>
    <s v="No"/>
    <s v="Cash"/>
    <s v="Free Shipping"/>
    <s v="No"/>
    <s v="No"/>
    <n v="45"/>
    <x v="5"/>
    <s v="Quarterly"/>
    <n v="0"/>
    <x v="0"/>
  </r>
  <r>
    <n v="1963"/>
    <n v="40"/>
    <s v="Male"/>
    <s v="Hat"/>
    <x v="3"/>
    <n v="45"/>
    <x v="44"/>
    <s v="M"/>
    <s v="Silver"/>
    <x v="3"/>
    <n v="4.4000000000000004"/>
    <s v="No"/>
    <s v="Debit Card"/>
    <s v="Standard"/>
    <s v="No"/>
    <s v="No"/>
    <n v="20"/>
    <x v="3"/>
    <s v="Fortnightly"/>
    <n v="0"/>
    <x v="2"/>
  </r>
  <r>
    <n v="1964"/>
    <n v="52"/>
    <s v="Male"/>
    <s v="Shorts"/>
    <x v="0"/>
    <n v="30"/>
    <x v="49"/>
    <s v="L"/>
    <s v="Pink"/>
    <x v="1"/>
    <n v="3.9"/>
    <s v="No"/>
    <s v="Bank Transfer"/>
    <s v="Standard"/>
    <s v="No"/>
    <s v="No"/>
    <n v="11"/>
    <x v="2"/>
    <s v="Weekly"/>
    <n v="0"/>
    <x v="0"/>
  </r>
  <r>
    <n v="1965"/>
    <n v="40"/>
    <s v="Male"/>
    <s v="Pants"/>
    <x v="0"/>
    <n v="51"/>
    <x v="8"/>
    <s v="S"/>
    <s v="Cyan"/>
    <x v="2"/>
    <n v="4.5999999999999996"/>
    <s v="No"/>
    <s v="PayPal"/>
    <s v="Express"/>
    <s v="No"/>
    <s v="No"/>
    <n v="50"/>
    <x v="5"/>
    <s v="Monthly"/>
    <n v="0"/>
    <x v="2"/>
  </r>
  <r>
    <n v="1966"/>
    <n v="67"/>
    <s v="Male"/>
    <s v="Sweater"/>
    <x v="0"/>
    <n v="90"/>
    <x v="27"/>
    <s v="M"/>
    <s v="White"/>
    <x v="3"/>
    <n v="4.9000000000000004"/>
    <s v="No"/>
    <s v="Venmo"/>
    <s v="Express"/>
    <s v="No"/>
    <s v="No"/>
    <n v="25"/>
    <x v="5"/>
    <s v="Quarterly"/>
    <n v="0"/>
    <x v="0"/>
  </r>
  <r>
    <n v="1967"/>
    <n v="67"/>
    <s v="Male"/>
    <s v="Jacket"/>
    <x v="2"/>
    <n v="95"/>
    <x v="27"/>
    <s v="XL"/>
    <s v="Purple"/>
    <x v="0"/>
    <n v="3.7"/>
    <s v="No"/>
    <s v="Venmo"/>
    <s v="Express"/>
    <s v="No"/>
    <s v="No"/>
    <n v="5"/>
    <x v="2"/>
    <s v="Fortnightly"/>
    <n v="0"/>
    <x v="0"/>
  </r>
  <r>
    <n v="1968"/>
    <n v="37"/>
    <s v="Male"/>
    <s v="Dress"/>
    <x v="0"/>
    <n v="81"/>
    <x v="42"/>
    <s v="L"/>
    <s v="Yellow"/>
    <x v="3"/>
    <n v="3.7"/>
    <s v="No"/>
    <s v="Venmo"/>
    <s v="Standard"/>
    <s v="No"/>
    <s v="No"/>
    <n v="4"/>
    <x v="0"/>
    <s v="Annually"/>
    <n v="0"/>
    <x v="2"/>
  </r>
  <r>
    <n v="1969"/>
    <n v="67"/>
    <s v="Male"/>
    <s v="Shirt"/>
    <x v="0"/>
    <n v="70"/>
    <x v="46"/>
    <s v="S"/>
    <s v="Blue"/>
    <x v="1"/>
    <n v="4.2"/>
    <s v="No"/>
    <s v="Credit Card"/>
    <s v="Standard"/>
    <s v="No"/>
    <s v="No"/>
    <n v="25"/>
    <x v="2"/>
    <s v="Weekly"/>
    <n v="0"/>
    <x v="0"/>
  </r>
  <r>
    <n v="1970"/>
    <n v="64"/>
    <s v="Male"/>
    <s v="Dress"/>
    <x v="0"/>
    <n v="32"/>
    <x v="7"/>
    <s v="S"/>
    <s v="Cyan"/>
    <x v="0"/>
    <n v="3.5"/>
    <s v="No"/>
    <s v="PayPal"/>
    <s v="Next Day Air"/>
    <s v="No"/>
    <s v="No"/>
    <n v="11"/>
    <x v="4"/>
    <s v="Fortnightly"/>
    <n v="0"/>
    <x v="0"/>
  </r>
  <r>
    <n v="1971"/>
    <n v="28"/>
    <s v="Male"/>
    <s v="Belt"/>
    <x v="3"/>
    <n v="94"/>
    <x v="33"/>
    <s v="M"/>
    <s v="Indigo"/>
    <x v="1"/>
    <n v="2.9"/>
    <s v="No"/>
    <s v="Debit Card"/>
    <s v="Next Day Air"/>
    <s v="No"/>
    <s v="No"/>
    <n v="4"/>
    <x v="2"/>
    <s v="Bi-Weekly"/>
    <n v="0"/>
    <x v="3"/>
  </r>
  <r>
    <n v="1972"/>
    <n v="54"/>
    <s v="Male"/>
    <s v="Hat"/>
    <x v="3"/>
    <n v="29"/>
    <x v="38"/>
    <s v="XL"/>
    <s v="Indigo"/>
    <x v="1"/>
    <n v="3.4"/>
    <s v="No"/>
    <s v="PayPal"/>
    <s v="Next Day Air"/>
    <s v="No"/>
    <s v="No"/>
    <n v="1"/>
    <x v="0"/>
    <s v="Monthly"/>
    <n v="0"/>
    <x v="0"/>
  </r>
  <r>
    <n v="1973"/>
    <n v="54"/>
    <s v="Male"/>
    <s v="Backpack"/>
    <x v="3"/>
    <n v="31"/>
    <x v="7"/>
    <s v="M"/>
    <s v="Silver"/>
    <x v="2"/>
    <n v="3.3"/>
    <s v="No"/>
    <s v="Debit Card"/>
    <s v="Express"/>
    <s v="No"/>
    <s v="No"/>
    <n v="48"/>
    <x v="3"/>
    <s v="Every 3 Months"/>
    <n v="0"/>
    <x v="0"/>
  </r>
  <r>
    <n v="1974"/>
    <n v="24"/>
    <s v="Male"/>
    <s v="Skirt"/>
    <x v="0"/>
    <n v="20"/>
    <x v="33"/>
    <s v="XL"/>
    <s v="Red"/>
    <x v="3"/>
    <n v="4.5"/>
    <s v="No"/>
    <s v="Debit Card"/>
    <s v="Standard"/>
    <s v="No"/>
    <s v="No"/>
    <n v="9"/>
    <x v="0"/>
    <s v="Every 3 Months"/>
    <n v="0"/>
    <x v="1"/>
  </r>
  <r>
    <n v="1975"/>
    <n v="27"/>
    <s v="Male"/>
    <s v="Gloves"/>
    <x v="3"/>
    <n v="44"/>
    <x v="30"/>
    <s v="M"/>
    <s v="Peach"/>
    <x v="0"/>
    <n v="4.5999999999999996"/>
    <s v="No"/>
    <s v="Credit Card"/>
    <s v="2-Day Shipping"/>
    <s v="No"/>
    <s v="No"/>
    <n v="2"/>
    <x v="3"/>
    <s v="Fortnightly"/>
    <n v="0"/>
    <x v="3"/>
  </r>
  <r>
    <n v="1976"/>
    <n v="53"/>
    <s v="Male"/>
    <s v="Jacket"/>
    <x v="2"/>
    <n v="77"/>
    <x v="26"/>
    <s v="L"/>
    <s v="Turquoise"/>
    <x v="3"/>
    <n v="2.9"/>
    <s v="No"/>
    <s v="Credit Card"/>
    <s v="Express"/>
    <s v="No"/>
    <s v="No"/>
    <n v="4"/>
    <x v="1"/>
    <s v="Quarterly"/>
    <n v="0"/>
    <x v="0"/>
  </r>
  <r>
    <n v="1977"/>
    <n v="32"/>
    <s v="Male"/>
    <s v="Handbag"/>
    <x v="3"/>
    <n v="51"/>
    <x v="5"/>
    <s v="M"/>
    <s v="Pink"/>
    <x v="1"/>
    <n v="3.2"/>
    <s v="No"/>
    <s v="Debit Card"/>
    <s v="Next Day Air"/>
    <s v="No"/>
    <s v="No"/>
    <n v="43"/>
    <x v="3"/>
    <s v="Fortnightly"/>
    <n v="0"/>
    <x v="3"/>
  </r>
  <r>
    <n v="1978"/>
    <n v="24"/>
    <s v="Male"/>
    <s v="Sandals"/>
    <x v="1"/>
    <n v="49"/>
    <x v="20"/>
    <s v="M"/>
    <s v="Teal"/>
    <x v="2"/>
    <n v="2.6"/>
    <s v="No"/>
    <s v="Debit Card"/>
    <s v="Free Shipping"/>
    <s v="No"/>
    <s v="No"/>
    <n v="32"/>
    <x v="4"/>
    <s v="Annually"/>
    <n v="0"/>
    <x v="1"/>
  </r>
  <r>
    <n v="1979"/>
    <n v="45"/>
    <s v="Male"/>
    <s v="Sunglasses"/>
    <x v="3"/>
    <n v="78"/>
    <x v="2"/>
    <s v="L"/>
    <s v="Magenta"/>
    <x v="1"/>
    <n v="3.8"/>
    <s v="No"/>
    <s v="Cash"/>
    <s v="Store Pickup"/>
    <s v="No"/>
    <s v="No"/>
    <n v="1"/>
    <x v="1"/>
    <s v="Quarterly"/>
    <n v="0"/>
    <x v="2"/>
  </r>
  <r>
    <n v="1980"/>
    <n v="49"/>
    <s v="Male"/>
    <s v="Jeans"/>
    <x v="0"/>
    <n v="98"/>
    <x v="30"/>
    <s v="L"/>
    <s v="Blue"/>
    <x v="1"/>
    <n v="2.8"/>
    <s v="No"/>
    <s v="PayPal"/>
    <s v="Store Pickup"/>
    <s v="No"/>
    <s v="No"/>
    <n v="38"/>
    <x v="5"/>
    <s v="Fortnightly"/>
    <n v="0"/>
    <x v="0"/>
  </r>
  <r>
    <n v="1981"/>
    <n v="51"/>
    <s v="Male"/>
    <s v="Sandals"/>
    <x v="1"/>
    <n v="94"/>
    <x v="44"/>
    <s v="M"/>
    <s v="Green"/>
    <x v="0"/>
    <n v="4.4000000000000004"/>
    <s v="No"/>
    <s v="Venmo"/>
    <s v="Store Pickup"/>
    <s v="No"/>
    <s v="No"/>
    <n v="25"/>
    <x v="3"/>
    <s v="Fortnightly"/>
    <n v="0"/>
    <x v="0"/>
  </r>
  <r>
    <n v="1982"/>
    <n v="69"/>
    <s v="Male"/>
    <s v="Shoes"/>
    <x v="1"/>
    <n v="91"/>
    <x v="49"/>
    <s v="L"/>
    <s v="Violet"/>
    <x v="2"/>
    <n v="4.7"/>
    <s v="No"/>
    <s v="Cash"/>
    <s v="Express"/>
    <s v="No"/>
    <s v="No"/>
    <n v="42"/>
    <x v="3"/>
    <s v="Quarterly"/>
    <n v="0"/>
    <x v="0"/>
  </r>
  <r>
    <n v="1983"/>
    <n v="41"/>
    <s v="Male"/>
    <s v="Sunglasses"/>
    <x v="3"/>
    <n v="77"/>
    <x v="23"/>
    <s v="M"/>
    <s v="Turquoise"/>
    <x v="2"/>
    <n v="2.7"/>
    <s v="No"/>
    <s v="PayPal"/>
    <s v="2-Day Shipping"/>
    <s v="No"/>
    <s v="No"/>
    <n v="32"/>
    <x v="3"/>
    <s v="Monthly"/>
    <n v="0"/>
    <x v="2"/>
  </r>
  <r>
    <n v="1984"/>
    <n v="59"/>
    <s v="Male"/>
    <s v="Scarf"/>
    <x v="3"/>
    <n v="97"/>
    <x v="42"/>
    <s v="M"/>
    <s v="Pink"/>
    <x v="2"/>
    <n v="2.6"/>
    <s v="No"/>
    <s v="Credit Card"/>
    <s v="Next Day Air"/>
    <s v="No"/>
    <s v="No"/>
    <n v="21"/>
    <x v="5"/>
    <s v="Quarterly"/>
    <n v="0"/>
    <x v="0"/>
  </r>
  <r>
    <n v="1985"/>
    <n v="26"/>
    <s v="Male"/>
    <s v="Skirt"/>
    <x v="0"/>
    <n v="58"/>
    <x v="8"/>
    <s v="M"/>
    <s v="Black"/>
    <x v="2"/>
    <n v="3.4"/>
    <s v="No"/>
    <s v="Bank Transfer"/>
    <s v="2-Day Shipping"/>
    <s v="No"/>
    <s v="No"/>
    <n v="26"/>
    <x v="3"/>
    <s v="Fortnightly"/>
    <n v="0"/>
    <x v="3"/>
  </r>
  <r>
    <n v="1986"/>
    <n v="23"/>
    <s v="Male"/>
    <s v="Gloves"/>
    <x v="3"/>
    <n v="97"/>
    <x v="30"/>
    <s v="M"/>
    <s v="Gold"/>
    <x v="1"/>
    <n v="3.9"/>
    <s v="No"/>
    <s v="Cash"/>
    <s v="2-Day Shipping"/>
    <s v="No"/>
    <s v="No"/>
    <n v="6"/>
    <x v="2"/>
    <s v="Fortnightly"/>
    <n v="0"/>
    <x v="1"/>
  </r>
  <r>
    <n v="1987"/>
    <n v="62"/>
    <s v="Male"/>
    <s v="Coat"/>
    <x v="2"/>
    <n v="48"/>
    <x v="10"/>
    <s v="L"/>
    <s v="Green"/>
    <x v="2"/>
    <n v="3.4"/>
    <s v="No"/>
    <s v="Debit Card"/>
    <s v="2-Day Shipping"/>
    <s v="No"/>
    <s v="No"/>
    <n v="14"/>
    <x v="0"/>
    <s v="Quarterly"/>
    <n v="0"/>
    <x v="0"/>
  </r>
  <r>
    <n v="1988"/>
    <n v="69"/>
    <s v="Male"/>
    <s v="Belt"/>
    <x v="3"/>
    <n v="23"/>
    <x v="34"/>
    <s v="XL"/>
    <s v="White"/>
    <x v="2"/>
    <n v="3.4"/>
    <s v="No"/>
    <s v="Debit Card"/>
    <s v="Express"/>
    <s v="No"/>
    <s v="No"/>
    <n v="4"/>
    <x v="1"/>
    <s v="Quarterly"/>
    <n v="0"/>
    <x v="0"/>
  </r>
  <r>
    <n v="1989"/>
    <n v="46"/>
    <s v="Male"/>
    <s v="Pants"/>
    <x v="0"/>
    <n v="79"/>
    <x v="41"/>
    <s v="M"/>
    <s v="Gold"/>
    <x v="0"/>
    <n v="3.9"/>
    <s v="No"/>
    <s v="Credit Card"/>
    <s v="Free Shipping"/>
    <s v="No"/>
    <s v="No"/>
    <n v="26"/>
    <x v="4"/>
    <s v="Weekly"/>
    <n v="0"/>
    <x v="0"/>
  </r>
  <r>
    <n v="1990"/>
    <n v="35"/>
    <s v="Male"/>
    <s v="Jewelry"/>
    <x v="3"/>
    <n v="42"/>
    <x v="33"/>
    <s v="S"/>
    <s v="Charcoal"/>
    <x v="1"/>
    <n v="4"/>
    <s v="No"/>
    <s v="Cash"/>
    <s v="Express"/>
    <s v="No"/>
    <s v="No"/>
    <n v="39"/>
    <x v="3"/>
    <s v="Bi-Weekly"/>
    <n v="0"/>
    <x v="3"/>
  </r>
  <r>
    <n v="1991"/>
    <n v="32"/>
    <s v="Male"/>
    <s v="Backpack"/>
    <x v="3"/>
    <n v="95"/>
    <x v="39"/>
    <s v="L"/>
    <s v="White"/>
    <x v="1"/>
    <n v="3.4"/>
    <s v="No"/>
    <s v="Debit Card"/>
    <s v="2-Day Shipping"/>
    <s v="No"/>
    <s v="No"/>
    <n v="15"/>
    <x v="3"/>
    <s v="Annually"/>
    <n v="0"/>
    <x v="3"/>
  </r>
  <r>
    <n v="1992"/>
    <n v="46"/>
    <s v="Male"/>
    <s v="Sneakers"/>
    <x v="1"/>
    <n v="29"/>
    <x v="9"/>
    <s v="M"/>
    <s v="Brown"/>
    <x v="2"/>
    <n v="3.7"/>
    <s v="No"/>
    <s v="Venmo"/>
    <s v="Next Day Air"/>
    <s v="No"/>
    <s v="No"/>
    <n v="1"/>
    <x v="0"/>
    <s v="Every 3 Months"/>
    <n v="0"/>
    <x v="0"/>
  </r>
  <r>
    <n v="1993"/>
    <n v="33"/>
    <s v="Male"/>
    <s v="Hoodie"/>
    <x v="0"/>
    <n v="98"/>
    <x v="32"/>
    <s v="L"/>
    <s v="Gold"/>
    <x v="0"/>
    <n v="4.9000000000000004"/>
    <s v="No"/>
    <s v="PayPal"/>
    <s v="2-Day Shipping"/>
    <s v="No"/>
    <s v="No"/>
    <n v="28"/>
    <x v="0"/>
    <s v="Monthly"/>
    <n v="0"/>
    <x v="3"/>
  </r>
  <r>
    <n v="1994"/>
    <n v="32"/>
    <s v="Male"/>
    <s v="Blouse"/>
    <x v="0"/>
    <n v="96"/>
    <x v="10"/>
    <s v="S"/>
    <s v="Purple"/>
    <x v="1"/>
    <n v="5"/>
    <s v="No"/>
    <s v="Cash"/>
    <s v="Express"/>
    <s v="No"/>
    <s v="No"/>
    <n v="17"/>
    <x v="1"/>
    <s v="Weekly"/>
    <n v="0"/>
    <x v="3"/>
  </r>
  <r>
    <n v="1995"/>
    <n v="33"/>
    <s v="Male"/>
    <s v="Sunglasses"/>
    <x v="3"/>
    <n v="66"/>
    <x v="22"/>
    <s v="M"/>
    <s v="Brown"/>
    <x v="3"/>
    <n v="2.9"/>
    <s v="No"/>
    <s v="Bank Transfer"/>
    <s v="Next Day Air"/>
    <s v="No"/>
    <s v="No"/>
    <n v="24"/>
    <x v="2"/>
    <s v="Weekly"/>
    <n v="0"/>
    <x v="3"/>
  </r>
  <r>
    <n v="1996"/>
    <n v="67"/>
    <s v="Male"/>
    <s v="Boots"/>
    <x v="1"/>
    <n v="80"/>
    <x v="9"/>
    <s v="S"/>
    <s v="Teal"/>
    <x v="1"/>
    <n v="3"/>
    <s v="No"/>
    <s v="Credit Card"/>
    <s v="Standard"/>
    <s v="No"/>
    <s v="No"/>
    <n v="29"/>
    <x v="5"/>
    <s v="Quarterly"/>
    <n v="0"/>
    <x v="0"/>
  </r>
  <r>
    <n v="1997"/>
    <n v="67"/>
    <s v="Male"/>
    <s v="Sneakers"/>
    <x v="1"/>
    <n v="27"/>
    <x v="45"/>
    <s v="L"/>
    <s v="Indigo"/>
    <x v="2"/>
    <n v="3.3"/>
    <s v="No"/>
    <s v="Cash"/>
    <s v="Next Day Air"/>
    <s v="No"/>
    <s v="No"/>
    <n v="18"/>
    <x v="1"/>
    <s v="Every 3 Months"/>
    <n v="0"/>
    <x v="0"/>
  </r>
  <r>
    <n v="1998"/>
    <n v="42"/>
    <s v="Male"/>
    <s v="Backpack"/>
    <x v="3"/>
    <n v="25"/>
    <x v="39"/>
    <s v="M"/>
    <s v="Purple"/>
    <x v="3"/>
    <n v="4.7"/>
    <s v="No"/>
    <s v="PayPal"/>
    <s v="Express"/>
    <s v="No"/>
    <s v="No"/>
    <n v="10"/>
    <x v="5"/>
    <s v="Bi-Weekly"/>
    <n v="0"/>
    <x v="2"/>
  </r>
  <r>
    <n v="1999"/>
    <n v="20"/>
    <s v="Male"/>
    <s v="Pants"/>
    <x v="0"/>
    <n v="45"/>
    <x v="34"/>
    <s v="M"/>
    <s v="Orange"/>
    <x v="3"/>
    <n v="3.4"/>
    <s v="No"/>
    <s v="Debit Card"/>
    <s v="2-Day Shipping"/>
    <s v="No"/>
    <s v="No"/>
    <n v="19"/>
    <x v="1"/>
    <s v="Quarterly"/>
    <n v="0"/>
    <x v="1"/>
  </r>
  <r>
    <n v="2000"/>
    <n v="39"/>
    <s v="Male"/>
    <s v="Socks"/>
    <x v="0"/>
    <n v="89"/>
    <x v="30"/>
    <s v="L"/>
    <s v="Indigo"/>
    <x v="0"/>
    <n v="4.5999999999999996"/>
    <s v="No"/>
    <s v="Credit Card"/>
    <s v="2-Day Shipping"/>
    <s v="No"/>
    <s v="No"/>
    <n v="26"/>
    <x v="5"/>
    <s v="Monthly"/>
    <n v="0"/>
    <x v="2"/>
  </r>
  <r>
    <n v="2001"/>
    <n v="26"/>
    <s v="Male"/>
    <s v="Belt"/>
    <x v="3"/>
    <n v="27"/>
    <x v="18"/>
    <s v="M"/>
    <s v="Lavender"/>
    <x v="0"/>
    <n v="3.6"/>
    <s v="No"/>
    <s v="Venmo"/>
    <s v="2-Day Shipping"/>
    <s v="No"/>
    <s v="No"/>
    <n v="25"/>
    <x v="1"/>
    <s v="Bi-Weekly"/>
    <n v="0"/>
    <x v="3"/>
  </r>
  <r>
    <n v="2002"/>
    <n v="51"/>
    <s v="Male"/>
    <s v="Sunglasses"/>
    <x v="3"/>
    <n v="90"/>
    <x v="5"/>
    <s v="S"/>
    <s v="Purple"/>
    <x v="0"/>
    <n v="2.6"/>
    <s v="No"/>
    <s v="Debit Card"/>
    <s v="Free Shipping"/>
    <s v="No"/>
    <s v="No"/>
    <n v="2"/>
    <x v="5"/>
    <s v="Fortnightly"/>
    <n v="0"/>
    <x v="0"/>
  </r>
  <r>
    <n v="2003"/>
    <n v="31"/>
    <s v="Male"/>
    <s v="Shirt"/>
    <x v="0"/>
    <n v="65"/>
    <x v="14"/>
    <s v="M"/>
    <s v="Red"/>
    <x v="2"/>
    <n v="2.7"/>
    <s v="No"/>
    <s v="Cash"/>
    <s v="Express"/>
    <s v="No"/>
    <s v="No"/>
    <n v="19"/>
    <x v="3"/>
    <s v="Every 3 Months"/>
    <n v="0"/>
    <x v="3"/>
  </r>
  <r>
    <n v="2004"/>
    <n v="68"/>
    <s v="Male"/>
    <s v="Sneakers"/>
    <x v="1"/>
    <n v="72"/>
    <x v="1"/>
    <s v="S"/>
    <s v="Blue"/>
    <x v="1"/>
    <n v="3.1"/>
    <s v="No"/>
    <s v="Venmo"/>
    <s v="Express"/>
    <s v="No"/>
    <s v="No"/>
    <n v="32"/>
    <x v="1"/>
    <s v="Quarterly"/>
    <n v="0"/>
    <x v="0"/>
  </r>
  <r>
    <n v="2005"/>
    <n v="44"/>
    <s v="Male"/>
    <s v="Shoes"/>
    <x v="1"/>
    <n v="70"/>
    <x v="42"/>
    <s v="L"/>
    <s v="Blue"/>
    <x v="3"/>
    <n v="3.2"/>
    <s v="No"/>
    <s v="Cash"/>
    <s v="2-Day Shipping"/>
    <s v="No"/>
    <s v="No"/>
    <n v="13"/>
    <x v="1"/>
    <s v="Bi-Weekly"/>
    <n v="0"/>
    <x v="2"/>
  </r>
  <r>
    <n v="2006"/>
    <n v="18"/>
    <s v="Male"/>
    <s v="Sandals"/>
    <x v="1"/>
    <n v="82"/>
    <x v="30"/>
    <s v="M"/>
    <s v="Cyan"/>
    <x v="0"/>
    <n v="3.4"/>
    <s v="No"/>
    <s v="PayPal"/>
    <s v="Store Pickup"/>
    <s v="No"/>
    <s v="No"/>
    <n v="30"/>
    <x v="3"/>
    <s v="Fortnightly"/>
    <n v="0"/>
    <x v="1"/>
  </r>
  <r>
    <n v="2007"/>
    <n v="58"/>
    <s v="Male"/>
    <s v="Scarf"/>
    <x v="3"/>
    <n v="97"/>
    <x v="35"/>
    <s v="S"/>
    <s v="Pink"/>
    <x v="3"/>
    <n v="4.4000000000000004"/>
    <s v="No"/>
    <s v="Debit Card"/>
    <s v="Express"/>
    <s v="No"/>
    <s v="No"/>
    <n v="2"/>
    <x v="2"/>
    <s v="Annually"/>
    <n v="0"/>
    <x v="0"/>
  </r>
  <r>
    <n v="2008"/>
    <n v="26"/>
    <s v="Male"/>
    <s v="Shirt"/>
    <x v="0"/>
    <n v="25"/>
    <x v="41"/>
    <s v="M"/>
    <s v="Silver"/>
    <x v="2"/>
    <n v="3.2"/>
    <s v="No"/>
    <s v="Cash"/>
    <s v="2-Day Shipping"/>
    <s v="No"/>
    <s v="No"/>
    <n v="8"/>
    <x v="3"/>
    <s v="Quarterly"/>
    <n v="0"/>
    <x v="3"/>
  </r>
  <r>
    <n v="2009"/>
    <n v="57"/>
    <s v="Male"/>
    <s v="Skirt"/>
    <x v="0"/>
    <n v="48"/>
    <x v="20"/>
    <s v="M"/>
    <s v="Gray"/>
    <x v="1"/>
    <n v="2.5"/>
    <s v="No"/>
    <s v="PayPal"/>
    <s v="Free Shipping"/>
    <s v="No"/>
    <s v="No"/>
    <n v="27"/>
    <x v="3"/>
    <s v="Every 3 Months"/>
    <n v="0"/>
    <x v="0"/>
  </r>
  <r>
    <n v="2010"/>
    <n v="37"/>
    <s v="Male"/>
    <s v="Boots"/>
    <x v="1"/>
    <n v="99"/>
    <x v="15"/>
    <s v="M"/>
    <s v="Indigo"/>
    <x v="2"/>
    <n v="3.8"/>
    <s v="No"/>
    <s v="Venmo"/>
    <s v="Next Day Air"/>
    <s v="No"/>
    <s v="No"/>
    <n v="26"/>
    <x v="0"/>
    <s v="Bi-Weekly"/>
    <n v="0"/>
    <x v="2"/>
  </r>
  <r>
    <n v="2011"/>
    <n v="24"/>
    <s v="Male"/>
    <s v="Sweater"/>
    <x v="0"/>
    <n v="21"/>
    <x v="21"/>
    <s v="M"/>
    <s v="Maroon"/>
    <x v="2"/>
    <n v="4.4000000000000004"/>
    <s v="No"/>
    <s v="Venmo"/>
    <s v="2-Day Shipping"/>
    <s v="No"/>
    <s v="No"/>
    <n v="3"/>
    <x v="5"/>
    <s v="Bi-Weekly"/>
    <n v="0"/>
    <x v="1"/>
  </r>
  <r>
    <n v="2012"/>
    <n v="57"/>
    <s v="Male"/>
    <s v="Sandals"/>
    <x v="1"/>
    <n v="94"/>
    <x v="8"/>
    <s v="M"/>
    <s v="Beige"/>
    <x v="1"/>
    <n v="3.7"/>
    <s v="No"/>
    <s v="Debit Card"/>
    <s v="Express"/>
    <s v="No"/>
    <s v="No"/>
    <n v="4"/>
    <x v="4"/>
    <s v="Monthly"/>
    <n v="0"/>
    <x v="0"/>
  </r>
  <r>
    <n v="2013"/>
    <n v="48"/>
    <s v="Male"/>
    <s v="Jeans"/>
    <x v="0"/>
    <n v="53"/>
    <x v="22"/>
    <s v="L"/>
    <s v="Green"/>
    <x v="3"/>
    <n v="3.2"/>
    <s v="No"/>
    <s v="Bank Transfer"/>
    <s v="Store Pickup"/>
    <s v="No"/>
    <s v="No"/>
    <n v="5"/>
    <x v="1"/>
    <s v="Fortnightly"/>
    <n v="0"/>
    <x v="0"/>
  </r>
  <r>
    <n v="2014"/>
    <n v="39"/>
    <s v="Male"/>
    <s v="Backpack"/>
    <x v="3"/>
    <n v="70"/>
    <x v="41"/>
    <s v="M"/>
    <s v="Peach"/>
    <x v="0"/>
    <n v="4.9000000000000004"/>
    <s v="No"/>
    <s v="PayPal"/>
    <s v="Standard"/>
    <s v="No"/>
    <s v="No"/>
    <n v="25"/>
    <x v="5"/>
    <s v="Quarterly"/>
    <n v="0"/>
    <x v="2"/>
  </r>
  <r>
    <n v="2015"/>
    <n v="51"/>
    <s v="Male"/>
    <s v="Skirt"/>
    <x v="0"/>
    <n v="26"/>
    <x v="48"/>
    <s v="L"/>
    <s v="Black"/>
    <x v="2"/>
    <n v="3.9"/>
    <s v="No"/>
    <s v="Venmo"/>
    <s v="Standard"/>
    <s v="No"/>
    <s v="No"/>
    <n v="47"/>
    <x v="3"/>
    <s v="Bi-Weekly"/>
    <n v="0"/>
    <x v="0"/>
  </r>
  <r>
    <n v="2016"/>
    <n v="57"/>
    <s v="Male"/>
    <s v="Belt"/>
    <x v="3"/>
    <n v="82"/>
    <x v="41"/>
    <s v="S"/>
    <s v="Pink"/>
    <x v="2"/>
    <n v="4.5"/>
    <s v="No"/>
    <s v="Debit Card"/>
    <s v="Next Day Air"/>
    <s v="No"/>
    <s v="No"/>
    <n v="8"/>
    <x v="2"/>
    <s v="Fortnightly"/>
    <n v="0"/>
    <x v="0"/>
  </r>
  <r>
    <n v="2017"/>
    <n v="53"/>
    <s v="Male"/>
    <s v="Shoes"/>
    <x v="1"/>
    <n v="47"/>
    <x v="1"/>
    <s v="S"/>
    <s v="Violet"/>
    <x v="0"/>
    <n v="3.4"/>
    <s v="No"/>
    <s v="Credit Card"/>
    <s v="Standard"/>
    <s v="No"/>
    <s v="No"/>
    <n v="20"/>
    <x v="5"/>
    <s v="Fortnightly"/>
    <n v="0"/>
    <x v="0"/>
  </r>
  <r>
    <n v="2018"/>
    <n v="70"/>
    <s v="Male"/>
    <s v="Socks"/>
    <x v="0"/>
    <n v="32"/>
    <x v="2"/>
    <s v="S"/>
    <s v="Green"/>
    <x v="0"/>
    <n v="4.0999999999999996"/>
    <s v="No"/>
    <s v="Venmo"/>
    <s v="Next Day Air"/>
    <s v="No"/>
    <s v="No"/>
    <n v="42"/>
    <x v="4"/>
    <s v="Every 3 Months"/>
    <n v="0"/>
    <x v="0"/>
  </r>
  <r>
    <n v="2019"/>
    <n v="60"/>
    <s v="Male"/>
    <s v="Backpack"/>
    <x v="3"/>
    <n v="97"/>
    <x v="10"/>
    <s v="S"/>
    <s v="Gold"/>
    <x v="3"/>
    <n v="4.5"/>
    <s v="No"/>
    <s v="Debit Card"/>
    <s v="Store Pickup"/>
    <s v="No"/>
    <s v="No"/>
    <n v="20"/>
    <x v="4"/>
    <s v="Weekly"/>
    <n v="0"/>
    <x v="0"/>
  </r>
  <r>
    <n v="2020"/>
    <n v="31"/>
    <s v="Male"/>
    <s v="Shirt"/>
    <x v="0"/>
    <n v="68"/>
    <x v="37"/>
    <s v="S"/>
    <s v="Red"/>
    <x v="0"/>
    <n v="4.7"/>
    <s v="No"/>
    <s v="PayPal"/>
    <s v="Store Pickup"/>
    <s v="No"/>
    <s v="No"/>
    <n v="23"/>
    <x v="1"/>
    <s v="Fortnightly"/>
    <n v="0"/>
    <x v="3"/>
  </r>
  <r>
    <n v="2021"/>
    <n v="41"/>
    <s v="Male"/>
    <s v="Sweater"/>
    <x v="0"/>
    <n v="23"/>
    <x v="38"/>
    <s v="M"/>
    <s v="Beige"/>
    <x v="0"/>
    <n v="4.8"/>
    <s v="No"/>
    <s v="Credit Card"/>
    <s v="Next Day Air"/>
    <s v="No"/>
    <s v="No"/>
    <n v="26"/>
    <x v="1"/>
    <s v="Quarterly"/>
    <n v="0"/>
    <x v="2"/>
  </r>
  <r>
    <n v="2022"/>
    <n v="62"/>
    <s v="Male"/>
    <s v="Handbag"/>
    <x v="3"/>
    <n v="33"/>
    <x v="1"/>
    <s v="M"/>
    <s v="Green"/>
    <x v="0"/>
    <n v="4.4000000000000004"/>
    <s v="No"/>
    <s v="Debit Card"/>
    <s v="Standard"/>
    <s v="No"/>
    <s v="No"/>
    <n v="48"/>
    <x v="0"/>
    <s v="Quarterly"/>
    <n v="0"/>
    <x v="0"/>
  </r>
  <r>
    <n v="2023"/>
    <n v="59"/>
    <s v="Male"/>
    <s v="Jewelry"/>
    <x v="3"/>
    <n v="38"/>
    <x v="15"/>
    <s v="S"/>
    <s v="Black"/>
    <x v="0"/>
    <n v="4"/>
    <s v="No"/>
    <s v="Bank Transfer"/>
    <s v="Store Pickup"/>
    <s v="No"/>
    <s v="No"/>
    <n v="16"/>
    <x v="1"/>
    <s v="Bi-Weekly"/>
    <n v="0"/>
    <x v="0"/>
  </r>
  <r>
    <n v="2024"/>
    <n v="46"/>
    <s v="Male"/>
    <s v="Socks"/>
    <x v="0"/>
    <n v="68"/>
    <x v="37"/>
    <s v="S"/>
    <s v="Teal"/>
    <x v="0"/>
    <n v="4.0999999999999996"/>
    <s v="No"/>
    <s v="Bank Transfer"/>
    <s v="Store Pickup"/>
    <s v="No"/>
    <s v="No"/>
    <n v="28"/>
    <x v="1"/>
    <s v="Bi-Weekly"/>
    <n v="0"/>
    <x v="0"/>
  </r>
  <r>
    <n v="2025"/>
    <n v="62"/>
    <s v="Male"/>
    <s v="Socks"/>
    <x v="0"/>
    <n v="23"/>
    <x v="10"/>
    <s v="L"/>
    <s v="Silver"/>
    <x v="3"/>
    <n v="3.7"/>
    <s v="No"/>
    <s v="Bank Transfer"/>
    <s v="Express"/>
    <s v="No"/>
    <s v="No"/>
    <n v="39"/>
    <x v="3"/>
    <s v="Weekly"/>
    <n v="0"/>
    <x v="0"/>
  </r>
  <r>
    <n v="2026"/>
    <n v="42"/>
    <s v="Male"/>
    <s v="Shirt"/>
    <x v="0"/>
    <n v="29"/>
    <x v="12"/>
    <s v="M"/>
    <s v="Turquoise"/>
    <x v="2"/>
    <n v="3"/>
    <s v="No"/>
    <s v="Bank Transfer"/>
    <s v="Express"/>
    <s v="No"/>
    <s v="No"/>
    <n v="43"/>
    <x v="5"/>
    <s v="Fortnightly"/>
    <n v="0"/>
    <x v="2"/>
  </r>
  <r>
    <n v="2027"/>
    <n v="37"/>
    <s v="Male"/>
    <s v="Scarf"/>
    <x v="3"/>
    <n v="35"/>
    <x v="1"/>
    <s v="M"/>
    <s v="Orange"/>
    <x v="0"/>
    <n v="3.6"/>
    <s v="No"/>
    <s v="Bank Transfer"/>
    <s v="Express"/>
    <s v="No"/>
    <s v="No"/>
    <n v="45"/>
    <x v="4"/>
    <s v="Every 3 Months"/>
    <n v="0"/>
    <x v="2"/>
  </r>
  <r>
    <n v="2028"/>
    <n v="50"/>
    <s v="Male"/>
    <s v="Shoes"/>
    <x v="1"/>
    <n v="73"/>
    <x v="43"/>
    <s v="S"/>
    <s v="Gold"/>
    <x v="3"/>
    <n v="4.8"/>
    <s v="No"/>
    <s v="Venmo"/>
    <s v="Standard"/>
    <s v="No"/>
    <s v="No"/>
    <n v="50"/>
    <x v="2"/>
    <s v="Every 3 Months"/>
    <n v="0"/>
    <x v="0"/>
  </r>
  <r>
    <n v="2029"/>
    <n v="29"/>
    <s v="Male"/>
    <s v="Shoes"/>
    <x v="1"/>
    <n v="84"/>
    <x v="31"/>
    <s v="XL"/>
    <s v="Purple"/>
    <x v="3"/>
    <n v="3.7"/>
    <s v="No"/>
    <s v="Cash"/>
    <s v="2-Day Shipping"/>
    <s v="No"/>
    <s v="No"/>
    <n v="10"/>
    <x v="0"/>
    <s v="Bi-Weekly"/>
    <n v="0"/>
    <x v="3"/>
  </r>
  <r>
    <n v="2030"/>
    <n v="25"/>
    <s v="Male"/>
    <s v="Scarf"/>
    <x v="3"/>
    <n v="23"/>
    <x v="6"/>
    <s v="M"/>
    <s v="Pink"/>
    <x v="1"/>
    <n v="4.5999999999999996"/>
    <s v="No"/>
    <s v="Bank Transfer"/>
    <s v="Next Day Air"/>
    <s v="No"/>
    <s v="No"/>
    <n v="40"/>
    <x v="3"/>
    <s v="Quarterly"/>
    <n v="0"/>
    <x v="1"/>
  </r>
  <r>
    <n v="2031"/>
    <n v="66"/>
    <s v="Male"/>
    <s v="Sunglasses"/>
    <x v="3"/>
    <n v="67"/>
    <x v="35"/>
    <s v="S"/>
    <s v="Green"/>
    <x v="2"/>
    <n v="2.8"/>
    <s v="No"/>
    <s v="Venmo"/>
    <s v="Standard"/>
    <s v="No"/>
    <s v="No"/>
    <n v="38"/>
    <x v="2"/>
    <s v="Monthly"/>
    <n v="0"/>
    <x v="0"/>
  </r>
  <r>
    <n v="2032"/>
    <n v="21"/>
    <s v="Male"/>
    <s v="Socks"/>
    <x v="0"/>
    <n v="51"/>
    <x v="17"/>
    <s v="L"/>
    <s v="Charcoal"/>
    <x v="1"/>
    <n v="4"/>
    <s v="No"/>
    <s v="Credit Card"/>
    <s v="Standard"/>
    <s v="No"/>
    <s v="No"/>
    <n v="2"/>
    <x v="2"/>
    <s v="Monthly"/>
    <n v="0"/>
    <x v="1"/>
  </r>
  <r>
    <n v="2033"/>
    <n v="46"/>
    <s v="Male"/>
    <s v="Blouse"/>
    <x v="0"/>
    <n v="36"/>
    <x v="36"/>
    <s v="M"/>
    <s v="Maroon"/>
    <x v="0"/>
    <n v="4.2"/>
    <s v="No"/>
    <s v="Credit Card"/>
    <s v="Next Day Air"/>
    <s v="No"/>
    <s v="No"/>
    <n v="13"/>
    <x v="1"/>
    <s v="Annually"/>
    <n v="0"/>
    <x v="0"/>
  </r>
  <r>
    <n v="2034"/>
    <n v="57"/>
    <s v="Male"/>
    <s v="Jeans"/>
    <x v="0"/>
    <n v="55"/>
    <x v="26"/>
    <s v="L"/>
    <s v="Olive"/>
    <x v="2"/>
    <n v="3.6"/>
    <s v="No"/>
    <s v="Cash"/>
    <s v="Express"/>
    <s v="No"/>
    <s v="No"/>
    <n v="33"/>
    <x v="0"/>
    <s v="Annually"/>
    <n v="0"/>
    <x v="0"/>
  </r>
  <r>
    <n v="2035"/>
    <n v="61"/>
    <s v="Male"/>
    <s v="Shorts"/>
    <x v="0"/>
    <n v="30"/>
    <x v="15"/>
    <s v="M"/>
    <s v="Peach"/>
    <x v="1"/>
    <n v="2.9"/>
    <s v="No"/>
    <s v="Credit Card"/>
    <s v="Store Pickup"/>
    <s v="No"/>
    <s v="No"/>
    <n v="27"/>
    <x v="3"/>
    <s v="Monthly"/>
    <n v="0"/>
    <x v="0"/>
  </r>
  <r>
    <n v="2036"/>
    <n v="53"/>
    <s v="Male"/>
    <s v="T-shirt"/>
    <x v="0"/>
    <n v="70"/>
    <x v="19"/>
    <s v="S"/>
    <s v="Yellow"/>
    <x v="2"/>
    <n v="4.0999999999999996"/>
    <s v="No"/>
    <s v="Venmo"/>
    <s v="Express"/>
    <s v="No"/>
    <s v="No"/>
    <n v="43"/>
    <x v="4"/>
    <s v="Weekly"/>
    <n v="0"/>
    <x v="0"/>
  </r>
  <r>
    <n v="2037"/>
    <n v="37"/>
    <s v="Male"/>
    <s v="Blouse"/>
    <x v="0"/>
    <n v="63"/>
    <x v="46"/>
    <s v="S"/>
    <s v="Lavender"/>
    <x v="0"/>
    <n v="3.1"/>
    <s v="No"/>
    <s v="PayPal"/>
    <s v="Next Day Air"/>
    <s v="No"/>
    <s v="No"/>
    <n v="46"/>
    <x v="1"/>
    <s v="Weekly"/>
    <n v="0"/>
    <x v="2"/>
  </r>
  <r>
    <n v="2038"/>
    <n v="39"/>
    <s v="Male"/>
    <s v="Belt"/>
    <x v="3"/>
    <n v="87"/>
    <x v="26"/>
    <s v="S"/>
    <s v="Green"/>
    <x v="2"/>
    <n v="4.3"/>
    <s v="No"/>
    <s v="Cash"/>
    <s v="Express"/>
    <s v="No"/>
    <s v="No"/>
    <n v="7"/>
    <x v="0"/>
    <s v="Bi-Weekly"/>
    <n v="0"/>
    <x v="2"/>
  </r>
  <r>
    <n v="2039"/>
    <n v="53"/>
    <s v="Male"/>
    <s v="Blouse"/>
    <x v="0"/>
    <n v="70"/>
    <x v="10"/>
    <s v="L"/>
    <s v="Orange"/>
    <x v="1"/>
    <n v="4.4000000000000004"/>
    <s v="No"/>
    <s v="Debit Card"/>
    <s v="Next Day Air"/>
    <s v="No"/>
    <s v="No"/>
    <n v="35"/>
    <x v="2"/>
    <s v="Fortnightly"/>
    <n v="0"/>
    <x v="0"/>
  </r>
  <r>
    <n v="2040"/>
    <n v="35"/>
    <s v="Male"/>
    <s v="T-shirt"/>
    <x v="0"/>
    <n v="51"/>
    <x v="46"/>
    <s v="M"/>
    <s v="Olive"/>
    <x v="1"/>
    <n v="3.1"/>
    <s v="No"/>
    <s v="Cash"/>
    <s v="Next Day Air"/>
    <s v="No"/>
    <s v="No"/>
    <n v="31"/>
    <x v="5"/>
    <s v="Bi-Weekly"/>
    <n v="0"/>
    <x v="3"/>
  </r>
  <r>
    <n v="2041"/>
    <n v="69"/>
    <s v="Male"/>
    <s v="Jewelry"/>
    <x v="3"/>
    <n v="25"/>
    <x v="36"/>
    <s v="XL"/>
    <s v="Gray"/>
    <x v="1"/>
    <n v="2.9"/>
    <s v="No"/>
    <s v="Debit Card"/>
    <s v="Free Shipping"/>
    <s v="No"/>
    <s v="No"/>
    <n v="42"/>
    <x v="0"/>
    <s v="Quarterly"/>
    <n v="0"/>
    <x v="0"/>
  </r>
  <r>
    <n v="2042"/>
    <n v="66"/>
    <s v="Male"/>
    <s v="Jacket"/>
    <x v="2"/>
    <n v="32"/>
    <x v="14"/>
    <s v="S"/>
    <s v="Lavender"/>
    <x v="0"/>
    <n v="3.2"/>
    <s v="No"/>
    <s v="Cash"/>
    <s v="Next Day Air"/>
    <s v="No"/>
    <s v="No"/>
    <n v="14"/>
    <x v="3"/>
    <s v="Bi-Weekly"/>
    <n v="0"/>
    <x v="0"/>
  </r>
  <r>
    <n v="2043"/>
    <n v="19"/>
    <s v="Male"/>
    <s v="Shoes"/>
    <x v="1"/>
    <n v="52"/>
    <x v="15"/>
    <s v="M"/>
    <s v="Red"/>
    <x v="1"/>
    <n v="4"/>
    <s v="No"/>
    <s v="Credit Card"/>
    <s v="2-Day Shipping"/>
    <s v="No"/>
    <s v="No"/>
    <n v="35"/>
    <x v="0"/>
    <s v="Monthly"/>
    <n v="0"/>
    <x v="1"/>
  </r>
  <r>
    <n v="2044"/>
    <n v="47"/>
    <s v="Male"/>
    <s v="Gloves"/>
    <x v="3"/>
    <n v="33"/>
    <x v="14"/>
    <s v="M"/>
    <s v="Charcoal"/>
    <x v="2"/>
    <n v="2.7"/>
    <s v="No"/>
    <s v="PayPal"/>
    <s v="Standard"/>
    <s v="No"/>
    <s v="No"/>
    <n v="49"/>
    <x v="3"/>
    <s v="Weekly"/>
    <n v="0"/>
    <x v="0"/>
  </r>
  <r>
    <n v="2045"/>
    <n v="49"/>
    <s v="Male"/>
    <s v="Jeans"/>
    <x v="0"/>
    <n v="68"/>
    <x v="9"/>
    <s v="L"/>
    <s v="Orange"/>
    <x v="1"/>
    <n v="3"/>
    <s v="No"/>
    <s v="Cash"/>
    <s v="Free Shipping"/>
    <s v="No"/>
    <s v="No"/>
    <n v="17"/>
    <x v="3"/>
    <s v="Fortnightly"/>
    <n v="0"/>
    <x v="0"/>
  </r>
  <r>
    <n v="2046"/>
    <n v="31"/>
    <s v="Male"/>
    <s v="Jewelry"/>
    <x v="3"/>
    <n v="20"/>
    <x v="42"/>
    <s v="M"/>
    <s v="Red"/>
    <x v="3"/>
    <n v="4.4000000000000004"/>
    <s v="No"/>
    <s v="PayPal"/>
    <s v="Express"/>
    <s v="No"/>
    <s v="No"/>
    <n v="26"/>
    <x v="3"/>
    <s v="Quarterly"/>
    <n v="0"/>
    <x v="3"/>
  </r>
  <r>
    <n v="2047"/>
    <n v="39"/>
    <s v="Male"/>
    <s v="Pants"/>
    <x v="0"/>
    <n v="32"/>
    <x v="19"/>
    <s v="M"/>
    <s v="Maroon"/>
    <x v="0"/>
    <n v="2.8"/>
    <s v="No"/>
    <s v="Bank Transfer"/>
    <s v="Free Shipping"/>
    <s v="No"/>
    <s v="No"/>
    <n v="30"/>
    <x v="1"/>
    <s v="Every 3 Months"/>
    <n v="0"/>
    <x v="2"/>
  </r>
  <r>
    <n v="2048"/>
    <n v="58"/>
    <s v="Male"/>
    <s v="Jewelry"/>
    <x v="3"/>
    <n v="82"/>
    <x v="39"/>
    <s v="M"/>
    <s v="Silver"/>
    <x v="2"/>
    <n v="3.1"/>
    <s v="No"/>
    <s v="Cash"/>
    <s v="Store Pickup"/>
    <s v="No"/>
    <s v="No"/>
    <n v="32"/>
    <x v="1"/>
    <s v="Annually"/>
    <n v="0"/>
    <x v="0"/>
  </r>
  <r>
    <n v="2049"/>
    <n v="45"/>
    <s v="Male"/>
    <s v="Sneakers"/>
    <x v="1"/>
    <n v="64"/>
    <x v="49"/>
    <s v="XL"/>
    <s v="Pink"/>
    <x v="0"/>
    <n v="3.9"/>
    <s v="No"/>
    <s v="Credit Card"/>
    <s v="Express"/>
    <s v="No"/>
    <s v="No"/>
    <n v="35"/>
    <x v="4"/>
    <s v="Quarterly"/>
    <n v="0"/>
    <x v="2"/>
  </r>
  <r>
    <n v="2050"/>
    <n v="68"/>
    <s v="Male"/>
    <s v="Boots"/>
    <x v="1"/>
    <n v="24"/>
    <x v="3"/>
    <s v="L"/>
    <s v="Blue"/>
    <x v="3"/>
    <n v="2.7"/>
    <s v="No"/>
    <s v="Debit Card"/>
    <s v="Standard"/>
    <s v="No"/>
    <s v="No"/>
    <n v="15"/>
    <x v="0"/>
    <s v="Annually"/>
    <n v="0"/>
    <x v="0"/>
  </r>
  <r>
    <n v="2051"/>
    <n v="35"/>
    <s v="Male"/>
    <s v="Hat"/>
    <x v="3"/>
    <n v="96"/>
    <x v="16"/>
    <s v="M"/>
    <s v="Teal"/>
    <x v="2"/>
    <n v="3.4"/>
    <s v="No"/>
    <s v="Credit Card"/>
    <s v="Store Pickup"/>
    <s v="No"/>
    <s v="No"/>
    <n v="10"/>
    <x v="5"/>
    <s v="Annually"/>
    <n v="0"/>
    <x v="3"/>
  </r>
  <r>
    <n v="2052"/>
    <n v="65"/>
    <s v="Male"/>
    <s v="T-shirt"/>
    <x v="0"/>
    <n v="94"/>
    <x v="2"/>
    <s v="L"/>
    <s v="Black"/>
    <x v="1"/>
    <n v="3.8"/>
    <s v="No"/>
    <s v="Cash"/>
    <s v="Free Shipping"/>
    <s v="No"/>
    <s v="No"/>
    <n v="14"/>
    <x v="2"/>
    <s v="Monthly"/>
    <n v="0"/>
    <x v="0"/>
  </r>
  <r>
    <n v="2053"/>
    <n v="45"/>
    <s v="Male"/>
    <s v="Backpack"/>
    <x v="3"/>
    <n v="48"/>
    <x v="13"/>
    <s v="M"/>
    <s v="Gray"/>
    <x v="0"/>
    <n v="3.7"/>
    <s v="No"/>
    <s v="PayPal"/>
    <s v="2-Day Shipping"/>
    <s v="No"/>
    <s v="No"/>
    <n v="30"/>
    <x v="4"/>
    <s v="Annually"/>
    <n v="0"/>
    <x v="2"/>
  </r>
  <r>
    <n v="2054"/>
    <n v="19"/>
    <s v="Male"/>
    <s v="Sunglasses"/>
    <x v="3"/>
    <n v="60"/>
    <x v="5"/>
    <s v="S"/>
    <s v="Purple"/>
    <x v="1"/>
    <n v="4.5"/>
    <s v="No"/>
    <s v="Bank Transfer"/>
    <s v="2-Day Shipping"/>
    <s v="No"/>
    <s v="No"/>
    <n v="16"/>
    <x v="2"/>
    <s v="Fortnightly"/>
    <n v="0"/>
    <x v="1"/>
  </r>
  <r>
    <n v="2055"/>
    <n v="65"/>
    <s v="Male"/>
    <s v="Sweater"/>
    <x v="0"/>
    <n v="56"/>
    <x v="32"/>
    <s v="XL"/>
    <s v="Gold"/>
    <x v="1"/>
    <n v="2.9"/>
    <s v="No"/>
    <s v="PayPal"/>
    <s v="Express"/>
    <s v="No"/>
    <s v="No"/>
    <n v="14"/>
    <x v="3"/>
    <s v="Annually"/>
    <n v="0"/>
    <x v="0"/>
  </r>
  <r>
    <n v="2056"/>
    <n v="28"/>
    <s v="Male"/>
    <s v="Handbag"/>
    <x v="3"/>
    <n v="33"/>
    <x v="21"/>
    <s v="M"/>
    <s v="Silver"/>
    <x v="3"/>
    <n v="3.4"/>
    <s v="No"/>
    <s v="Debit Card"/>
    <s v="2-Day Shipping"/>
    <s v="No"/>
    <s v="No"/>
    <n v="28"/>
    <x v="4"/>
    <s v="Weekly"/>
    <n v="0"/>
    <x v="3"/>
  </r>
  <r>
    <n v="2057"/>
    <n v="55"/>
    <s v="Male"/>
    <s v="Backpack"/>
    <x v="3"/>
    <n v="46"/>
    <x v="46"/>
    <s v="L"/>
    <s v="Blue"/>
    <x v="1"/>
    <n v="4.4000000000000004"/>
    <s v="No"/>
    <s v="Cash"/>
    <s v="2-Day Shipping"/>
    <s v="No"/>
    <s v="No"/>
    <n v="29"/>
    <x v="3"/>
    <s v="Monthly"/>
    <n v="0"/>
    <x v="0"/>
  </r>
  <r>
    <n v="2058"/>
    <n v="66"/>
    <s v="Male"/>
    <s v="Socks"/>
    <x v="0"/>
    <n v="37"/>
    <x v="45"/>
    <s v="L"/>
    <s v="Yellow"/>
    <x v="1"/>
    <n v="4.2"/>
    <s v="No"/>
    <s v="Credit Card"/>
    <s v="Standard"/>
    <s v="No"/>
    <s v="No"/>
    <n v="5"/>
    <x v="3"/>
    <s v="Every 3 Months"/>
    <n v="0"/>
    <x v="0"/>
  </r>
  <r>
    <n v="2059"/>
    <n v="29"/>
    <s v="Male"/>
    <s v="Shirt"/>
    <x v="0"/>
    <n v="98"/>
    <x v="47"/>
    <s v="M"/>
    <s v="Brown"/>
    <x v="0"/>
    <n v="3.3"/>
    <s v="No"/>
    <s v="Debit Card"/>
    <s v="Store Pickup"/>
    <s v="No"/>
    <s v="No"/>
    <n v="17"/>
    <x v="4"/>
    <s v="Quarterly"/>
    <n v="0"/>
    <x v="3"/>
  </r>
  <r>
    <n v="2060"/>
    <n v="56"/>
    <s v="Male"/>
    <s v="Shorts"/>
    <x v="0"/>
    <n v="50"/>
    <x v="18"/>
    <s v="XL"/>
    <s v="Beige"/>
    <x v="1"/>
    <n v="3.7"/>
    <s v="No"/>
    <s v="Cash"/>
    <s v="Express"/>
    <s v="No"/>
    <s v="No"/>
    <n v="50"/>
    <x v="3"/>
    <s v="Weekly"/>
    <n v="0"/>
    <x v="0"/>
  </r>
  <r>
    <n v="2061"/>
    <n v="21"/>
    <s v="Male"/>
    <s v="Belt"/>
    <x v="3"/>
    <n v="63"/>
    <x v="48"/>
    <s v="M"/>
    <s v="Blue"/>
    <x v="3"/>
    <n v="3.2"/>
    <s v="No"/>
    <s v="Debit Card"/>
    <s v="Next Day Air"/>
    <s v="No"/>
    <s v="No"/>
    <n v="23"/>
    <x v="4"/>
    <s v="Quarterly"/>
    <n v="0"/>
    <x v="1"/>
  </r>
  <r>
    <n v="2062"/>
    <n v="32"/>
    <s v="Male"/>
    <s v="Sweater"/>
    <x v="0"/>
    <n v="70"/>
    <x v="49"/>
    <s v="S"/>
    <s v="Magenta"/>
    <x v="2"/>
    <n v="2.6"/>
    <s v="No"/>
    <s v="PayPal"/>
    <s v="Store Pickup"/>
    <s v="No"/>
    <s v="No"/>
    <n v="22"/>
    <x v="5"/>
    <s v="Annually"/>
    <n v="0"/>
    <x v="3"/>
  </r>
  <r>
    <n v="2063"/>
    <n v="54"/>
    <s v="Male"/>
    <s v="Coat"/>
    <x v="2"/>
    <n v="63"/>
    <x v="36"/>
    <s v="L"/>
    <s v="Silver"/>
    <x v="3"/>
    <n v="2.8"/>
    <s v="No"/>
    <s v="PayPal"/>
    <s v="Standard"/>
    <s v="No"/>
    <s v="No"/>
    <n v="15"/>
    <x v="1"/>
    <s v="Quarterly"/>
    <n v="0"/>
    <x v="0"/>
  </r>
  <r>
    <n v="2064"/>
    <n v="61"/>
    <s v="Male"/>
    <s v="Shorts"/>
    <x v="0"/>
    <n v="86"/>
    <x v="27"/>
    <s v="M"/>
    <s v="Cyan"/>
    <x v="3"/>
    <n v="2.9"/>
    <s v="No"/>
    <s v="Venmo"/>
    <s v="Standard"/>
    <s v="No"/>
    <s v="No"/>
    <n v="32"/>
    <x v="1"/>
    <s v="Monthly"/>
    <n v="0"/>
    <x v="0"/>
  </r>
  <r>
    <n v="2065"/>
    <n v="31"/>
    <s v="Male"/>
    <s v="Shoes"/>
    <x v="1"/>
    <n v="99"/>
    <x v="10"/>
    <s v="M"/>
    <s v="Green"/>
    <x v="2"/>
    <n v="4"/>
    <s v="No"/>
    <s v="Bank Transfer"/>
    <s v="2-Day Shipping"/>
    <s v="No"/>
    <s v="No"/>
    <n v="5"/>
    <x v="4"/>
    <s v="Monthly"/>
    <n v="0"/>
    <x v="3"/>
  </r>
  <r>
    <n v="2066"/>
    <n v="27"/>
    <s v="Male"/>
    <s v="Sneakers"/>
    <x v="1"/>
    <n v="40"/>
    <x v="4"/>
    <s v="M"/>
    <s v="Blue"/>
    <x v="1"/>
    <n v="2.9"/>
    <s v="No"/>
    <s v="PayPal"/>
    <s v="Free Shipping"/>
    <s v="No"/>
    <s v="No"/>
    <n v="6"/>
    <x v="4"/>
    <s v="Bi-Weekly"/>
    <n v="0"/>
    <x v="3"/>
  </r>
  <r>
    <n v="2067"/>
    <n v="64"/>
    <s v="Male"/>
    <s v="Sneakers"/>
    <x v="1"/>
    <n v="92"/>
    <x v="26"/>
    <s v="M"/>
    <s v="Olive"/>
    <x v="3"/>
    <n v="4.7"/>
    <s v="No"/>
    <s v="Credit Card"/>
    <s v="Store Pickup"/>
    <s v="No"/>
    <s v="No"/>
    <n v="44"/>
    <x v="5"/>
    <s v="Fortnightly"/>
    <n v="0"/>
    <x v="0"/>
  </r>
  <r>
    <n v="2068"/>
    <n v="60"/>
    <s v="Male"/>
    <s v="Pants"/>
    <x v="0"/>
    <n v="21"/>
    <x v="33"/>
    <s v="XL"/>
    <s v="Beige"/>
    <x v="3"/>
    <n v="3.1"/>
    <s v="No"/>
    <s v="Cash"/>
    <s v="2-Day Shipping"/>
    <s v="No"/>
    <s v="No"/>
    <n v="23"/>
    <x v="1"/>
    <s v="Fortnightly"/>
    <n v="0"/>
    <x v="0"/>
  </r>
  <r>
    <n v="2069"/>
    <n v="70"/>
    <s v="Male"/>
    <s v="Jewelry"/>
    <x v="3"/>
    <n v="81"/>
    <x v="34"/>
    <s v="XL"/>
    <s v="Black"/>
    <x v="2"/>
    <n v="3.9"/>
    <s v="No"/>
    <s v="Credit Card"/>
    <s v="Store Pickup"/>
    <s v="No"/>
    <s v="No"/>
    <n v="44"/>
    <x v="0"/>
    <s v="Monthly"/>
    <n v="0"/>
    <x v="0"/>
  </r>
  <r>
    <n v="2070"/>
    <n v="36"/>
    <s v="Male"/>
    <s v="T-shirt"/>
    <x v="0"/>
    <n v="82"/>
    <x v="21"/>
    <s v="M"/>
    <s v="Indigo"/>
    <x v="3"/>
    <n v="3.4"/>
    <s v="No"/>
    <s v="Cash"/>
    <s v="Free Shipping"/>
    <s v="No"/>
    <s v="No"/>
    <n v="3"/>
    <x v="5"/>
    <s v="Quarterly"/>
    <n v="0"/>
    <x v="2"/>
  </r>
  <r>
    <n v="2071"/>
    <n v="56"/>
    <s v="Male"/>
    <s v="Jewelry"/>
    <x v="3"/>
    <n v="88"/>
    <x v="43"/>
    <s v="XL"/>
    <s v="Red"/>
    <x v="1"/>
    <n v="3.1"/>
    <s v="No"/>
    <s v="Cash"/>
    <s v="Express"/>
    <s v="No"/>
    <s v="No"/>
    <n v="14"/>
    <x v="1"/>
    <s v="Monthly"/>
    <n v="0"/>
    <x v="0"/>
  </r>
  <r>
    <n v="2072"/>
    <n v="69"/>
    <s v="Male"/>
    <s v="Jacket"/>
    <x v="2"/>
    <n v="100"/>
    <x v="36"/>
    <s v="S"/>
    <s v="Yellow"/>
    <x v="3"/>
    <n v="4.8"/>
    <s v="No"/>
    <s v="Debit Card"/>
    <s v="Store Pickup"/>
    <s v="No"/>
    <s v="No"/>
    <n v="37"/>
    <x v="3"/>
    <s v="Quarterly"/>
    <n v="0"/>
    <x v="0"/>
  </r>
  <r>
    <n v="2073"/>
    <n v="39"/>
    <s v="Male"/>
    <s v="Backpack"/>
    <x v="3"/>
    <n v="66"/>
    <x v="2"/>
    <s v="M"/>
    <s v="Beige"/>
    <x v="0"/>
    <n v="3.9"/>
    <s v="No"/>
    <s v="Credit Card"/>
    <s v="Next Day Air"/>
    <s v="No"/>
    <s v="No"/>
    <n v="22"/>
    <x v="4"/>
    <s v="Weekly"/>
    <n v="0"/>
    <x v="2"/>
  </r>
  <r>
    <n v="2074"/>
    <n v="38"/>
    <s v="Male"/>
    <s v="Belt"/>
    <x v="3"/>
    <n v="25"/>
    <x v="21"/>
    <s v="S"/>
    <s v="Green"/>
    <x v="0"/>
    <n v="3.5"/>
    <s v="No"/>
    <s v="Debit Card"/>
    <s v="Next Day Air"/>
    <s v="No"/>
    <s v="No"/>
    <n v="2"/>
    <x v="3"/>
    <s v="Every 3 Months"/>
    <n v="0"/>
    <x v="2"/>
  </r>
  <r>
    <n v="2075"/>
    <n v="36"/>
    <s v="Male"/>
    <s v="Scarf"/>
    <x v="3"/>
    <n v="53"/>
    <x v="20"/>
    <s v="M"/>
    <s v="White"/>
    <x v="2"/>
    <n v="3.1"/>
    <s v="No"/>
    <s v="Credit Card"/>
    <s v="Free Shipping"/>
    <s v="No"/>
    <s v="No"/>
    <n v="44"/>
    <x v="5"/>
    <s v="Fortnightly"/>
    <n v="0"/>
    <x v="2"/>
  </r>
  <r>
    <n v="2076"/>
    <n v="46"/>
    <s v="Male"/>
    <s v="Sweater"/>
    <x v="0"/>
    <n v="28"/>
    <x v="36"/>
    <s v="S"/>
    <s v="Turquoise"/>
    <x v="3"/>
    <n v="4.7"/>
    <s v="No"/>
    <s v="Bank Transfer"/>
    <s v="Express"/>
    <s v="No"/>
    <s v="No"/>
    <n v="49"/>
    <x v="5"/>
    <s v="Monthly"/>
    <n v="0"/>
    <x v="0"/>
  </r>
  <r>
    <n v="2077"/>
    <n v="59"/>
    <s v="Male"/>
    <s v="Gloves"/>
    <x v="3"/>
    <n v="23"/>
    <x v="20"/>
    <s v="S"/>
    <s v="Indigo"/>
    <x v="3"/>
    <n v="4.5999999999999996"/>
    <s v="No"/>
    <s v="Cash"/>
    <s v="Free Shipping"/>
    <s v="No"/>
    <s v="No"/>
    <n v="22"/>
    <x v="5"/>
    <s v="Bi-Weekly"/>
    <n v="0"/>
    <x v="0"/>
  </r>
  <r>
    <n v="2078"/>
    <n v="64"/>
    <s v="Male"/>
    <s v="Scarf"/>
    <x v="3"/>
    <n v="34"/>
    <x v="43"/>
    <s v="L"/>
    <s v="Orange"/>
    <x v="3"/>
    <n v="3.3"/>
    <s v="No"/>
    <s v="Bank Transfer"/>
    <s v="Free Shipping"/>
    <s v="No"/>
    <s v="No"/>
    <n v="26"/>
    <x v="4"/>
    <s v="Annually"/>
    <n v="0"/>
    <x v="0"/>
  </r>
  <r>
    <n v="2079"/>
    <n v="49"/>
    <s v="Male"/>
    <s v="Dress"/>
    <x v="0"/>
    <n v="42"/>
    <x v="11"/>
    <s v="M"/>
    <s v="Blue"/>
    <x v="1"/>
    <n v="3.2"/>
    <s v="No"/>
    <s v="Venmo"/>
    <s v="Next Day Air"/>
    <s v="No"/>
    <s v="No"/>
    <n v="40"/>
    <x v="5"/>
    <s v="Weekly"/>
    <n v="0"/>
    <x v="0"/>
  </r>
  <r>
    <n v="2080"/>
    <n v="32"/>
    <s v="Male"/>
    <s v="Jeans"/>
    <x v="0"/>
    <n v="24"/>
    <x v="6"/>
    <s v="L"/>
    <s v="Violet"/>
    <x v="2"/>
    <n v="3.1"/>
    <s v="No"/>
    <s v="Debit Card"/>
    <s v="Next Day Air"/>
    <s v="No"/>
    <s v="No"/>
    <n v="16"/>
    <x v="3"/>
    <s v="Quarterly"/>
    <n v="0"/>
    <x v="3"/>
  </r>
  <r>
    <n v="2081"/>
    <n v="29"/>
    <s v="Male"/>
    <s v="Sunglasses"/>
    <x v="3"/>
    <n v="47"/>
    <x v="45"/>
    <s v="S"/>
    <s v="Gray"/>
    <x v="3"/>
    <n v="3.5"/>
    <s v="No"/>
    <s v="Credit Card"/>
    <s v="Free Shipping"/>
    <s v="No"/>
    <s v="No"/>
    <n v="17"/>
    <x v="5"/>
    <s v="Bi-Weekly"/>
    <n v="0"/>
    <x v="3"/>
  </r>
  <r>
    <n v="2082"/>
    <n v="24"/>
    <s v="Male"/>
    <s v="Coat"/>
    <x v="2"/>
    <n v="78"/>
    <x v="15"/>
    <s v="S"/>
    <s v="Cyan"/>
    <x v="1"/>
    <n v="4.3"/>
    <s v="No"/>
    <s v="Credit Card"/>
    <s v="Standard"/>
    <s v="No"/>
    <s v="No"/>
    <n v="48"/>
    <x v="4"/>
    <s v="Bi-Weekly"/>
    <n v="0"/>
    <x v="1"/>
  </r>
  <r>
    <n v="2083"/>
    <n v="41"/>
    <s v="Male"/>
    <s v="Jeans"/>
    <x v="0"/>
    <n v="89"/>
    <x v="10"/>
    <s v="M"/>
    <s v="Yellow"/>
    <x v="2"/>
    <n v="2.9"/>
    <s v="No"/>
    <s v="Cash"/>
    <s v="Free Shipping"/>
    <s v="No"/>
    <s v="No"/>
    <n v="28"/>
    <x v="0"/>
    <s v="Every 3 Months"/>
    <n v="0"/>
    <x v="2"/>
  </r>
  <r>
    <n v="2084"/>
    <n v="41"/>
    <s v="Male"/>
    <s v="Scarf"/>
    <x v="3"/>
    <n v="59"/>
    <x v="16"/>
    <s v="L"/>
    <s v="Orange"/>
    <x v="3"/>
    <n v="2.7"/>
    <s v="No"/>
    <s v="Credit Card"/>
    <s v="Store Pickup"/>
    <s v="No"/>
    <s v="No"/>
    <n v="26"/>
    <x v="2"/>
    <s v="Fortnightly"/>
    <n v="0"/>
    <x v="2"/>
  </r>
  <r>
    <n v="2085"/>
    <n v="32"/>
    <s v="Male"/>
    <s v="Blouse"/>
    <x v="0"/>
    <n v="94"/>
    <x v="34"/>
    <s v="S"/>
    <s v="Brown"/>
    <x v="2"/>
    <n v="4"/>
    <s v="No"/>
    <s v="Bank Transfer"/>
    <s v="Standard"/>
    <s v="No"/>
    <s v="No"/>
    <n v="43"/>
    <x v="4"/>
    <s v="Quarterly"/>
    <n v="0"/>
    <x v="3"/>
  </r>
  <r>
    <n v="2086"/>
    <n v="69"/>
    <s v="Male"/>
    <s v="Jeans"/>
    <x v="0"/>
    <n v="49"/>
    <x v="14"/>
    <s v="M"/>
    <s v="Teal"/>
    <x v="3"/>
    <n v="4.5999999999999996"/>
    <s v="No"/>
    <s v="Cash"/>
    <s v="Free Shipping"/>
    <s v="No"/>
    <s v="No"/>
    <n v="38"/>
    <x v="5"/>
    <s v="Weekly"/>
    <n v="0"/>
    <x v="0"/>
  </r>
  <r>
    <n v="2087"/>
    <n v="65"/>
    <s v="Male"/>
    <s v="Dress"/>
    <x v="0"/>
    <n v="89"/>
    <x v="25"/>
    <s v="L"/>
    <s v="Beige"/>
    <x v="2"/>
    <n v="4.7"/>
    <s v="No"/>
    <s v="Credit Card"/>
    <s v="2-Day Shipping"/>
    <s v="No"/>
    <s v="No"/>
    <n v="36"/>
    <x v="1"/>
    <s v="Every 3 Months"/>
    <n v="0"/>
    <x v="0"/>
  </r>
  <r>
    <n v="2088"/>
    <n v="54"/>
    <s v="Male"/>
    <s v="Hat"/>
    <x v="3"/>
    <n v="91"/>
    <x v="48"/>
    <s v="M"/>
    <s v="Blue"/>
    <x v="2"/>
    <n v="4.7"/>
    <s v="No"/>
    <s v="Credit Card"/>
    <s v="Standard"/>
    <s v="No"/>
    <s v="No"/>
    <n v="1"/>
    <x v="2"/>
    <s v="Weekly"/>
    <n v="0"/>
    <x v="0"/>
  </r>
  <r>
    <n v="2089"/>
    <n v="39"/>
    <s v="Male"/>
    <s v="Sandals"/>
    <x v="1"/>
    <n v="89"/>
    <x v="18"/>
    <s v="L"/>
    <s v="Orange"/>
    <x v="1"/>
    <n v="4"/>
    <s v="No"/>
    <s v="Cash"/>
    <s v="Standard"/>
    <s v="No"/>
    <s v="No"/>
    <n v="49"/>
    <x v="5"/>
    <s v="Annually"/>
    <n v="0"/>
    <x v="2"/>
  </r>
  <r>
    <n v="2090"/>
    <n v="37"/>
    <s v="Male"/>
    <s v="Jacket"/>
    <x v="2"/>
    <n v="57"/>
    <x v="33"/>
    <s v="L"/>
    <s v="Gold"/>
    <x v="1"/>
    <n v="3.6"/>
    <s v="No"/>
    <s v="Cash"/>
    <s v="Free Shipping"/>
    <s v="No"/>
    <s v="No"/>
    <n v="41"/>
    <x v="2"/>
    <s v="Every 3 Months"/>
    <n v="0"/>
    <x v="2"/>
  </r>
  <r>
    <n v="2091"/>
    <n v="51"/>
    <s v="Male"/>
    <s v="Socks"/>
    <x v="0"/>
    <n v="71"/>
    <x v="2"/>
    <s v="S"/>
    <s v="Teal"/>
    <x v="0"/>
    <n v="3.4"/>
    <s v="No"/>
    <s v="Debit Card"/>
    <s v="Free Shipping"/>
    <s v="No"/>
    <s v="No"/>
    <n v="21"/>
    <x v="5"/>
    <s v="Monthly"/>
    <n v="0"/>
    <x v="0"/>
  </r>
  <r>
    <n v="2092"/>
    <n v="26"/>
    <s v="Male"/>
    <s v="Jeans"/>
    <x v="0"/>
    <n v="97"/>
    <x v="47"/>
    <s v="XL"/>
    <s v="Beige"/>
    <x v="3"/>
    <n v="3"/>
    <s v="No"/>
    <s v="PayPal"/>
    <s v="Next Day Air"/>
    <s v="No"/>
    <s v="No"/>
    <n v="24"/>
    <x v="4"/>
    <s v="Quarterly"/>
    <n v="0"/>
    <x v="3"/>
  </r>
  <r>
    <n v="2093"/>
    <n v="42"/>
    <s v="Male"/>
    <s v="Sandals"/>
    <x v="1"/>
    <n v="45"/>
    <x v="46"/>
    <s v="M"/>
    <s v="Silver"/>
    <x v="3"/>
    <n v="2.6"/>
    <s v="No"/>
    <s v="Bank Transfer"/>
    <s v="Next Day Air"/>
    <s v="No"/>
    <s v="No"/>
    <n v="27"/>
    <x v="4"/>
    <s v="Weekly"/>
    <n v="0"/>
    <x v="2"/>
  </r>
  <r>
    <n v="2094"/>
    <n v="21"/>
    <s v="Male"/>
    <s v="Dress"/>
    <x v="0"/>
    <n v="91"/>
    <x v="47"/>
    <s v="M"/>
    <s v="Maroon"/>
    <x v="1"/>
    <n v="4.2"/>
    <s v="No"/>
    <s v="Venmo"/>
    <s v="Store Pickup"/>
    <s v="No"/>
    <s v="No"/>
    <n v="4"/>
    <x v="5"/>
    <s v="Annually"/>
    <n v="0"/>
    <x v="1"/>
  </r>
  <r>
    <n v="2095"/>
    <n v="53"/>
    <s v="Male"/>
    <s v="Socks"/>
    <x v="0"/>
    <n v="25"/>
    <x v="36"/>
    <s v="M"/>
    <s v="Indigo"/>
    <x v="1"/>
    <n v="3.4"/>
    <s v="No"/>
    <s v="Bank Transfer"/>
    <s v="Standard"/>
    <s v="No"/>
    <s v="No"/>
    <n v="19"/>
    <x v="0"/>
    <s v="Annually"/>
    <n v="0"/>
    <x v="0"/>
  </r>
  <r>
    <n v="2096"/>
    <n v="36"/>
    <s v="Male"/>
    <s v="Hoodie"/>
    <x v="0"/>
    <n v="63"/>
    <x v="35"/>
    <s v="M"/>
    <s v="Gray"/>
    <x v="3"/>
    <n v="4"/>
    <s v="No"/>
    <s v="Credit Card"/>
    <s v="Store Pickup"/>
    <s v="No"/>
    <s v="No"/>
    <n v="1"/>
    <x v="4"/>
    <s v="Fortnightly"/>
    <n v="0"/>
    <x v="2"/>
  </r>
  <r>
    <n v="2097"/>
    <n v="21"/>
    <s v="Male"/>
    <s v="Dress"/>
    <x v="0"/>
    <n v="52"/>
    <x v="17"/>
    <s v="L"/>
    <s v="Blue"/>
    <x v="2"/>
    <n v="4.7"/>
    <s v="No"/>
    <s v="Debit Card"/>
    <s v="Free Shipping"/>
    <s v="No"/>
    <s v="No"/>
    <n v="27"/>
    <x v="5"/>
    <s v="Annually"/>
    <n v="0"/>
    <x v="1"/>
  </r>
  <r>
    <n v="2098"/>
    <n v="33"/>
    <s v="Male"/>
    <s v="Sneakers"/>
    <x v="1"/>
    <n v="43"/>
    <x v="44"/>
    <s v="S"/>
    <s v="Cyan"/>
    <x v="0"/>
    <n v="3.9"/>
    <s v="No"/>
    <s v="Credit Card"/>
    <s v="Next Day Air"/>
    <s v="No"/>
    <s v="No"/>
    <n v="5"/>
    <x v="2"/>
    <s v="Weekly"/>
    <n v="0"/>
    <x v="3"/>
  </r>
  <r>
    <n v="2099"/>
    <n v="49"/>
    <s v="Male"/>
    <s v="T-shirt"/>
    <x v="0"/>
    <n v="28"/>
    <x v="7"/>
    <s v="M"/>
    <s v="White"/>
    <x v="2"/>
    <n v="3.3"/>
    <s v="No"/>
    <s v="Credit Card"/>
    <s v="2-Day Shipping"/>
    <s v="No"/>
    <s v="No"/>
    <n v="20"/>
    <x v="0"/>
    <s v="Quarterly"/>
    <n v="0"/>
    <x v="0"/>
  </r>
  <r>
    <n v="2100"/>
    <n v="31"/>
    <s v="Male"/>
    <s v="T-shirt"/>
    <x v="0"/>
    <n v="78"/>
    <x v="19"/>
    <s v="L"/>
    <s v="Green"/>
    <x v="2"/>
    <n v="2.9"/>
    <s v="No"/>
    <s v="Debit Card"/>
    <s v="Express"/>
    <s v="No"/>
    <s v="No"/>
    <n v="50"/>
    <x v="3"/>
    <s v="Annually"/>
    <n v="0"/>
    <x v="3"/>
  </r>
  <r>
    <n v="2101"/>
    <n v="68"/>
    <s v="Male"/>
    <s v="Sweater"/>
    <x v="0"/>
    <n v="31"/>
    <x v="49"/>
    <s v="M"/>
    <s v="Silver"/>
    <x v="1"/>
    <n v="4.4000000000000004"/>
    <s v="No"/>
    <s v="PayPal"/>
    <s v="Free Shipping"/>
    <s v="No"/>
    <s v="No"/>
    <n v="36"/>
    <x v="1"/>
    <s v="Fortnightly"/>
    <n v="0"/>
    <x v="0"/>
  </r>
  <r>
    <n v="2102"/>
    <n v="49"/>
    <s v="Male"/>
    <s v="Shirt"/>
    <x v="0"/>
    <n v="23"/>
    <x v="4"/>
    <s v="M"/>
    <s v="Blue"/>
    <x v="0"/>
    <n v="3.6"/>
    <s v="No"/>
    <s v="Cash"/>
    <s v="Next Day Air"/>
    <s v="No"/>
    <s v="No"/>
    <n v="12"/>
    <x v="4"/>
    <s v="Bi-Weekly"/>
    <n v="0"/>
    <x v="0"/>
  </r>
  <r>
    <n v="2103"/>
    <n v="23"/>
    <s v="Male"/>
    <s v="Hat"/>
    <x v="3"/>
    <n v="25"/>
    <x v="37"/>
    <s v="M"/>
    <s v="Brown"/>
    <x v="1"/>
    <n v="4.5"/>
    <s v="No"/>
    <s v="PayPal"/>
    <s v="Store Pickup"/>
    <s v="No"/>
    <s v="No"/>
    <n v="23"/>
    <x v="1"/>
    <s v="Monthly"/>
    <n v="0"/>
    <x v="1"/>
  </r>
  <r>
    <n v="2104"/>
    <n v="30"/>
    <s v="Male"/>
    <s v="Pants"/>
    <x v="0"/>
    <n v="86"/>
    <x v="27"/>
    <s v="S"/>
    <s v="Red"/>
    <x v="2"/>
    <n v="3.7"/>
    <s v="No"/>
    <s v="PayPal"/>
    <s v="Store Pickup"/>
    <s v="No"/>
    <s v="No"/>
    <n v="21"/>
    <x v="0"/>
    <s v="Weekly"/>
    <n v="0"/>
    <x v="3"/>
  </r>
  <r>
    <n v="2105"/>
    <n v="53"/>
    <s v="Male"/>
    <s v="Shoes"/>
    <x v="1"/>
    <n v="88"/>
    <x v="35"/>
    <s v="M"/>
    <s v="Gold"/>
    <x v="1"/>
    <n v="2.8"/>
    <s v="No"/>
    <s v="Bank Transfer"/>
    <s v="Free Shipping"/>
    <s v="No"/>
    <s v="No"/>
    <n v="47"/>
    <x v="0"/>
    <s v="Weekly"/>
    <n v="0"/>
    <x v="0"/>
  </r>
  <r>
    <n v="2106"/>
    <n v="65"/>
    <s v="Male"/>
    <s v="Gloves"/>
    <x v="3"/>
    <n v="35"/>
    <x v="36"/>
    <s v="M"/>
    <s v="Silver"/>
    <x v="1"/>
    <n v="4.5"/>
    <s v="No"/>
    <s v="Credit Card"/>
    <s v="Free Shipping"/>
    <s v="No"/>
    <s v="No"/>
    <n v="38"/>
    <x v="0"/>
    <s v="Bi-Weekly"/>
    <n v="0"/>
    <x v="0"/>
  </r>
  <r>
    <n v="2107"/>
    <n v="60"/>
    <s v="Male"/>
    <s v="Jewelry"/>
    <x v="3"/>
    <n v="34"/>
    <x v="34"/>
    <s v="M"/>
    <s v="Gray"/>
    <x v="3"/>
    <n v="4.4000000000000004"/>
    <s v="No"/>
    <s v="Cash"/>
    <s v="Standard"/>
    <s v="No"/>
    <s v="No"/>
    <n v="40"/>
    <x v="2"/>
    <s v="Every 3 Months"/>
    <n v="0"/>
    <x v="0"/>
  </r>
  <r>
    <n v="2108"/>
    <n v="46"/>
    <s v="Male"/>
    <s v="Pants"/>
    <x v="0"/>
    <n v="75"/>
    <x v="12"/>
    <s v="M"/>
    <s v="Black"/>
    <x v="0"/>
    <n v="3.3"/>
    <s v="No"/>
    <s v="PayPal"/>
    <s v="Standard"/>
    <s v="No"/>
    <s v="No"/>
    <n v="35"/>
    <x v="3"/>
    <s v="Quarterly"/>
    <n v="0"/>
    <x v="0"/>
  </r>
  <r>
    <n v="2109"/>
    <n v="54"/>
    <s v="Male"/>
    <s v="Hoodie"/>
    <x v="0"/>
    <n v="46"/>
    <x v="25"/>
    <s v="XL"/>
    <s v="Beige"/>
    <x v="0"/>
    <n v="4.2"/>
    <s v="No"/>
    <s v="Debit Card"/>
    <s v="Express"/>
    <s v="No"/>
    <s v="No"/>
    <n v="4"/>
    <x v="2"/>
    <s v="Quarterly"/>
    <n v="0"/>
    <x v="0"/>
  </r>
  <r>
    <n v="2110"/>
    <n v="59"/>
    <s v="Male"/>
    <s v="Jewelry"/>
    <x v="3"/>
    <n v="31"/>
    <x v="18"/>
    <s v="L"/>
    <s v="Peach"/>
    <x v="3"/>
    <n v="2.7"/>
    <s v="No"/>
    <s v="Cash"/>
    <s v="Free Shipping"/>
    <s v="No"/>
    <s v="No"/>
    <n v="28"/>
    <x v="0"/>
    <s v="Every 3 Months"/>
    <n v="0"/>
    <x v="0"/>
  </r>
  <r>
    <n v="2111"/>
    <n v="52"/>
    <s v="Male"/>
    <s v="Socks"/>
    <x v="0"/>
    <n v="93"/>
    <x v="6"/>
    <s v="L"/>
    <s v="Cyan"/>
    <x v="1"/>
    <n v="3.9"/>
    <s v="No"/>
    <s v="Cash"/>
    <s v="Store Pickup"/>
    <s v="No"/>
    <s v="No"/>
    <n v="36"/>
    <x v="5"/>
    <s v="Every 3 Months"/>
    <n v="0"/>
    <x v="0"/>
  </r>
  <r>
    <n v="2112"/>
    <n v="41"/>
    <s v="Male"/>
    <s v="Sunglasses"/>
    <x v="3"/>
    <n v="85"/>
    <x v="9"/>
    <s v="XL"/>
    <s v="Pink"/>
    <x v="1"/>
    <n v="2.6"/>
    <s v="No"/>
    <s v="Credit Card"/>
    <s v="Free Shipping"/>
    <s v="No"/>
    <s v="No"/>
    <n v="15"/>
    <x v="4"/>
    <s v="Annually"/>
    <n v="0"/>
    <x v="2"/>
  </r>
  <r>
    <n v="2113"/>
    <n v="43"/>
    <s v="Male"/>
    <s v="Belt"/>
    <x v="3"/>
    <n v="68"/>
    <x v="30"/>
    <s v="M"/>
    <s v="Lavender"/>
    <x v="3"/>
    <n v="4.5"/>
    <s v="No"/>
    <s v="Credit Card"/>
    <s v="2-Day Shipping"/>
    <s v="No"/>
    <s v="No"/>
    <n v="7"/>
    <x v="1"/>
    <s v="Fortnightly"/>
    <n v="0"/>
    <x v="2"/>
  </r>
  <r>
    <n v="2114"/>
    <n v="63"/>
    <s v="Male"/>
    <s v="Dress"/>
    <x v="0"/>
    <n v="40"/>
    <x v="41"/>
    <s v="M"/>
    <s v="Brown"/>
    <x v="1"/>
    <n v="2.7"/>
    <s v="No"/>
    <s v="Credit Card"/>
    <s v="Store Pickup"/>
    <s v="No"/>
    <s v="No"/>
    <n v="29"/>
    <x v="3"/>
    <s v="Every 3 Months"/>
    <n v="0"/>
    <x v="0"/>
  </r>
  <r>
    <n v="2115"/>
    <n v="37"/>
    <s v="Male"/>
    <s v="Shirt"/>
    <x v="0"/>
    <n v="51"/>
    <x v="34"/>
    <s v="M"/>
    <s v="Magenta"/>
    <x v="0"/>
    <n v="2.9"/>
    <s v="No"/>
    <s v="Credit Card"/>
    <s v="Standard"/>
    <s v="No"/>
    <s v="No"/>
    <n v="12"/>
    <x v="5"/>
    <s v="Annually"/>
    <n v="0"/>
    <x v="2"/>
  </r>
  <r>
    <n v="2116"/>
    <n v="44"/>
    <s v="Male"/>
    <s v="Scarf"/>
    <x v="3"/>
    <n v="85"/>
    <x v="3"/>
    <s v="M"/>
    <s v="Violet"/>
    <x v="0"/>
    <n v="3.4"/>
    <s v="No"/>
    <s v="Credit Card"/>
    <s v="Store Pickup"/>
    <s v="No"/>
    <s v="No"/>
    <n v="16"/>
    <x v="4"/>
    <s v="Bi-Weekly"/>
    <n v="0"/>
    <x v="2"/>
  </r>
  <r>
    <n v="2117"/>
    <n v="67"/>
    <s v="Male"/>
    <s v="Jacket"/>
    <x v="2"/>
    <n v="23"/>
    <x v="23"/>
    <s v="M"/>
    <s v="Teal"/>
    <x v="2"/>
    <n v="2.9"/>
    <s v="No"/>
    <s v="PayPal"/>
    <s v="Express"/>
    <s v="No"/>
    <s v="No"/>
    <n v="50"/>
    <x v="5"/>
    <s v="Bi-Weekly"/>
    <n v="0"/>
    <x v="0"/>
  </r>
  <r>
    <n v="2118"/>
    <n v="27"/>
    <s v="Male"/>
    <s v="Dress"/>
    <x v="0"/>
    <n v="28"/>
    <x v="24"/>
    <s v="L"/>
    <s v="Brown"/>
    <x v="2"/>
    <n v="3.8"/>
    <s v="No"/>
    <s v="Bank Transfer"/>
    <s v="Free Shipping"/>
    <s v="No"/>
    <s v="No"/>
    <n v="11"/>
    <x v="5"/>
    <s v="Annually"/>
    <n v="0"/>
    <x v="3"/>
  </r>
  <r>
    <n v="2119"/>
    <n v="60"/>
    <s v="Male"/>
    <s v="Socks"/>
    <x v="0"/>
    <n v="44"/>
    <x v="42"/>
    <s v="M"/>
    <s v="Olive"/>
    <x v="3"/>
    <n v="4.2"/>
    <s v="No"/>
    <s v="Bank Transfer"/>
    <s v="2-Day Shipping"/>
    <s v="No"/>
    <s v="No"/>
    <n v="28"/>
    <x v="5"/>
    <s v="Quarterly"/>
    <n v="0"/>
    <x v="0"/>
  </r>
  <r>
    <n v="2120"/>
    <n v="58"/>
    <s v="Male"/>
    <s v="Jewelry"/>
    <x v="3"/>
    <n v="57"/>
    <x v="43"/>
    <s v="M"/>
    <s v="Indigo"/>
    <x v="1"/>
    <n v="3.5"/>
    <s v="No"/>
    <s v="Debit Card"/>
    <s v="Store Pickup"/>
    <s v="No"/>
    <s v="No"/>
    <n v="36"/>
    <x v="0"/>
    <s v="Bi-Weekly"/>
    <n v="0"/>
    <x v="0"/>
  </r>
  <r>
    <n v="2121"/>
    <n v="53"/>
    <s v="Male"/>
    <s v="Scarf"/>
    <x v="3"/>
    <n v="98"/>
    <x v="9"/>
    <s v="S"/>
    <s v="Red"/>
    <x v="3"/>
    <n v="3.1"/>
    <s v="No"/>
    <s v="Venmo"/>
    <s v="Next Day Air"/>
    <s v="No"/>
    <s v="No"/>
    <n v="38"/>
    <x v="3"/>
    <s v="Quarterly"/>
    <n v="0"/>
    <x v="0"/>
  </r>
  <r>
    <n v="2122"/>
    <n v="43"/>
    <s v="Male"/>
    <s v="Backpack"/>
    <x v="3"/>
    <n v="68"/>
    <x v="29"/>
    <s v="M"/>
    <s v="Olive"/>
    <x v="0"/>
    <n v="3.5"/>
    <s v="No"/>
    <s v="Credit Card"/>
    <s v="2-Day Shipping"/>
    <s v="No"/>
    <s v="No"/>
    <n v="32"/>
    <x v="4"/>
    <s v="Monthly"/>
    <n v="0"/>
    <x v="2"/>
  </r>
  <r>
    <n v="2123"/>
    <n v="32"/>
    <s v="Male"/>
    <s v="Jacket"/>
    <x v="2"/>
    <n v="36"/>
    <x v="41"/>
    <s v="L"/>
    <s v="Teal"/>
    <x v="3"/>
    <n v="4"/>
    <s v="No"/>
    <s v="PayPal"/>
    <s v="Express"/>
    <s v="No"/>
    <s v="No"/>
    <n v="42"/>
    <x v="5"/>
    <s v="Weekly"/>
    <n v="0"/>
    <x v="3"/>
  </r>
  <r>
    <n v="2124"/>
    <n v="54"/>
    <s v="Male"/>
    <s v="Coat"/>
    <x v="2"/>
    <n v="71"/>
    <x v="43"/>
    <s v="L"/>
    <s v="Cyan"/>
    <x v="1"/>
    <n v="3.7"/>
    <s v="No"/>
    <s v="Cash"/>
    <s v="Express"/>
    <s v="No"/>
    <s v="No"/>
    <n v="22"/>
    <x v="5"/>
    <s v="Bi-Weekly"/>
    <n v="0"/>
    <x v="0"/>
  </r>
  <r>
    <n v="2125"/>
    <n v="47"/>
    <s v="Male"/>
    <s v="Skirt"/>
    <x v="0"/>
    <n v="60"/>
    <x v="3"/>
    <s v="M"/>
    <s v="Teal"/>
    <x v="3"/>
    <n v="4.2"/>
    <s v="No"/>
    <s v="Venmo"/>
    <s v="Next Day Air"/>
    <s v="No"/>
    <s v="No"/>
    <n v="22"/>
    <x v="0"/>
    <s v="Quarterly"/>
    <n v="0"/>
    <x v="0"/>
  </r>
  <r>
    <n v="2126"/>
    <n v="57"/>
    <s v="Male"/>
    <s v="Coat"/>
    <x v="2"/>
    <n v="87"/>
    <x v="13"/>
    <s v="M"/>
    <s v="Beige"/>
    <x v="3"/>
    <n v="4.8"/>
    <s v="No"/>
    <s v="Credit Card"/>
    <s v="Store Pickup"/>
    <s v="No"/>
    <s v="No"/>
    <n v="31"/>
    <x v="3"/>
    <s v="Quarterly"/>
    <n v="0"/>
    <x v="0"/>
  </r>
  <r>
    <n v="2127"/>
    <n v="63"/>
    <s v="Male"/>
    <s v="Shoes"/>
    <x v="1"/>
    <n v="38"/>
    <x v="15"/>
    <s v="XL"/>
    <s v="Magenta"/>
    <x v="0"/>
    <n v="4.0999999999999996"/>
    <s v="No"/>
    <s v="PayPal"/>
    <s v="Express"/>
    <s v="No"/>
    <s v="No"/>
    <n v="28"/>
    <x v="2"/>
    <s v="Monthly"/>
    <n v="0"/>
    <x v="0"/>
  </r>
  <r>
    <n v="2128"/>
    <n v="70"/>
    <s v="Male"/>
    <s v="Boots"/>
    <x v="1"/>
    <n v="45"/>
    <x v="17"/>
    <s v="M"/>
    <s v="Indigo"/>
    <x v="1"/>
    <n v="4.5"/>
    <s v="No"/>
    <s v="Credit Card"/>
    <s v="2-Day Shipping"/>
    <s v="No"/>
    <s v="No"/>
    <n v="40"/>
    <x v="5"/>
    <s v="Weekly"/>
    <n v="0"/>
    <x v="0"/>
  </r>
  <r>
    <n v="2129"/>
    <n v="62"/>
    <s v="Male"/>
    <s v="Coat"/>
    <x v="2"/>
    <n v="47"/>
    <x v="35"/>
    <s v="L"/>
    <s v="Cyan"/>
    <x v="3"/>
    <n v="2.7"/>
    <s v="No"/>
    <s v="PayPal"/>
    <s v="2-Day Shipping"/>
    <s v="No"/>
    <s v="No"/>
    <n v="21"/>
    <x v="3"/>
    <s v="Weekly"/>
    <n v="0"/>
    <x v="0"/>
  </r>
  <r>
    <n v="2130"/>
    <n v="40"/>
    <s v="Male"/>
    <s v="Skirt"/>
    <x v="0"/>
    <n v="57"/>
    <x v="46"/>
    <s v="L"/>
    <s v="Orange"/>
    <x v="3"/>
    <n v="2.8"/>
    <s v="No"/>
    <s v="Credit Card"/>
    <s v="Store Pickup"/>
    <s v="No"/>
    <s v="No"/>
    <n v="12"/>
    <x v="3"/>
    <s v="Every 3 Months"/>
    <n v="0"/>
    <x v="2"/>
  </r>
  <r>
    <n v="2131"/>
    <n v="25"/>
    <s v="Male"/>
    <s v="Backpack"/>
    <x v="3"/>
    <n v="68"/>
    <x v="28"/>
    <s v="L"/>
    <s v="Violet"/>
    <x v="2"/>
    <n v="3.7"/>
    <s v="No"/>
    <s v="Debit Card"/>
    <s v="Free Shipping"/>
    <s v="No"/>
    <s v="No"/>
    <n v="33"/>
    <x v="2"/>
    <s v="Annually"/>
    <n v="0"/>
    <x v="1"/>
  </r>
  <r>
    <n v="2132"/>
    <n v="19"/>
    <s v="Male"/>
    <s v="Shorts"/>
    <x v="0"/>
    <n v="52"/>
    <x v="6"/>
    <s v="M"/>
    <s v="Red"/>
    <x v="3"/>
    <n v="3.6"/>
    <s v="No"/>
    <s v="Credit Card"/>
    <s v="Express"/>
    <s v="No"/>
    <s v="No"/>
    <n v="9"/>
    <x v="4"/>
    <s v="Fortnightly"/>
    <n v="0"/>
    <x v="1"/>
  </r>
  <r>
    <n v="2133"/>
    <n v="25"/>
    <s v="Male"/>
    <s v="Skirt"/>
    <x v="0"/>
    <n v="87"/>
    <x v="34"/>
    <s v="M"/>
    <s v="Magenta"/>
    <x v="3"/>
    <n v="4.7"/>
    <s v="No"/>
    <s v="PayPal"/>
    <s v="2-Day Shipping"/>
    <s v="No"/>
    <s v="No"/>
    <n v="15"/>
    <x v="5"/>
    <s v="Weekly"/>
    <n v="0"/>
    <x v="1"/>
  </r>
  <r>
    <n v="2134"/>
    <n v="21"/>
    <s v="Male"/>
    <s v="Hat"/>
    <x v="3"/>
    <n v="34"/>
    <x v="1"/>
    <s v="M"/>
    <s v="Olive"/>
    <x v="2"/>
    <n v="3.8"/>
    <s v="No"/>
    <s v="PayPal"/>
    <s v="Standard"/>
    <s v="No"/>
    <s v="No"/>
    <n v="13"/>
    <x v="4"/>
    <s v="Annually"/>
    <n v="0"/>
    <x v="1"/>
  </r>
  <r>
    <n v="2135"/>
    <n v="55"/>
    <s v="Male"/>
    <s v="Sandals"/>
    <x v="1"/>
    <n v="41"/>
    <x v="41"/>
    <s v="XL"/>
    <s v="Maroon"/>
    <x v="0"/>
    <n v="2.9"/>
    <s v="No"/>
    <s v="Venmo"/>
    <s v="Standard"/>
    <s v="No"/>
    <s v="No"/>
    <n v="35"/>
    <x v="2"/>
    <s v="Fortnightly"/>
    <n v="0"/>
    <x v="0"/>
  </r>
  <r>
    <n v="2136"/>
    <n v="34"/>
    <s v="Male"/>
    <s v="Sunglasses"/>
    <x v="3"/>
    <n v="94"/>
    <x v="18"/>
    <s v="S"/>
    <s v="Yellow"/>
    <x v="0"/>
    <n v="4.5999999999999996"/>
    <s v="No"/>
    <s v="Credit Card"/>
    <s v="Next Day Air"/>
    <s v="No"/>
    <s v="No"/>
    <n v="1"/>
    <x v="5"/>
    <s v="Every 3 Months"/>
    <n v="0"/>
    <x v="3"/>
  </r>
  <r>
    <n v="2137"/>
    <n v="47"/>
    <s v="Male"/>
    <s v="Sunglasses"/>
    <x v="3"/>
    <n v="93"/>
    <x v="14"/>
    <s v="M"/>
    <s v="Red"/>
    <x v="2"/>
    <n v="2.8"/>
    <s v="No"/>
    <s v="Bank Transfer"/>
    <s v="Standard"/>
    <s v="No"/>
    <s v="No"/>
    <n v="25"/>
    <x v="4"/>
    <s v="Fortnightly"/>
    <n v="0"/>
    <x v="0"/>
  </r>
  <r>
    <n v="2138"/>
    <n v="27"/>
    <s v="Male"/>
    <s v="Socks"/>
    <x v="0"/>
    <n v="51"/>
    <x v="27"/>
    <s v="XL"/>
    <s v="Purple"/>
    <x v="0"/>
    <n v="4.5999999999999996"/>
    <s v="No"/>
    <s v="Bank Transfer"/>
    <s v="2-Day Shipping"/>
    <s v="No"/>
    <s v="No"/>
    <n v="20"/>
    <x v="2"/>
    <s v="Every 3 Months"/>
    <n v="0"/>
    <x v="3"/>
  </r>
  <r>
    <n v="2139"/>
    <n v="67"/>
    <s v="Male"/>
    <s v="Sweater"/>
    <x v="0"/>
    <n v="42"/>
    <x v="16"/>
    <s v="M"/>
    <s v="Teal"/>
    <x v="3"/>
    <n v="2.8"/>
    <s v="No"/>
    <s v="Venmo"/>
    <s v="Next Day Air"/>
    <s v="No"/>
    <s v="No"/>
    <n v="36"/>
    <x v="0"/>
    <s v="Quarterly"/>
    <n v="0"/>
    <x v="0"/>
  </r>
  <r>
    <n v="2140"/>
    <n v="40"/>
    <s v="Male"/>
    <s v="Boots"/>
    <x v="1"/>
    <n v="95"/>
    <x v="14"/>
    <s v="M"/>
    <s v="Red"/>
    <x v="0"/>
    <n v="3"/>
    <s v="No"/>
    <s v="Credit Card"/>
    <s v="Free Shipping"/>
    <s v="No"/>
    <s v="No"/>
    <n v="33"/>
    <x v="1"/>
    <s v="Weekly"/>
    <n v="0"/>
    <x v="2"/>
  </r>
  <r>
    <n v="2141"/>
    <n v="53"/>
    <s v="Male"/>
    <s v="Handbag"/>
    <x v="3"/>
    <n v="90"/>
    <x v="35"/>
    <s v="M"/>
    <s v="Brown"/>
    <x v="3"/>
    <n v="3.7"/>
    <s v="No"/>
    <s v="Cash"/>
    <s v="Standard"/>
    <s v="No"/>
    <s v="No"/>
    <n v="36"/>
    <x v="1"/>
    <s v="Fortnightly"/>
    <n v="0"/>
    <x v="0"/>
  </r>
  <r>
    <n v="2142"/>
    <n v="24"/>
    <s v="Male"/>
    <s v="Dress"/>
    <x v="0"/>
    <n v="98"/>
    <x v="0"/>
    <s v="M"/>
    <s v="Peach"/>
    <x v="0"/>
    <n v="4.0999999999999996"/>
    <s v="No"/>
    <s v="Credit Card"/>
    <s v="2-Day Shipping"/>
    <s v="No"/>
    <s v="No"/>
    <n v="32"/>
    <x v="3"/>
    <s v="Annually"/>
    <n v="0"/>
    <x v="1"/>
  </r>
  <r>
    <n v="2143"/>
    <n v="47"/>
    <s v="Male"/>
    <s v="Hat"/>
    <x v="3"/>
    <n v="39"/>
    <x v="25"/>
    <s v="M"/>
    <s v="Maroon"/>
    <x v="0"/>
    <n v="4.3"/>
    <s v="No"/>
    <s v="Venmo"/>
    <s v="Next Day Air"/>
    <s v="No"/>
    <s v="No"/>
    <n v="21"/>
    <x v="0"/>
    <s v="Quarterly"/>
    <n v="0"/>
    <x v="0"/>
  </r>
  <r>
    <n v="2144"/>
    <n v="53"/>
    <s v="Male"/>
    <s v="Sandals"/>
    <x v="1"/>
    <n v="66"/>
    <x v="10"/>
    <s v="L"/>
    <s v="Red"/>
    <x v="3"/>
    <n v="3.8"/>
    <s v="No"/>
    <s v="Debit Card"/>
    <s v="Next Day Air"/>
    <s v="No"/>
    <s v="No"/>
    <n v="48"/>
    <x v="0"/>
    <s v="Bi-Weekly"/>
    <n v="0"/>
    <x v="0"/>
  </r>
  <r>
    <n v="2145"/>
    <n v="47"/>
    <s v="Male"/>
    <s v="Shoes"/>
    <x v="1"/>
    <n v="23"/>
    <x v="33"/>
    <s v="L"/>
    <s v="Orange"/>
    <x v="0"/>
    <n v="3.7"/>
    <s v="No"/>
    <s v="Cash"/>
    <s v="Free Shipping"/>
    <s v="No"/>
    <s v="No"/>
    <n v="25"/>
    <x v="3"/>
    <s v="Quarterly"/>
    <n v="0"/>
    <x v="0"/>
  </r>
  <r>
    <n v="2146"/>
    <n v="38"/>
    <s v="Male"/>
    <s v="Skirt"/>
    <x v="0"/>
    <n v="73"/>
    <x v="39"/>
    <s v="S"/>
    <s v="White"/>
    <x v="0"/>
    <n v="4.8"/>
    <s v="No"/>
    <s v="Debit Card"/>
    <s v="Standard"/>
    <s v="No"/>
    <s v="No"/>
    <n v="32"/>
    <x v="3"/>
    <s v="Annually"/>
    <n v="0"/>
    <x v="2"/>
  </r>
  <r>
    <n v="2147"/>
    <n v="48"/>
    <s v="Male"/>
    <s v="Sunglasses"/>
    <x v="3"/>
    <n v="23"/>
    <x v="40"/>
    <s v="XL"/>
    <s v="White"/>
    <x v="2"/>
    <n v="4.5999999999999996"/>
    <s v="No"/>
    <s v="Debit Card"/>
    <s v="Standard"/>
    <s v="No"/>
    <s v="No"/>
    <n v="45"/>
    <x v="3"/>
    <s v="Every 3 Months"/>
    <n v="0"/>
    <x v="0"/>
  </r>
  <r>
    <n v="2148"/>
    <n v="47"/>
    <s v="Male"/>
    <s v="Skirt"/>
    <x v="0"/>
    <n v="43"/>
    <x v="9"/>
    <s v="S"/>
    <s v="Charcoal"/>
    <x v="3"/>
    <n v="4.8"/>
    <s v="No"/>
    <s v="PayPal"/>
    <s v="Standard"/>
    <s v="No"/>
    <s v="No"/>
    <n v="4"/>
    <x v="1"/>
    <s v="Fortnightly"/>
    <n v="0"/>
    <x v="0"/>
  </r>
  <r>
    <n v="2149"/>
    <n v="19"/>
    <s v="Male"/>
    <s v="T-shirt"/>
    <x v="0"/>
    <n v="45"/>
    <x v="43"/>
    <s v="XL"/>
    <s v="Turquoise"/>
    <x v="0"/>
    <n v="4.5999999999999996"/>
    <s v="No"/>
    <s v="PayPal"/>
    <s v="2-Day Shipping"/>
    <s v="No"/>
    <s v="No"/>
    <n v="19"/>
    <x v="3"/>
    <s v="Bi-Weekly"/>
    <n v="0"/>
    <x v="1"/>
  </r>
  <r>
    <n v="2150"/>
    <n v="38"/>
    <s v="Male"/>
    <s v="Sandals"/>
    <x v="1"/>
    <n v="21"/>
    <x v="11"/>
    <s v="L"/>
    <s v="Orange"/>
    <x v="0"/>
    <n v="4"/>
    <s v="No"/>
    <s v="Bank Transfer"/>
    <s v="Standard"/>
    <s v="No"/>
    <s v="No"/>
    <n v="1"/>
    <x v="4"/>
    <s v="Weekly"/>
    <n v="0"/>
    <x v="2"/>
  </r>
  <r>
    <n v="2151"/>
    <n v="57"/>
    <s v="Male"/>
    <s v="Shirt"/>
    <x v="0"/>
    <n v="40"/>
    <x v="26"/>
    <s v="M"/>
    <s v="Orange"/>
    <x v="1"/>
    <n v="2.6"/>
    <s v="No"/>
    <s v="PayPal"/>
    <s v="2-Day Shipping"/>
    <s v="No"/>
    <s v="No"/>
    <n v="12"/>
    <x v="1"/>
    <s v="Weekly"/>
    <n v="0"/>
    <x v="0"/>
  </r>
  <r>
    <n v="2152"/>
    <n v="70"/>
    <s v="Male"/>
    <s v="Jeans"/>
    <x v="0"/>
    <n v="58"/>
    <x v="34"/>
    <s v="L"/>
    <s v="Brown"/>
    <x v="3"/>
    <n v="2.6"/>
    <s v="No"/>
    <s v="Venmo"/>
    <s v="2-Day Shipping"/>
    <s v="No"/>
    <s v="No"/>
    <n v="18"/>
    <x v="0"/>
    <s v="Monthly"/>
    <n v="0"/>
    <x v="0"/>
  </r>
  <r>
    <n v="2153"/>
    <n v="38"/>
    <s v="Male"/>
    <s v="Shorts"/>
    <x v="0"/>
    <n v="48"/>
    <x v="32"/>
    <s v="L"/>
    <s v="Magenta"/>
    <x v="2"/>
    <n v="4.5"/>
    <s v="No"/>
    <s v="Bank Transfer"/>
    <s v="Next Day Air"/>
    <s v="No"/>
    <s v="No"/>
    <n v="43"/>
    <x v="4"/>
    <s v="Bi-Weekly"/>
    <n v="0"/>
    <x v="2"/>
  </r>
  <r>
    <n v="2154"/>
    <n v="35"/>
    <s v="Male"/>
    <s v="Shirt"/>
    <x v="0"/>
    <n v="94"/>
    <x v="0"/>
    <s v="M"/>
    <s v="Violet"/>
    <x v="3"/>
    <n v="4.2"/>
    <s v="No"/>
    <s v="Credit Card"/>
    <s v="Free Shipping"/>
    <s v="No"/>
    <s v="No"/>
    <n v="31"/>
    <x v="3"/>
    <s v="Annually"/>
    <n v="0"/>
    <x v="3"/>
  </r>
  <r>
    <n v="2155"/>
    <n v="46"/>
    <s v="Male"/>
    <s v="Scarf"/>
    <x v="3"/>
    <n v="74"/>
    <x v="5"/>
    <s v="M"/>
    <s v="Violet"/>
    <x v="1"/>
    <n v="3.4"/>
    <s v="No"/>
    <s v="Debit Card"/>
    <s v="Store Pickup"/>
    <s v="No"/>
    <s v="No"/>
    <n v="33"/>
    <x v="1"/>
    <s v="Every 3 Months"/>
    <n v="0"/>
    <x v="0"/>
  </r>
  <r>
    <n v="2156"/>
    <n v="32"/>
    <s v="Male"/>
    <s v="Handbag"/>
    <x v="3"/>
    <n v="51"/>
    <x v="11"/>
    <s v="L"/>
    <s v="Yellow"/>
    <x v="3"/>
    <n v="3.7"/>
    <s v="No"/>
    <s v="Debit Card"/>
    <s v="Store Pickup"/>
    <s v="No"/>
    <s v="No"/>
    <n v="46"/>
    <x v="3"/>
    <s v="Monthly"/>
    <n v="0"/>
    <x v="3"/>
  </r>
  <r>
    <n v="2157"/>
    <n v="38"/>
    <s v="Male"/>
    <s v="Skirt"/>
    <x v="0"/>
    <n v="83"/>
    <x v="9"/>
    <s v="M"/>
    <s v="Maroon"/>
    <x v="0"/>
    <n v="3.6"/>
    <s v="No"/>
    <s v="PayPal"/>
    <s v="Next Day Air"/>
    <s v="No"/>
    <s v="No"/>
    <n v="41"/>
    <x v="5"/>
    <s v="Bi-Weekly"/>
    <n v="0"/>
    <x v="2"/>
  </r>
  <r>
    <n v="2158"/>
    <n v="41"/>
    <s v="Male"/>
    <s v="Handbag"/>
    <x v="3"/>
    <n v="68"/>
    <x v="16"/>
    <s v="L"/>
    <s v="Turquoise"/>
    <x v="0"/>
    <n v="4"/>
    <s v="No"/>
    <s v="Debit Card"/>
    <s v="Next Day Air"/>
    <s v="No"/>
    <s v="No"/>
    <n v="41"/>
    <x v="0"/>
    <s v="Fortnightly"/>
    <n v="0"/>
    <x v="2"/>
  </r>
  <r>
    <n v="2159"/>
    <n v="19"/>
    <s v="Male"/>
    <s v="Gloves"/>
    <x v="3"/>
    <n v="84"/>
    <x v="2"/>
    <s v="XL"/>
    <s v="Olive"/>
    <x v="1"/>
    <n v="4.5999999999999996"/>
    <s v="No"/>
    <s v="Credit Card"/>
    <s v="Standard"/>
    <s v="No"/>
    <s v="No"/>
    <n v="9"/>
    <x v="4"/>
    <s v="Fortnightly"/>
    <n v="0"/>
    <x v="1"/>
  </r>
  <r>
    <n v="2160"/>
    <n v="18"/>
    <s v="Male"/>
    <s v="Shirt"/>
    <x v="0"/>
    <n v="58"/>
    <x v="7"/>
    <s v="M"/>
    <s v="Peach"/>
    <x v="3"/>
    <n v="3"/>
    <s v="No"/>
    <s v="PayPal"/>
    <s v="Free Shipping"/>
    <s v="No"/>
    <s v="No"/>
    <n v="34"/>
    <x v="1"/>
    <s v="Annually"/>
    <n v="0"/>
    <x v="1"/>
  </r>
  <r>
    <n v="2161"/>
    <n v="45"/>
    <s v="Male"/>
    <s v="Blouse"/>
    <x v="0"/>
    <n v="92"/>
    <x v="8"/>
    <s v="L"/>
    <s v="Charcoal"/>
    <x v="0"/>
    <n v="3.3"/>
    <s v="No"/>
    <s v="Bank Transfer"/>
    <s v="Express"/>
    <s v="No"/>
    <s v="No"/>
    <n v="21"/>
    <x v="3"/>
    <s v="Annually"/>
    <n v="0"/>
    <x v="2"/>
  </r>
  <r>
    <n v="2162"/>
    <n v="23"/>
    <s v="Male"/>
    <s v="Dress"/>
    <x v="0"/>
    <n v="69"/>
    <x v="47"/>
    <s v="S"/>
    <s v="Peach"/>
    <x v="2"/>
    <n v="3.8"/>
    <s v="No"/>
    <s v="Credit Card"/>
    <s v="Express"/>
    <s v="No"/>
    <s v="No"/>
    <n v="5"/>
    <x v="5"/>
    <s v="Fortnightly"/>
    <n v="0"/>
    <x v="1"/>
  </r>
  <r>
    <n v="2163"/>
    <n v="60"/>
    <s v="Male"/>
    <s v="Shorts"/>
    <x v="0"/>
    <n v="48"/>
    <x v="4"/>
    <s v="S"/>
    <s v="Black"/>
    <x v="2"/>
    <n v="2.7"/>
    <s v="No"/>
    <s v="Credit Card"/>
    <s v="Free Shipping"/>
    <s v="No"/>
    <s v="No"/>
    <n v="32"/>
    <x v="3"/>
    <s v="Weekly"/>
    <n v="0"/>
    <x v="0"/>
  </r>
  <r>
    <n v="2164"/>
    <n v="52"/>
    <s v="Male"/>
    <s v="Shoes"/>
    <x v="1"/>
    <n v="60"/>
    <x v="14"/>
    <s v="L"/>
    <s v="Gray"/>
    <x v="1"/>
    <n v="4.5"/>
    <s v="No"/>
    <s v="Bank Transfer"/>
    <s v="Express"/>
    <s v="No"/>
    <s v="No"/>
    <n v="44"/>
    <x v="4"/>
    <s v="Monthly"/>
    <n v="0"/>
    <x v="0"/>
  </r>
  <r>
    <n v="2165"/>
    <n v="42"/>
    <s v="Male"/>
    <s v="Sandals"/>
    <x v="1"/>
    <n v="20"/>
    <x v="44"/>
    <s v="S"/>
    <s v="Olive"/>
    <x v="0"/>
    <n v="4.8"/>
    <s v="No"/>
    <s v="Venmo"/>
    <s v="Next Day Air"/>
    <s v="No"/>
    <s v="No"/>
    <n v="46"/>
    <x v="3"/>
    <s v="Bi-Weekly"/>
    <n v="0"/>
    <x v="2"/>
  </r>
  <r>
    <n v="2166"/>
    <n v="29"/>
    <s v="Male"/>
    <s v="Pants"/>
    <x v="0"/>
    <n v="55"/>
    <x v="37"/>
    <s v="M"/>
    <s v="Turquoise"/>
    <x v="2"/>
    <n v="4.2"/>
    <s v="No"/>
    <s v="Bank Transfer"/>
    <s v="Express"/>
    <s v="No"/>
    <s v="No"/>
    <n v="42"/>
    <x v="2"/>
    <s v="Every 3 Months"/>
    <n v="0"/>
    <x v="3"/>
  </r>
  <r>
    <n v="2167"/>
    <n v="31"/>
    <s v="Male"/>
    <s v="Jacket"/>
    <x v="2"/>
    <n v="88"/>
    <x v="32"/>
    <s v="S"/>
    <s v="Purple"/>
    <x v="1"/>
    <n v="3.5"/>
    <s v="No"/>
    <s v="Venmo"/>
    <s v="Express"/>
    <s v="No"/>
    <s v="No"/>
    <n v="50"/>
    <x v="2"/>
    <s v="Bi-Weekly"/>
    <n v="0"/>
    <x v="3"/>
  </r>
  <r>
    <n v="2168"/>
    <n v="30"/>
    <s v="Male"/>
    <s v="Skirt"/>
    <x v="0"/>
    <n v="48"/>
    <x v="31"/>
    <s v="L"/>
    <s v="Green"/>
    <x v="0"/>
    <n v="4.9000000000000004"/>
    <s v="No"/>
    <s v="Venmo"/>
    <s v="Standard"/>
    <s v="No"/>
    <s v="No"/>
    <n v="33"/>
    <x v="0"/>
    <s v="Fortnightly"/>
    <n v="0"/>
    <x v="3"/>
  </r>
  <r>
    <n v="2169"/>
    <n v="23"/>
    <s v="Male"/>
    <s v="Handbag"/>
    <x v="3"/>
    <n v="74"/>
    <x v="39"/>
    <s v="M"/>
    <s v="Beige"/>
    <x v="1"/>
    <n v="4.0999999999999996"/>
    <s v="No"/>
    <s v="Bank Transfer"/>
    <s v="Next Day Air"/>
    <s v="No"/>
    <s v="No"/>
    <n v="32"/>
    <x v="1"/>
    <s v="Quarterly"/>
    <n v="0"/>
    <x v="1"/>
  </r>
  <r>
    <n v="2170"/>
    <n v="31"/>
    <s v="Male"/>
    <s v="Coat"/>
    <x v="2"/>
    <n v="42"/>
    <x v="20"/>
    <s v="M"/>
    <s v="Brown"/>
    <x v="3"/>
    <n v="2.9"/>
    <s v="No"/>
    <s v="PayPal"/>
    <s v="Next Day Air"/>
    <s v="No"/>
    <s v="No"/>
    <n v="32"/>
    <x v="4"/>
    <s v="Bi-Weekly"/>
    <n v="0"/>
    <x v="3"/>
  </r>
  <r>
    <n v="2171"/>
    <n v="40"/>
    <s v="Male"/>
    <s v="Sweater"/>
    <x v="0"/>
    <n v="32"/>
    <x v="36"/>
    <s v="M"/>
    <s v="Turquoise"/>
    <x v="3"/>
    <n v="4"/>
    <s v="No"/>
    <s v="PayPal"/>
    <s v="Next Day Air"/>
    <s v="No"/>
    <s v="No"/>
    <n v="37"/>
    <x v="0"/>
    <s v="Every 3 Months"/>
    <n v="0"/>
    <x v="2"/>
  </r>
  <r>
    <n v="2172"/>
    <n v="39"/>
    <s v="Male"/>
    <s v="Shorts"/>
    <x v="0"/>
    <n v="98"/>
    <x v="9"/>
    <s v="M"/>
    <s v="Yellow"/>
    <x v="2"/>
    <n v="4.5999999999999996"/>
    <s v="No"/>
    <s v="Credit Card"/>
    <s v="Store Pickup"/>
    <s v="No"/>
    <s v="No"/>
    <n v="9"/>
    <x v="1"/>
    <s v="Fortnightly"/>
    <n v="0"/>
    <x v="2"/>
  </r>
  <r>
    <n v="2173"/>
    <n v="28"/>
    <s v="Male"/>
    <s v="Skirt"/>
    <x v="0"/>
    <n v="89"/>
    <x v="3"/>
    <s v="S"/>
    <s v="Lavender"/>
    <x v="3"/>
    <n v="2.8"/>
    <s v="No"/>
    <s v="Bank Transfer"/>
    <s v="Store Pickup"/>
    <s v="No"/>
    <s v="No"/>
    <n v="6"/>
    <x v="3"/>
    <s v="Fortnightly"/>
    <n v="0"/>
    <x v="3"/>
  </r>
  <r>
    <n v="2174"/>
    <n v="23"/>
    <s v="Male"/>
    <s v="Gloves"/>
    <x v="3"/>
    <n v="97"/>
    <x v="12"/>
    <s v="S"/>
    <s v="Cyan"/>
    <x v="2"/>
    <n v="5"/>
    <s v="No"/>
    <s v="Cash"/>
    <s v="2-Day Shipping"/>
    <s v="No"/>
    <s v="No"/>
    <n v="36"/>
    <x v="0"/>
    <s v="Quarterly"/>
    <n v="0"/>
    <x v="1"/>
  </r>
  <r>
    <n v="2175"/>
    <n v="42"/>
    <s v="Male"/>
    <s v="Backpack"/>
    <x v="3"/>
    <n v="49"/>
    <x v="24"/>
    <s v="S"/>
    <s v="Olive"/>
    <x v="1"/>
    <n v="2.9"/>
    <s v="No"/>
    <s v="Cash"/>
    <s v="Store Pickup"/>
    <s v="No"/>
    <s v="No"/>
    <n v="1"/>
    <x v="1"/>
    <s v="Annually"/>
    <n v="0"/>
    <x v="2"/>
  </r>
  <r>
    <n v="2176"/>
    <n v="68"/>
    <s v="Male"/>
    <s v="Dress"/>
    <x v="0"/>
    <n v="50"/>
    <x v="43"/>
    <s v="M"/>
    <s v="Silver"/>
    <x v="1"/>
    <n v="3.3"/>
    <s v="No"/>
    <s v="Bank Transfer"/>
    <s v="Free Shipping"/>
    <s v="No"/>
    <s v="No"/>
    <n v="48"/>
    <x v="2"/>
    <s v="Fortnightly"/>
    <n v="0"/>
    <x v="0"/>
  </r>
  <r>
    <n v="2177"/>
    <n v="24"/>
    <s v="Male"/>
    <s v="Belt"/>
    <x v="3"/>
    <n v="91"/>
    <x v="34"/>
    <s v="S"/>
    <s v="Red"/>
    <x v="0"/>
    <n v="3.4"/>
    <s v="No"/>
    <s v="Venmo"/>
    <s v="2-Day Shipping"/>
    <s v="No"/>
    <s v="No"/>
    <n v="44"/>
    <x v="5"/>
    <s v="Quarterly"/>
    <n v="0"/>
    <x v="1"/>
  </r>
  <r>
    <n v="2178"/>
    <n v="24"/>
    <s v="Male"/>
    <s v="Gloves"/>
    <x v="3"/>
    <n v="93"/>
    <x v="6"/>
    <s v="XL"/>
    <s v="Green"/>
    <x v="0"/>
    <n v="3"/>
    <s v="No"/>
    <s v="Bank Transfer"/>
    <s v="Express"/>
    <s v="No"/>
    <s v="No"/>
    <n v="9"/>
    <x v="3"/>
    <s v="Bi-Weekly"/>
    <n v="0"/>
    <x v="1"/>
  </r>
  <r>
    <n v="2179"/>
    <n v="21"/>
    <s v="Male"/>
    <s v="Jewelry"/>
    <x v="3"/>
    <n v="98"/>
    <x v="20"/>
    <s v="M"/>
    <s v="Gold"/>
    <x v="2"/>
    <n v="4.7"/>
    <s v="No"/>
    <s v="Debit Card"/>
    <s v="Standard"/>
    <s v="No"/>
    <s v="No"/>
    <n v="32"/>
    <x v="0"/>
    <s v="Annually"/>
    <n v="0"/>
    <x v="1"/>
  </r>
  <r>
    <n v="2180"/>
    <n v="49"/>
    <s v="Male"/>
    <s v="Socks"/>
    <x v="0"/>
    <n v="82"/>
    <x v="12"/>
    <s v="L"/>
    <s v="Lavender"/>
    <x v="3"/>
    <n v="2.9"/>
    <s v="No"/>
    <s v="Credit Card"/>
    <s v="Next Day Air"/>
    <s v="No"/>
    <s v="No"/>
    <n v="14"/>
    <x v="3"/>
    <s v="Monthly"/>
    <n v="0"/>
    <x v="0"/>
  </r>
  <r>
    <n v="2181"/>
    <n v="41"/>
    <s v="Male"/>
    <s v="Coat"/>
    <x v="2"/>
    <n v="37"/>
    <x v="39"/>
    <s v="M"/>
    <s v="Yellow"/>
    <x v="2"/>
    <n v="4.0999999999999996"/>
    <s v="No"/>
    <s v="Debit Card"/>
    <s v="Store Pickup"/>
    <s v="No"/>
    <s v="No"/>
    <n v="43"/>
    <x v="1"/>
    <s v="Quarterly"/>
    <n v="0"/>
    <x v="2"/>
  </r>
  <r>
    <n v="2182"/>
    <n v="22"/>
    <s v="Male"/>
    <s v="Handbag"/>
    <x v="3"/>
    <n v="63"/>
    <x v="11"/>
    <s v="M"/>
    <s v="Black"/>
    <x v="3"/>
    <n v="3.2"/>
    <s v="No"/>
    <s v="Venmo"/>
    <s v="Free Shipping"/>
    <s v="No"/>
    <s v="No"/>
    <n v="32"/>
    <x v="4"/>
    <s v="Bi-Weekly"/>
    <n v="0"/>
    <x v="1"/>
  </r>
  <r>
    <n v="2183"/>
    <n v="42"/>
    <s v="Male"/>
    <s v="Blouse"/>
    <x v="0"/>
    <n v="99"/>
    <x v="35"/>
    <s v="M"/>
    <s v="Maroon"/>
    <x v="0"/>
    <n v="2.7"/>
    <s v="No"/>
    <s v="Cash"/>
    <s v="Store Pickup"/>
    <s v="No"/>
    <s v="No"/>
    <n v="26"/>
    <x v="0"/>
    <s v="Bi-Weekly"/>
    <n v="0"/>
    <x v="2"/>
  </r>
  <r>
    <n v="2184"/>
    <n v="30"/>
    <s v="Male"/>
    <s v="Shorts"/>
    <x v="0"/>
    <n v="37"/>
    <x v="23"/>
    <s v="M"/>
    <s v="Maroon"/>
    <x v="1"/>
    <n v="4.7"/>
    <s v="No"/>
    <s v="PayPal"/>
    <s v="Store Pickup"/>
    <s v="No"/>
    <s v="No"/>
    <n v="2"/>
    <x v="1"/>
    <s v="Monthly"/>
    <n v="0"/>
    <x v="3"/>
  </r>
  <r>
    <n v="2185"/>
    <n v="38"/>
    <s v="Male"/>
    <s v="Shoes"/>
    <x v="1"/>
    <n v="34"/>
    <x v="22"/>
    <s v="S"/>
    <s v="Gold"/>
    <x v="1"/>
    <n v="3.2"/>
    <s v="No"/>
    <s v="PayPal"/>
    <s v="Free Shipping"/>
    <s v="No"/>
    <s v="No"/>
    <n v="16"/>
    <x v="3"/>
    <s v="Every 3 Months"/>
    <n v="0"/>
    <x v="2"/>
  </r>
  <r>
    <n v="2186"/>
    <n v="40"/>
    <s v="Male"/>
    <s v="Shorts"/>
    <x v="0"/>
    <n v="32"/>
    <x v="17"/>
    <s v="M"/>
    <s v="Violet"/>
    <x v="0"/>
    <n v="2.5"/>
    <s v="No"/>
    <s v="Venmo"/>
    <s v="Express"/>
    <s v="No"/>
    <s v="No"/>
    <n v="50"/>
    <x v="5"/>
    <s v="Every 3 Months"/>
    <n v="0"/>
    <x v="2"/>
  </r>
  <r>
    <n v="2187"/>
    <n v="55"/>
    <s v="Male"/>
    <s v="Sandals"/>
    <x v="1"/>
    <n v="23"/>
    <x v="35"/>
    <s v="XL"/>
    <s v="Teal"/>
    <x v="0"/>
    <n v="4.3"/>
    <s v="No"/>
    <s v="Bank Transfer"/>
    <s v="Next Day Air"/>
    <s v="No"/>
    <s v="No"/>
    <n v="6"/>
    <x v="3"/>
    <s v="Every 3 Months"/>
    <n v="0"/>
    <x v="0"/>
  </r>
  <r>
    <n v="2188"/>
    <n v="37"/>
    <s v="Male"/>
    <s v="Blouse"/>
    <x v="0"/>
    <n v="78"/>
    <x v="37"/>
    <s v="M"/>
    <s v="Violet"/>
    <x v="1"/>
    <n v="4.4000000000000004"/>
    <s v="No"/>
    <s v="Venmo"/>
    <s v="Free Shipping"/>
    <s v="No"/>
    <s v="No"/>
    <n v="20"/>
    <x v="3"/>
    <s v="Annually"/>
    <n v="0"/>
    <x v="2"/>
  </r>
  <r>
    <n v="2189"/>
    <n v="41"/>
    <s v="Male"/>
    <s v="Coat"/>
    <x v="2"/>
    <n v="54"/>
    <x v="18"/>
    <s v="M"/>
    <s v="Brown"/>
    <x v="0"/>
    <n v="4.7"/>
    <s v="No"/>
    <s v="PayPal"/>
    <s v="Next Day Air"/>
    <s v="No"/>
    <s v="No"/>
    <n v="9"/>
    <x v="2"/>
    <s v="Weekly"/>
    <n v="0"/>
    <x v="2"/>
  </r>
  <r>
    <n v="2190"/>
    <n v="38"/>
    <s v="Male"/>
    <s v="Blouse"/>
    <x v="0"/>
    <n v="94"/>
    <x v="48"/>
    <s v="XL"/>
    <s v="Brown"/>
    <x v="3"/>
    <n v="4"/>
    <s v="No"/>
    <s v="PayPal"/>
    <s v="Express"/>
    <s v="No"/>
    <s v="No"/>
    <n v="47"/>
    <x v="2"/>
    <s v="Bi-Weekly"/>
    <n v="0"/>
    <x v="2"/>
  </r>
  <r>
    <n v="2191"/>
    <n v="42"/>
    <s v="Male"/>
    <s v="Belt"/>
    <x v="3"/>
    <n v="75"/>
    <x v="29"/>
    <s v="S"/>
    <s v="Maroon"/>
    <x v="1"/>
    <n v="4.5999999999999996"/>
    <s v="No"/>
    <s v="Debit Card"/>
    <s v="Express"/>
    <s v="No"/>
    <s v="No"/>
    <n v="33"/>
    <x v="2"/>
    <s v="Annually"/>
    <n v="0"/>
    <x v="2"/>
  </r>
  <r>
    <n v="2192"/>
    <n v="26"/>
    <s v="Male"/>
    <s v="Blouse"/>
    <x v="0"/>
    <n v="69"/>
    <x v="38"/>
    <s v="S"/>
    <s v="Maroon"/>
    <x v="2"/>
    <n v="3.8"/>
    <s v="No"/>
    <s v="Venmo"/>
    <s v="Next Day Air"/>
    <s v="No"/>
    <s v="No"/>
    <n v="46"/>
    <x v="1"/>
    <s v="Bi-Weekly"/>
    <n v="0"/>
    <x v="3"/>
  </r>
  <r>
    <n v="2193"/>
    <n v="41"/>
    <s v="Male"/>
    <s v="Scarf"/>
    <x v="3"/>
    <n v="35"/>
    <x v="41"/>
    <s v="L"/>
    <s v="Yellow"/>
    <x v="0"/>
    <n v="3.2"/>
    <s v="No"/>
    <s v="Bank Transfer"/>
    <s v="Next Day Air"/>
    <s v="No"/>
    <s v="No"/>
    <n v="9"/>
    <x v="2"/>
    <s v="Monthly"/>
    <n v="0"/>
    <x v="2"/>
  </r>
  <r>
    <n v="2194"/>
    <n v="27"/>
    <s v="Male"/>
    <s v="Shirt"/>
    <x v="0"/>
    <n v="78"/>
    <x v="18"/>
    <s v="L"/>
    <s v="Turquoise"/>
    <x v="1"/>
    <n v="5"/>
    <s v="No"/>
    <s v="Bank Transfer"/>
    <s v="Express"/>
    <s v="No"/>
    <s v="No"/>
    <n v="8"/>
    <x v="3"/>
    <s v="Monthly"/>
    <n v="0"/>
    <x v="3"/>
  </r>
  <r>
    <n v="2195"/>
    <n v="61"/>
    <s v="Male"/>
    <s v="Socks"/>
    <x v="0"/>
    <n v="29"/>
    <x v="0"/>
    <s v="M"/>
    <s v="Silver"/>
    <x v="2"/>
    <n v="3.5"/>
    <s v="No"/>
    <s v="Debit Card"/>
    <s v="Standard"/>
    <s v="No"/>
    <s v="No"/>
    <n v="48"/>
    <x v="4"/>
    <s v="Quarterly"/>
    <n v="0"/>
    <x v="0"/>
  </r>
  <r>
    <n v="2196"/>
    <n v="58"/>
    <s v="Male"/>
    <s v="Jeans"/>
    <x v="0"/>
    <n v="62"/>
    <x v="14"/>
    <s v="M"/>
    <s v="Brown"/>
    <x v="3"/>
    <n v="3.7"/>
    <s v="No"/>
    <s v="Credit Card"/>
    <s v="Next Day Air"/>
    <s v="No"/>
    <s v="No"/>
    <n v="2"/>
    <x v="1"/>
    <s v="Monthly"/>
    <n v="0"/>
    <x v="0"/>
  </r>
  <r>
    <n v="2197"/>
    <n v="25"/>
    <s v="Male"/>
    <s v="Dress"/>
    <x v="0"/>
    <n v="58"/>
    <x v="34"/>
    <s v="M"/>
    <s v="Gray"/>
    <x v="1"/>
    <n v="4.8"/>
    <s v="No"/>
    <s v="Venmo"/>
    <s v="Next Day Air"/>
    <s v="No"/>
    <s v="No"/>
    <n v="31"/>
    <x v="3"/>
    <s v="Weekly"/>
    <n v="0"/>
    <x v="1"/>
  </r>
  <r>
    <n v="2198"/>
    <n v="33"/>
    <s v="Male"/>
    <s v="Boots"/>
    <x v="1"/>
    <n v="88"/>
    <x v="38"/>
    <s v="M"/>
    <s v="Indigo"/>
    <x v="2"/>
    <n v="3.7"/>
    <s v="No"/>
    <s v="PayPal"/>
    <s v="2-Day Shipping"/>
    <s v="No"/>
    <s v="No"/>
    <n v="40"/>
    <x v="0"/>
    <s v="Monthly"/>
    <n v="0"/>
    <x v="3"/>
  </r>
  <r>
    <n v="2199"/>
    <n v="57"/>
    <s v="Male"/>
    <s v="Scarf"/>
    <x v="3"/>
    <n v="80"/>
    <x v="14"/>
    <s v="L"/>
    <s v="Turquoise"/>
    <x v="2"/>
    <n v="3.5"/>
    <s v="No"/>
    <s v="Cash"/>
    <s v="Free Shipping"/>
    <s v="No"/>
    <s v="No"/>
    <n v="35"/>
    <x v="0"/>
    <s v="Monthly"/>
    <n v="0"/>
    <x v="0"/>
  </r>
  <r>
    <n v="2200"/>
    <n v="39"/>
    <s v="Male"/>
    <s v="Scarf"/>
    <x v="3"/>
    <n v="47"/>
    <x v="17"/>
    <s v="M"/>
    <s v="Maroon"/>
    <x v="2"/>
    <n v="4.9000000000000004"/>
    <s v="No"/>
    <s v="Bank Transfer"/>
    <s v="Store Pickup"/>
    <s v="No"/>
    <s v="No"/>
    <n v="40"/>
    <x v="5"/>
    <s v="Monthly"/>
    <n v="0"/>
    <x v="2"/>
  </r>
  <r>
    <n v="2201"/>
    <n v="60"/>
    <s v="Male"/>
    <s v="Gloves"/>
    <x v="3"/>
    <n v="51"/>
    <x v="5"/>
    <s v="L"/>
    <s v="Charcoal"/>
    <x v="2"/>
    <n v="4.7"/>
    <s v="No"/>
    <s v="PayPal"/>
    <s v="Next Day Air"/>
    <s v="No"/>
    <s v="No"/>
    <n v="27"/>
    <x v="5"/>
    <s v="Every 3 Months"/>
    <n v="0"/>
    <x v="0"/>
  </r>
  <r>
    <n v="2202"/>
    <n v="39"/>
    <s v="Male"/>
    <s v="Pants"/>
    <x v="0"/>
    <n v="25"/>
    <x v="31"/>
    <s v="L"/>
    <s v="Peach"/>
    <x v="1"/>
    <n v="4.9000000000000004"/>
    <s v="No"/>
    <s v="Bank Transfer"/>
    <s v="2-Day Shipping"/>
    <s v="No"/>
    <s v="No"/>
    <n v="10"/>
    <x v="0"/>
    <s v="Annually"/>
    <n v="0"/>
    <x v="2"/>
  </r>
  <r>
    <n v="2203"/>
    <n v="42"/>
    <s v="Male"/>
    <s v="Dress"/>
    <x v="0"/>
    <n v="36"/>
    <x v="15"/>
    <s v="M"/>
    <s v="Red"/>
    <x v="2"/>
    <n v="4.3"/>
    <s v="No"/>
    <s v="PayPal"/>
    <s v="Next Day Air"/>
    <s v="No"/>
    <s v="No"/>
    <n v="23"/>
    <x v="2"/>
    <s v="Weekly"/>
    <n v="0"/>
    <x v="2"/>
  </r>
  <r>
    <n v="2204"/>
    <n v="53"/>
    <s v="Male"/>
    <s v="Dress"/>
    <x v="0"/>
    <n v="79"/>
    <x v="3"/>
    <s v="M"/>
    <s v="Indigo"/>
    <x v="0"/>
    <n v="3.1"/>
    <s v="No"/>
    <s v="Venmo"/>
    <s v="Free Shipping"/>
    <s v="No"/>
    <s v="No"/>
    <n v="32"/>
    <x v="1"/>
    <s v="Quarterly"/>
    <n v="0"/>
    <x v="0"/>
  </r>
  <r>
    <n v="2205"/>
    <n v="20"/>
    <s v="Male"/>
    <s v="Jeans"/>
    <x v="0"/>
    <n v="41"/>
    <x v="4"/>
    <s v="S"/>
    <s v="Lavender"/>
    <x v="0"/>
    <n v="3.4"/>
    <s v="No"/>
    <s v="Venmo"/>
    <s v="2-Day Shipping"/>
    <s v="No"/>
    <s v="No"/>
    <n v="6"/>
    <x v="5"/>
    <s v="Monthly"/>
    <n v="0"/>
    <x v="1"/>
  </r>
  <r>
    <n v="2206"/>
    <n v="46"/>
    <s v="Male"/>
    <s v="Sweater"/>
    <x v="0"/>
    <n v="68"/>
    <x v="25"/>
    <s v="XL"/>
    <s v="Red"/>
    <x v="3"/>
    <n v="2.7"/>
    <s v="No"/>
    <s v="PayPal"/>
    <s v="Express"/>
    <s v="No"/>
    <s v="No"/>
    <n v="27"/>
    <x v="3"/>
    <s v="Weekly"/>
    <n v="0"/>
    <x v="0"/>
  </r>
  <r>
    <n v="2207"/>
    <n v="46"/>
    <s v="Male"/>
    <s v="Sandals"/>
    <x v="1"/>
    <n v="51"/>
    <x v="26"/>
    <s v="L"/>
    <s v="Green"/>
    <x v="1"/>
    <n v="2.6"/>
    <s v="No"/>
    <s v="PayPal"/>
    <s v="Store Pickup"/>
    <s v="No"/>
    <s v="No"/>
    <n v="25"/>
    <x v="4"/>
    <s v="Fortnightly"/>
    <n v="0"/>
    <x v="0"/>
  </r>
  <r>
    <n v="2208"/>
    <n v="69"/>
    <s v="Male"/>
    <s v="Handbag"/>
    <x v="3"/>
    <n v="38"/>
    <x v="35"/>
    <s v="M"/>
    <s v="Gray"/>
    <x v="3"/>
    <n v="2.9"/>
    <s v="No"/>
    <s v="Debit Card"/>
    <s v="Next Day Air"/>
    <s v="No"/>
    <s v="No"/>
    <n v="11"/>
    <x v="2"/>
    <s v="Annually"/>
    <n v="0"/>
    <x v="0"/>
  </r>
  <r>
    <n v="2209"/>
    <n v="28"/>
    <s v="Male"/>
    <s v="Scarf"/>
    <x v="3"/>
    <n v="46"/>
    <x v="24"/>
    <s v="XL"/>
    <s v="Violet"/>
    <x v="2"/>
    <n v="2.7"/>
    <s v="No"/>
    <s v="Debit Card"/>
    <s v="2-Day Shipping"/>
    <s v="No"/>
    <s v="No"/>
    <n v="23"/>
    <x v="3"/>
    <s v="Monthly"/>
    <n v="0"/>
    <x v="3"/>
  </r>
  <r>
    <n v="2210"/>
    <n v="42"/>
    <s v="Male"/>
    <s v="Sandals"/>
    <x v="1"/>
    <n v="20"/>
    <x v="40"/>
    <s v="XL"/>
    <s v="Beige"/>
    <x v="2"/>
    <n v="4.5"/>
    <s v="No"/>
    <s v="Credit Card"/>
    <s v="2-Day Shipping"/>
    <s v="No"/>
    <s v="No"/>
    <n v="44"/>
    <x v="4"/>
    <s v="Quarterly"/>
    <n v="0"/>
    <x v="2"/>
  </r>
  <r>
    <n v="2211"/>
    <n v="30"/>
    <s v="Male"/>
    <s v="Sunglasses"/>
    <x v="3"/>
    <n v="25"/>
    <x v="41"/>
    <s v="M"/>
    <s v="Orange"/>
    <x v="2"/>
    <n v="3.1"/>
    <s v="No"/>
    <s v="Venmo"/>
    <s v="Store Pickup"/>
    <s v="No"/>
    <s v="No"/>
    <n v="35"/>
    <x v="3"/>
    <s v="Fortnightly"/>
    <n v="0"/>
    <x v="3"/>
  </r>
  <r>
    <n v="2212"/>
    <n v="50"/>
    <s v="Male"/>
    <s v="Sweater"/>
    <x v="0"/>
    <n v="89"/>
    <x v="1"/>
    <s v="L"/>
    <s v="Purple"/>
    <x v="0"/>
    <n v="3.2"/>
    <s v="No"/>
    <s v="PayPal"/>
    <s v="Free Shipping"/>
    <s v="No"/>
    <s v="No"/>
    <n v="45"/>
    <x v="5"/>
    <s v="Every 3 Months"/>
    <n v="0"/>
    <x v="0"/>
  </r>
  <r>
    <n v="2213"/>
    <n v="59"/>
    <s v="Male"/>
    <s v="Pants"/>
    <x v="0"/>
    <n v="77"/>
    <x v="43"/>
    <s v="M"/>
    <s v="Brown"/>
    <x v="0"/>
    <n v="3.3"/>
    <s v="No"/>
    <s v="PayPal"/>
    <s v="Next Day Air"/>
    <s v="No"/>
    <s v="No"/>
    <n v="22"/>
    <x v="4"/>
    <s v="Quarterly"/>
    <n v="0"/>
    <x v="0"/>
  </r>
  <r>
    <n v="2214"/>
    <n v="54"/>
    <s v="Male"/>
    <s v="Hat"/>
    <x v="3"/>
    <n v="94"/>
    <x v="11"/>
    <s v="M"/>
    <s v="Maroon"/>
    <x v="3"/>
    <n v="2.9"/>
    <s v="No"/>
    <s v="Credit Card"/>
    <s v="Express"/>
    <s v="No"/>
    <s v="No"/>
    <n v="18"/>
    <x v="5"/>
    <s v="Quarterly"/>
    <n v="0"/>
    <x v="0"/>
  </r>
  <r>
    <n v="2215"/>
    <n v="50"/>
    <s v="Male"/>
    <s v="Belt"/>
    <x v="3"/>
    <n v="100"/>
    <x v="37"/>
    <s v="L"/>
    <s v="Gold"/>
    <x v="3"/>
    <n v="4.0999999999999996"/>
    <s v="No"/>
    <s v="Cash"/>
    <s v="Standard"/>
    <s v="No"/>
    <s v="No"/>
    <n v="20"/>
    <x v="5"/>
    <s v="Weekly"/>
    <n v="0"/>
    <x v="0"/>
  </r>
  <r>
    <n v="2216"/>
    <n v="25"/>
    <s v="Male"/>
    <s v="Sandals"/>
    <x v="1"/>
    <n v="96"/>
    <x v="8"/>
    <s v="M"/>
    <s v="Indigo"/>
    <x v="0"/>
    <n v="2.7"/>
    <s v="No"/>
    <s v="Debit Card"/>
    <s v="Express"/>
    <s v="No"/>
    <s v="No"/>
    <n v="28"/>
    <x v="2"/>
    <s v="Fortnightly"/>
    <n v="0"/>
    <x v="1"/>
  </r>
  <r>
    <n v="2217"/>
    <n v="41"/>
    <s v="Male"/>
    <s v="Pants"/>
    <x v="0"/>
    <n v="36"/>
    <x v="34"/>
    <s v="XL"/>
    <s v="Silver"/>
    <x v="0"/>
    <n v="4"/>
    <s v="No"/>
    <s v="Credit Card"/>
    <s v="Store Pickup"/>
    <s v="No"/>
    <s v="No"/>
    <n v="15"/>
    <x v="0"/>
    <s v="Bi-Weekly"/>
    <n v="0"/>
    <x v="2"/>
  </r>
  <r>
    <n v="2218"/>
    <n v="35"/>
    <s v="Male"/>
    <s v="Jewelry"/>
    <x v="3"/>
    <n v="27"/>
    <x v="27"/>
    <s v="XL"/>
    <s v="Red"/>
    <x v="3"/>
    <n v="2.6"/>
    <s v="No"/>
    <s v="Bank Transfer"/>
    <s v="Store Pickup"/>
    <s v="No"/>
    <s v="No"/>
    <n v="42"/>
    <x v="4"/>
    <s v="Fortnightly"/>
    <n v="0"/>
    <x v="3"/>
  </r>
  <r>
    <n v="2219"/>
    <n v="67"/>
    <s v="Male"/>
    <s v="Sunglasses"/>
    <x v="3"/>
    <n v="67"/>
    <x v="37"/>
    <s v="M"/>
    <s v="Magenta"/>
    <x v="0"/>
    <n v="3.5"/>
    <s v="No"/>
    <s v="Cash"/>
    <s v="Store Pickup"/>
    <s v="No"/>
    <s v="No"/>
    <n v="20"/>
    <x v="5"/>
    <s v="Quarterly"/>
    <n v="0"/>
    <x v="0"/>
  </r>
  <r>
    <n v="2220"/>
    <n v="33"/>
    <s v="Male"/>
    <s v="Blouse"/>
    <x v="0"/>
    <n v="91"/>
    <x v="46"/>
    <s v="S"/>
    <s v="Purple"/>
    <x v="3"/>
    <n v="2.8"/>
    <s v="No"/>
    <s v="PayPal"/>
    <s v="Store Pickup"/>
    <s v="No"/>
    <s v="No"/>
    <n v="16"/>
    <x v="4"/>
    <s v="Fortnightly"/>
    <n v="0"/>
    <x v="3"/>
  </r>
  <r>
    <n v="2221"/>
    <n v="19"/>
    <s v="Male"/>
    <s v="Belt"/>
    <x v="3"/>
    <n v="62"/>
    <x v="5"/>
    <s v="XL"/>
    <s v="Beige"/>
    <x v="3"/>
    <n v="4.5"/>
    <s v="No"/>
    <s v="Cash"/>
    <s v="Store Pickup"/>
    <s v="No"/>
    <s v="No"/>
    <n v="47"/>
    <x v="1"/>
    <s v="Annually"/>
    <n v="0"/>
    <x v="1"/>
  </r>
  <r>
    <n v="2222"/>
    <n v="25"/>
    <s v="Male"/>
    <s v="Shorts"/>
    <x v="0"/>
    <n v="88"/>
    <x v="23"/>
    <s v="XL"/>
    <s v="White"/>
    <x v="3"/>
    <n v="3"/>
    <s v="No"/>
    <s v="Debit Card"/>
    <s v="Free Shipping"/>
    <s v="No"/>
    <s v="No"/>
    <n v="34"/>
    <x v="2"/>
    <s v="Annually"/>
    <n v="0"/>
    <x v="1"/>
  </r>
  <r>
    <n v="2223"/>
    <n v="32"/>
    <s v="Male"/>
    <s v="Pants"/>
    <x v="0"/>
    <n v="66"/>
    <x v="42"/>
    <s v="M"/>
    <s v="Teal"/>
    <x v="2"/>
    <n v="4.4000000000000004"/>
    <s v="No"/>
    <s v="PayPal"/>
    <s v="Store Pickup"/>
    <s v="No"/>
    <s v="No"/>
    <n v="30"/>
    <x v="2"/>
    <s v="Weekly"/>
    <n v="0"/>
    <x v="3"/>
  </r>
  <r>
    <n v="2224"/>
    <n v="30"/>
    <s v="Male"/>
    <s v="Sandals"/>
    <x v="1"/>
    <n v="65"/>
    <x v="23"/>
    <s v="M"/>
    <s v="Gray"/>
    <x v="3"/>
    <n v="4.7"/>
    <s v="No"/>
    <s v="Credit Card"/>
    <s v="Next Day Air"/>
    <s v="No"/>
    <s v="No"/>
    <n v="5"/>
    <x v="3"/>
    <s v="Quarterly"/>
    <n v="0"/>
    <x v="3"/>
  </r>
  <r>
    <n v="2225"/>
    <n v="18"/>
    <s v="Male"/>
    <s v="Gloves"/>
    <x v="3"/>
    <n v="25"/>
    <x v="43"/>
    <s v="L"/>
    <s v="Charcoal"/>
    <x v="0"/>
    <n v="4.3"/>
    <s v="No"/>
    <s v="Credit Card"/>
    <s v="Standard"/>
    <s v="No"/>
    <s v="No"/>
    <n v="38"/>
    <x v="1"/>
    <s v="Quarterly"/>
    <n v="0"/>
    <x v="1"/>
  </r>
  <r>
    <n v="2226"/>
    <n v="38"/>
    <s v="Male"/>
    <s v="Belt"/>
    <x v="3"/>
    <n v="64"/>
    <x v="47"/>
    <s v="S"/>
    <s v="Olive"/>
    <x v="1"/>
    <n v="4.8"/>
    <s v="No"/>
    <s v="Credit Card"/>
    <s v="Free Shipping"/>
    <s v="No"/>
    <s v="No"/>
    <n v="18"/>
    <x v="2"/>
    <s v="Annually"/>
    <n v="0"/>
    <x v="2"/>
  </r>
  <r>
    <n v="2227"/>
    <n v="22"/>
    <s v="Male"/>
    <s v="Shirt"/>
    <x v="0"/>
    <n v="72"/>
    <x v="9"/>
    <s v="L"/>
    <s v="Blue"/>
    <x v="1"/>
    <n v="4.8"/>
    <s v="No"/>
    <s v="Credit Card"/>
    <s v="Store Pickup"/>
    <s v="No"/>
    <s v="No"/>
    <n v="28"/>
    <x v="1"/>
    <s v="Annually"/>
    <n v="0"/>
    <x v="1"/>
  </r>
  <r>
    <n v="2228"/>
    <n v="40"/>
    <s v="Male"/>
    <s v="Scarf"/>
    <x v="3"/>
    <n v="74"/>
    <x v="47"/>
    <s v="S"/>
    <s v="Gray"/>
    <x v="2"/>
    <n v="4.4000000000000004"/>
    <s v="No"/>
    <s v="Venmo"/>
    <s v="Next Day Air"/>
    <s v="No"/>
    <s v="No"/>
    <n v="42"/>
    <x v="2"/>
    <s v="Fortnightly"/>
    <n v="0"/>
    <x v="2"/>
  </r>
  <r>
    <n v="2229"/>
    <n v="54"/>
    <s v="Male"/>
    <s v="Gloves"/>
    <x v="3"/>
    <n v="50"/>
    <x v="23"/>
    <s v="M"/>
    <s v="Green"/>
    <x v="3"/>
    <n v="3.7"/>
    <s v="No"/>
    <s v="Debit Card"/>
    <s v="Free Shipping"/>
    <s v="No"/>
    <s v="No"/>
    <n v="5"/>
    <x v="2"/>
    <s v="Weekly"/>
    <n v="0"/>
    <x v="0"/>
  </r>
  <r>
    <n v="2230"/>
    <n v="70"/>
    <s v="Male"/>
    <s v="Pants"/>
    <x v="0"/>
    <n v="97"/>
    <x v="46"/>
    <s v="M"/>
    <s v="Silver"/>
    <x v="3"/>
    <n v="3.9"/>
    <s v="No"/>
    <s v="Bank Transfer"/>
    <s v="Express"/>
    <s v="No"/>
    <s v="No"/>
    <n v="50"/>
    <x v="0"/>
    <s v="Monthly"/>
    <n v="0"/>
    <x v="0"/>
  </r>
  <r>
    <n v="2231"/>
    <n v="52"/>
    <s v="Male"/>
    <s v="Sneakers"/>
    <x v="1"/>
    <n v="36"/>
    <x v="24"/>
    <s v="S"/>
    <s v="Teal"/>
    <x v="1"/>
    <n v="3.8"/>
    <s v="No"/>
    <s v="Debit Card"/>
    <s v="Express"/>
    <s v="No"/>
    <s v="No"/>
    <n v="33"/>
    <x v="0"/>
    <s v="Fortnightly"/>
    <n v="0"/>
    <x v="0"/>
  </r>
  <r>
    <n v="2232"/>
    <n v="34"/>
    <s v="Male"/>
    <s v="Jacket"/>
    <x v="2"/>
    <n v="49"/>
    <x v="40"/>
    <s v="M"/>
    <s v="Beige"/>
    <x v="3"/>
    <n v="4.0999999999999996"/>
    <s v="No"/>
    <s v="Cash"/>
    <s v="Store Pickup"/>
    <s v="No"/>
    <s v="No"/>
    <n v="1"/>
    <x v="2"/>
    <s v="Weekly"/>
    <n v="0"/>
    <x v="3"/>
  </r>
  <r>
    <n v="2233"/>
    <n v="65"/>
    <s v="Male"/>
    <s v="Shoes"/>
    <x v="1"/>
    <n v="64"/>
    <x v="17"/>
    <s v="L"/>
    <s v="Lavender"/>
    <x v="1"/>
    <n v="4"/>
    <s v="No"/>
    <s v="Bank Transfer"/>
    <s v="Store Pickup"/>
    <s v="No"/>
    <s v="No"/>
    <n v="14"/>
    <x v="1"/>
    <s v="Fortnightly"/>
    <n v="0"/>
    <x v="0"/>
  </r>
  <r>
    <n v="2234"/>
    <n v="38"/>
    <s v="Male"/>
    <s v="Blouse"/>
    <x v="0"/>
    <n v="31"/>
    <x v="20"/>
    <s v="XL"/>
    <s v="Gray"/>
    <x v="2"/>
    <n v="4.5"/>
    <s v="No"/>
    <s v="Credit Card"/>
    <s v="Express"/>
    <s v="No"/>
    <s v="No"/>
    <n v="48"/>
    <x v="2"/>
    <s v="Monthly"/>
    <n v="0"/>
    <x v="2"/>
  </r>
  <r>
    <n v="2235"/>
    <n v="35"/>
    <s v="Male"/>
    <s v="Boots"/>
    <x v="1"/>
    <n v="66"/>
    <x v="13"/>
    <s v="S"/>
    <s v="Yellow"/>
    <x v="0"/>
    <n v="4"/>
    <s v="No"/>
    <s v="Cash"/>
    <s v="Express"/>
    <s v="No"/>
    <s v="No"/>
    <n v="26"/>
    <x v="1"/>
    <s v="Weekly"/>
    <n v="0"/>
    <x v="3"/>
  </r>
  <r>
    <n v="2236"/>
    <n v="40"/>
    <s v="Male"/>
    <s v="Socks"/>
    <x v="0"/>
    <n v="82"/>
    <x v="26"/>
    <s v="M"/>
    <s v="Gray"/>
    <x v="1"/>
    <n v="4.5"/>
    <s v="No"/>
    <s v="Credit Card"/>
    <s v="2-Day Shipping"/>
    <s v="No"/>
    <s v="No"/>
    <n v="44"/>
    <x v="2"/>
    <s v="Annually"/>
    <n v="0"/>
    <x v="2"/>
  </r>
  <r>
    <n v="2237"/>
    <n v="23"/>
    <s v="Male"/>
    <s v="T-shirt"/>
    <x v="0"/>
    <n v="88"/>
    <x v="7"/>
    <s v="M"/>
    <s v="Yellow"/>
    <x v="0"/>
    <n v="2.7"/>
    <s v="No"/>
    <s v="Venmo"/>
    <s v="Standard"/>
    <s v="No"/>
    <s v="No"/>
    <n v="18"/>
    <x v="5"/>
    <s v="Fortnightly"/>
    <n v="0"/>
    <x v="1"/>
  </r>
  <r>
    <n v="2238"/>
    <n v="45"/>
    <s v="Male"/>
    <s v="Sandals"/>
    <x v="1"/>
    <n v="34"/>
    <x v="15"/>
    <s v="S"/>
    <s v="Black"/>
    <x v="2"/>
    <n v="3.8"/>
    <s v="No"/>
    <s v="Bank Transfer"/>
    <s v="Next Day Air"/>
    <s v="No"/>
    <s v="No"/>
    <n v="31"/>
    <x v="0"/>
    <s v="Every 3 Months"/>
    <n v="0"/>
    <x v="2"/>
  </r>
  <r>
    <n v="2239"/>
    <n v="40"/>
    <s v="Male"/>
    <s v="Sneakers"/>
    <x v="1"/>
    <n v="84"/>
    <x v="20"/>
    <s v="L"/>
    <s v="Beige"/>
    <x v="0"/>
    <n v="3.8"/>
    <s v="No"/>
    <s v="Credit Card"/>
    <s v="Standard"/>
    <s v="No"/>
    <s v="No"/>
    <n v="18"/>
    <x v="5"/>
    <s v="Weekly"/>
    <n v="0"/>
    <x v="2"/>
  </r>
  <r>
    <n v="2240"/>
    <n v="42"/>
    <s v="Male"/>
    <s v="Jewelry"/>
    <x v="3"/>
    <n v="96"/>
    <x v="15"/>
    <s v="L"/>
    <s v="Indigo"/>
    <x v="2"/>
    <n v="3.8"/>
    <s v="No"/>
    <s v="Bank Transfer"/>
    <s v="2-Day Shipping"/>
    <s v="No"/>
    <s v="No"/>
    <n v="41"/>
    <x v="2"/>
    <s v="Every 3 Months"/>
    <n v="0"/>
    <x v="2"/>
  </r>
  <r>
    <n v="2241"/>
    <n v="57"/>
    <s v="Male"/>
    <s v="Sandals"/>
    <x v="1"/>
    <n v="71"/>
    <x v="18"/>
    <s v="L"/>
    <s v="Green"/>
    <x v="0"/>
    <n v="4.3"/>
    <s v="No"/>
    <s v="Credit Card"/>
    <s v="Next Day Air"/>
    <s v="No"/>
    <s v="No"/>
    <n v="18"/>
    <x v="5"/>
    <s v="Every 3 Months"/>
    <n v="0"/>
    <x v="0"/>
  </r>
  <r>
    <n v="2242"/>
    <n v="18"/>
    <s v="Male"/>
    <s v="Jacket"/>
    <x v="2"/>
    <n v="77"/>
    <x v="33"/>
    <s v="M"/>
    <s v="Purple"/>
    <x v="2"/>
    <n v="3.5"/>
    <s v="No"/>
    <s v="Bank Transfer"/>
    <s v="Free Shipping"/>
    <s v="No"/>
    <s v="No"/>
    <n v="3"/>
    <x v="4"/>
    <s v="Bi-Weekly"/>
    <n v="0"/>
    <x v="1"/>
  </r>
  <r>
    <n v="2243"/>
    <n v="18"/>
    <s v="Male"/>
    <s v="Skirt"/>
    <x v="0"/>
    <n v="66"/>
    <x v="22"/>
    <s v="M"/>
    <s v="Orange"/>
    <x v="1"/>
    <n v="3.8"/>
    <s v="No"/>
    <s v="PayPal"/>
    <s v="Next Day Air"/>
    <s v="No"/>
    <s v="No"/>
    <n v="5"/>
    <x v="2"/>
    <s v="Bi-Weekly"/>
    <n v="0"/>
    <x v="1"/>
  </r>
  <r>
    <n v="2244"/>
    <n v="56"/>
    <s v="Male"/>
    <s v="Shirt"/>
    <x v="0"/>
    <n v="21"/>
    <x v="2"/>
    <s v="M"/>
    <s v="Teal"/>
    <x v="0"/>
    <n v="3.7"/>
    <s v="No"/>
    <s v="Cash"/>
    <s v="2-Day Shipping"/>
    <s v="No"/>
    <s v="No"/>
    <n v="13"/>
    <x v="5"/>
    <s v="Annually"/>
    <n v="0"/>
    <x v="0"/>
  </r>
  <r>
    <n v="2245"/>
    <n v="35"/>
    <s v="Male"/>
    <s v="Shorts"/>
    <x v="0"/>
    <n v="37"/>
    <x v="36"/>
    <s v="M"/>
    <s v="Gold"/>
    <x v="2"/>
    <n v="4.8"/>
    <s v="No"/>
    <s v="Credit Card"/>
    <s v="2-Day Shipping"/>
    <s v="No"/>
    <s v="No"/>
    <n v="22"/>
    <x v="3"/>
    <s v="Annually"/>
    <n v="0"/>
    <x v="3"/>
  </r>
  <r>
    <n v="2246"/>
    <n v="49"/>
    <s v="Male"/>
    <s v="Socks"/>
    <x v="0"/>
    <n v="90"/>
    <x v="12"/>
    <s v="L"/>
    <s v="Gray"/>
    <x v="3"/>
    <n v="4.9000000000000004"/>
    <s v="No"/>
    <s v="Venmo"/>
    <s v="Free Shipping"/>
    <s v="No"/>
    <s v="No"/>
    <n v="45"/>
    <x v="3"/>
    <s v="Fortnightly"/>
    <n v="0"/>
    <x v="0"/>
  </r>
  <r>
    <n v="2247"/>
    <n v="49"/>
    <s v="Male"/>
    <s v="Jacket"/>
    <x v="2"/>
    <n v="96"/>
    <x v="11"/>
    <s v="M"/>
    <s v="Cyan"/>
    <x v="3"/>
    <n v="4.3"/>
    <s v="No"/>
    <s v="Cash"/>
    <s v="Store Pickup"/>
    <s v="No"/>
    <s v="No"/>
    <n v="39"/>
    <x v="3"/>
    <s v="Every 3 Months"/>
    <n v="0"/>
    <x v="0"/>
  </r>
  <r>
    <n v="2248"/>
    <n v="34"/>
    <s v="Male"/>
    <s v="Jewelry"/>
    <x v="3"/>
    <n v="37"/>
    <x v="20"/>
    <s v="L"/>
    <s v="Teal"/>
    <x v="2"/>
    <n v="4.4000000000000004"/>
    <s v="No"/>
    <s v="PayPal"/>
    <s v="Next Day Air"/>
    <s v="No"/>
    <s v="No"/>
    <n v="18"/>
    <x v="0"/>
    <s v="Annually"/>
    <n v="0"/>
    <x v="3"/>
  </r>
  <r>
    <n v="2249"/>
    <n v="63"/>
    <s v="Male"/>
    <s v="T-shirt"/>
    <x v="0"/>
    <n v="66"/>
    <x v="3"/>
    <s v="M"/>
    <s v="Violet"/>
    <x v="0"/>
    <n v="3.4"/>
    <s v="No"/>
    <s v="Cash"/>
    <s v="Free Shipping"/>
    <s v="No"/>
    <s v="No"/>
    <n v="19"/>
    <x v="3"/>
    <s v="Fortnightly"/>
    <n v="0"/>
    <x v="0"/>
  </r>
  <r>
    <n v="2250"/>
    <n v="42"/>
    <s v="Male"/>
    <s v="Gloves"/>
    <x v="3"/>
    <n v="45"/>
    <x v="5"/>
    <s v="XL"/>
    <s v="Indigo"/>
    <x v="1"/>
    <n v="4.3"/>
    <s v="No"/>
    <s v="Bank Transfer"/>
    <s v="Next Day Air"/>
    <s v="No"/>
    <s v="No"/>
    <n v="29"/>
    <x v="5"/>
    <s v="Weekly"/>
    <n v="0"/>
    <x v="2"/>
  </r>
  <r>
    <n v="2251"/>
    <n v="41"/>
    <s v="Male"/>
    <s v="Shoes"/>
    <x v="1"/>
    <n v="89"/>
    <x v="24"/>
    <s v="L"/>
    <s v="Pink"/>
    <x v="2"/>
    <n v="4.5999999999999996"/>
    <s v="No"/>
    <s v="Venmo"/>
    <s v="Store Pickup"/>
    <s v="No"/>
    <s v="No"/>
    <n v="19"/>
    <x v="2"/>
    <s v="Weekly"/>
    <n v="0"/>
    <x v="2"/>
  </r>
  <r>
    <n v="2252"/>
    <n v="26"/>
    <s v="Male"/>
    <s v="Shoes"/>
    <x v="1"/>
    <n v="94"/>
    <x v="41"/>
    <s v="L"/>
    <s v="Gold"/>
    <x v="3"/>
    <n v="3.8"/>
    <s v="No"/>
    <s v="PayPal"/>
    <s v="Free Shipping"/>
    <s v="No"/>
    <s v="No"/>
    <n v="22"/>
    <x v="5"/>
    <s v="Monthly"/>
    <n v="0"/>
    <x v="3"/>
  </r>
  <r>
    <n v="2253"/>
    <n v="48"/>
    <s v="Male"/>
    <s v="Shoes"/>
    <x v="1"/>
    <n v="96"/>
    <x v="43"/>
    <s v="S"/>
    <s v="Maroon"/>
    <x v="2"/>
    <n v="3.9"/>
    <s v="No"/>
    <s v="Venmo"/>
    <s v="Express"/>
    <s v="No"/>
    <s v="No"/>
    <n v="21"/>
    <x v="4"/>
    <s v="Annually"/>
    <n v="0"/>
    <x v="0"/>
  </r>
  <r>
    <n v="2254"/>
    <n v="62"/>
    <s v="Male"/>
    <s v="Hoodie"/>
    <x v="0"/>
    <n v="31"/>
    <x v="19"/>
    <s v="M"/>
    <s v="Brown"/>
    <x v="1"/>
    <n v="2.6"/>
    <s v="No"/>
    <s v="Credit Card"/>
    <s v="Store Pickup"/>
    <s v="No"/>
    <s v="No"/>
    <n v="22"/>
    <x v="3"/>
    <s v="Monthly"/>
    <n v="0"/>
    <x v="0"/>
  </r>
  <r>
    <n v="2255"/>
    <n v="24"/>
    <s v="Male"/>
    <s v="Belt"/>
    <x v="3"/>
    <n v="79"/>
    <x v="25"/>
    <s v="M"/>
    <s v="Gold"/>
    <x v="0"/>
    <n v="4.2"/>
    <s v="No"/>
    <s v="Venmo"/>
    <s v="Store Pickup"/>
    <s v="No"/>
    <s v="No"/>
    <n v="44"/>
    <x v="3"/>
    <s v="Every 3 Months"/>
    <n v="0"/>
    <x v="1"/>
  </r>
  <r>
    <n v="2256"/>
    <n v="48"/>
    <s v="Male"/>
    <s v="Coat"/>
    <x v="2"/>
    <n v="39"/>
    <x v="49"/>
    <s v="L"/>
    <s v="Teal"/>
    <x v="1"/>
    <n v="4.5999999999999996"/>
    <s v="No"/>
    <s v="Venmo"/>
    <s v="Store Pickup"/>
    <s v="No"/>
    <s v="No"/>
    <n v="42"/>
    <x v="4"/>
    <s v="Quarterly"/>
    <n v="0"/>
    <x v="0"/>
  </r>
  <r>
    <n v="2257"/>
    <n v="31"/>
    <s v="Male"/>
    <s v="Blouse"/>
    <x v="0"/>
    <n v="22"/>
    <x v="18"/>
    <s v="M"/>
    <s v="Turquoise"/>
    <x v="3"/>
    <n v="5"/>
    <s v="No"/>
    <s v="Debit Card"/>
    <s v="Standard"/>
    <s v="No"/>
    <s v="No"/>
    <n v="33"/>
    <x v="2"/>
    <s v="Quarterly"/>
    <n v="0"/>
    <x v="3"/>
  </r>
  <r>
    <n v="2258"/>
    <n v="41"/>
    <s v="Male"/>
    <s v="Skirt"/>
    <x v="0"/>
    <n v="32"/>
    <x v="30"/>
    <s v="L"/>
    <s v="Olive"/>
    <x v="3"/>
    <n v="4.2"/>
    <s v="No"/>
    <s v="PayPal"/>
    <s v="Standard"/>
    <s v="No"/>
    <s v="No"/>
    <n v="6"/>
    <x v="4"/>
    <s v="Annually"/>
    <n v="0"/>
    <x v="2"/>
  </r>
  <r>
    <n v="2259"/>
    <n v="24"/>
    <s v="Male"/>
    <s v="T-shirt"/>
    <x v="0"/>
    <n v="71"/>
    <x v="31"/>
    <s v="L"/>
    <s v="Cyan"/>
    <x v="0"/>
    <n v="4.3"/>
    <s v="No"/>
    <s v="Bank Transfer"/>
    <s v="Store Pickup"/>
    <s v="No"/>
    <s v="No"/>
    <n v="44"/>
    <x v="2"/>
    <s v="Every 3 Months"/>
    <n v="0"/>
    <x v="1"/>
  </r>
  <r>
    <n v="2260"/>
    <n v="60"/>
    <s v="Male"/>
    <s v="Jeans"/>
    <x v="0"/>
    <n v="96"/>
    <x v="20"/>
    <s v="XL"/>
    <s v="Beige"/>
    <x v="1"/>
    <n v="3.3"/>
    <s v="No"/>
    <s v="Venmo"/>
    <s v="Free Shipping"/>
    <s v="No"/>
    <s v="No"/>
    <n v="24"/>
    <x v="1"/>
    <s v="Annually"/>
    <n v="0"/>
    <x v="0"/>
  </r>
  <r>
    <n v="2261"/>
    <n v="38"/>
    <s v="Male"/>
    <s v="Scarf"/>
    <x v="3"/>
    <n v="82"/>
    <x v="9"/>
    <s v="M"/>
    <s v="Blue"/>
    <x v="3"/>
    <n v="4.9000000000000004"/>
    <s v="No"/>
    <s v="Venmo"/>
    <s v="Express"/>
    <s v="No"/>
    <s v="No"/>
    <n v="16"/>
    <x v="3"/>
    <s v="Quarterly"/>
    <n v="0"/>
    <x v="2"/>
  </r>
  <r>
    <n v="2262"/>
    <n v="58"/>
    <s v="Male"/>
    <s v="Backpack"/>
    <x v="3"/>
    <n v="76"/>
    <x v="36"/>
    <s v="L"/>
    <s v="Gold"/>
    <x v="1"/>
    <n v="4.4000000000000004"/>
    <s v="No"/>
    <s v="Cash"/>
    <s v="Standard"/>
    <s v="No"/>
    <s v="No"/>
    <n v="12"/>
    <x v="4"/>
    <s v="Fortnightly"/>
    <n v="0"/>
    <x v="0"/>
  </r>
  <r>
    <n v="2263"/>
    <n v="53"/>
    <s v="Male"/>
    <s v="Backpack"/>
    <x v="3"/>
    <n v="22"/>
    <x v="28"/>
    <s v="M"/>
    <s v="Green"/>
    <x v="0"/>
    <n v="3.1"/>
    <s v="No"/>
    <s v="Venmo"/>
    <s v="2-Day Shipping"/>
    <s v="No"/>
    <s v="No"/>
    <n v="50"/>
    <x v="3"/>
    <s v="Monthly"/>
    <n v="0"/>
    <x v="0"/>
  </r>
  <r>
    <n v="2264"/>
    <n v="44"/>
    <s v="Male"/>
    <s v="Scarf"/>
    <x v="3"/>
    <n v="40"/>
    <x v="27"/>
    <s v="XL"/>
    <s v="Green"/>
    <x v="0"/>
    <n v="3.5"/>
    <s v="No"/>
    <s v="PayPal"/>
    <s v="Store Pickup"/>
    <s v="No"/>
    <s v="No"/>
    <n v="42"/>
    <x v="1"/>
    <s v="Quarterly"/>
    <n v="0"/>
    <x v="2"/>
  </r>
  <r>
    <n v="2265"/>
    <n v="51"/>
    <s v="Male"/>
    <s v="Hat"/>
    <x v="3"/>
    <n v="92"/>
    <x v="25"/>
    <s v="M"/>
    <s v="Turquoise"/>
    <x v="2"/>
    <n v="3.9"/>
    <s v="No"/>
    <s v="Bank Transfer"/>
    <s v="2-Day Shipping"/>
    <s v="No"/>
    <s v="No"/>
    <n v="50"/>
    <x v="3"/>
    <s v="Monthly"/>
    <n v="0"/>
    <x v="0"/>
  </r>
  <r>
    <n v="2266"/>
    <n v="36"/>
    <s v="Male"/>
    <s v="Coat"/>
    <x v="2"/>
    <n v="94"/>
    <x v="6"/>
    <s v="XL"/>
    <s v="Yellow"/>
    <x v="3"/>
    <n v="3.9"/>
    <s v="No"/>
    <s v="Bank Transfer"/>
    <s v="Store Pickup"/>
    <s v="No"/>
    <s v="No"/>
    <n v="10"/>
    <x v="3"/>
    <s v="Quarterly"/>
    <n v="0"/>
    <x v="2"/>
  </r>
  <r>
    <n v="2267"/>
    <n v="20"/>
    <s v="Male"/>
    <s v="Dress"/>
    <x v="0"/>
    <n v="44"/>
    <x v="9"/>
    <s v="M"/>
    <s v="Yellow"/>
    <x v="3"/>
    <n v="4.3"/>
    <s v="No"/>
    <s v="Bank Transfer"/>
    <s v="Store Pickup"/>
    <s v="No"/>
    <s v="No"/>
    <n v="32"/>
    <x v="5"/>
    <s v="Weekly"/>
    <n v="0"/>
    <x v="1"/>
  </r>
  <r>
    <n v="2268"/>
    <n v="32"/>
    <s v="Male"/>
    <s v="Gloves"/>
    <x v="3"/>
    <n v="49"/>
    <x v="0"/>
    <s v="S"/>
    <s v="Blue"/>
    <x v="1"/>
    <n v="3.8"/>
    <s v="No"/>
    <s v="Venmo"/>
    <s v="Express"/>
    <s v="No"/>
    <s v="No"/>
    <n v="37"/>
    <x v="0"/>
    <s v="Weekly"/>
    <n v="0"/>
    <x v="3"/>
  </r>
  <r>
    <n v="2269"/>
    <n v="66"/>
    <s v="Male"/>
    <s v="Sweater"/>
    <x v="0"/>
    <n v="26"/>
    <x v="42"/>
    <s v="L"/>
    <s v="Charcoal"/>
    <x v="1"/>
    <n v="2.7"/>
    <s v="No"/>
    <s v="Credit Card"/>
    <s v="2-Day Shipping"/>
    <s v="No"/>
    <s v="No"/>
    <n v="15"/>
    <x v="4"/>
    <s v="Monthly"/>
    <n v="0"/>
    <x v="0"/>
  </r>
  <r>
    <n v="2270"/>
    <n v="49"/>
    <s v="Male"/>
    <s v="Skirt"/>
    <x v="0"/>
    <n v="38"/>
    <x v="0"/>
    <s v="M"/>
    <s v="Yellow"/>
    <x v="3"/>
    <n v="4.4000000000000004"/>
    <s v="No"/>
    <s v="Credit Card"/>
    <s v="Store Pickup"/>
    <s v="No"/>
    <s v="No"/>
    <n v="27"/>
    <x v="2"/>
    <s v="Annually"/>
    <n v="0"/>
    <x v="0"/>
  </r>
  <r>
    <n v="2271"/>
    <n v="27"/>
    <s v="Male"/>
    <s v="Blouse"/>
    <x v="0"/>
    <n v="72"/>
    <x v="42"/>
    <s v="L"/>
    <s v="Purple"/>
    <x v="1"/>
    <n v="3.5"/>
    <s v="No"/>
    <s v="Debit Card"/>
    <s v="Express"/>
    <s v="No"/>
    <s v="No"/>
    <n v="7"/>
    <x v="0"/>
    <s v="Weekly"/>
    <n v="0"/>
    <x v="3"/>
  </r>
  <r>
    <n v="2272"/>
    <n v="29"/>
    <s v="Male"/>
    <s v="Dress"/>
    <x v="0"/>
    <n v="99"/>
    <x v="29"/>
    <s v="M"/>
    <s v="Green"/>
    <x v="2"/>
    <n v="3.4"/>
    <s v="No"/>
    <s v="Cash"/>
    <s v="Free Shipping"/>
    <s v="No"/>
    <s v="No"/>
    <n v="49"/>
    <x v="3"/>
    <s v="Quarterly"/>
    <n v="0"/>
    <x v="3"/>
  </r>
  <r>
    <n v="2273"/>
    <n v="29"/>
    <s v="Male"/>
    <s v="Jacket"/>
    <x v="2"/>
    <n v="38"/>
    <x v="1"/>
    <s v="L"/>
    <s v="Charcoal"/>
    <x v="1"/>
    <n v="4"/>
    <s v="No"/>
    <s v="Venmo"/>
    <s v="Standard"/>
    <s v="No"/>
    <s v="No"/>
    <n v="44"/>
    <x v="3"/>
    <s v="Monthly"/>
    <n v="0"/>
    <x v="3"/>
  </r>
  <r>
    <n v="2274"/>
    <n v="55"/>
    <s v="Male"/>
    <s v="Coat"/>
    <x v="2"/>
    <n v="96"/>
    <x v="35"/>
    <s v="L"/>
    <s v="Silver"/>
    <x v="0"/>
    <n v="4.8"/>
    <s v="No"/>
    <s v="Credit Card"/>
    <s v="Express"/>
    <s v="No"/>
    <s v="No"/>
    <n v="13"/>
    <x v="3"/>
    <s v="Bi-Weekly"/>
    <n v="0"/>
    <x v="0"/>
  </r>
  <r>
    <n v="2275"/>
    <n v="57"/>
    <s v="Male"/>
    <s v="Dress"/>
    <x v="0"/>
    <n v="27"/>
    <x v="14"/>
    <s v="L"/>
    <s v="Turquoise"/>
    <x v="1"/>
    <n v="4.5"/>
    <s v="No"/>
    <s v="Cash"/>
    <s v="Next Day Air"/>
    <s v="No"/>
    <s v="No"/>
    <n v="38"/>
    <x v="3"/>
    <s v="Fortnightly"/>
    <n v="0"/>
    <x v="0"/>
  </r>
  <r>
    <n v="2276"/>
    <n v="29"/>
    <s v="Male"/>
    <s v="Shorts"/>
    <x v="0"/>
    <n v="24"/>
    <x v="19"/>
    <s v="M"/>
    <s v="Gray"/>
    <x v="0"/>
    <n v="4.4000000000000004"/>
    <s v="No"/>
    <s v="PayPal"/>
    <s v="Standard"/>
    <s v="No"/>
    <s v="No"/>
    <n v="10"/>
    <x v="5"/>
    <s v="Weekly"/>
    <n v="0"/>
    <x v="3"/>
  </r>
  <r>
    <n v="2277"/>
    <n v="31"/>
    <s v="Male"/>
    <s v="Jeans"/>
    <x v="0"/>
    <n v="82"/>
    <x v="5"/>
    <s v="L"/>
    <s v="Red"/>
    <x v="2"/>
    <n v="4.0999999999999996"/>
    <s v="No"/>
    <s v="Bank Transfer"/>
    <s v="2-Day Shipping"/>
    <s v="No"/>
    <s v="No"/>
    <n v="25"/>
    <x v="5"/>
    <s v="Weekly"/>
    <n v="0"/>
    <x v="3"/>
  </r>
  <r>
    <n v="2278"/>
    <n v="25"/>
    <s v="Male"/>
    <s v="Hat"/>
    <x v="3"/>
    <n v="56"/>
    <x v="15"/>
    <s v="M"/>
    <s v="Beige"/>
    <x v="2"/>
    <n v="4.5999999999999996"/>
    <s v="No"/>
    <s v="Bank Transfer"/>
    <s v="Next Day Air"/>
    <s v="No"/>
    <s v="No"/>
    <n v="18"/>
    <x v="2"/>
    <s v="Quarterly"/>
    <n v="0"/>
    <x v="1"/>
  </r>
  <r>
    <n v="2279"/>
    <n v="61"/>
    <s v="Male"/>
    <s v="Gloves"/>
    <x v="3"/>
    <n v="25"/>
    <x v="33"/>
    <s v="M"/>
    <s v="Maroon"/>
    <x v="3"/>
    <n v="3.8"/>
    <s v="No"/>
    <s v="Cash"/>
    <s v="Store Pickup"/>
    <s v="No"/>
    <s v="No"/>
    <n v="6"/>
    <x v="1"/>
    <s v="Every 3 Months"/>
    <n v="0"/>
    <x v="0"/>
  </r>
  <r>
    <n v="2280"/>
    <n v="53"/>
    <s v="Male"/>
    <s v="Sneakers"/>
    <x v="1"/>
    <n v="67"/>
    <x v="8"/>
    <s v="L"/>
    <s v="Indigo"/>
    <x v="1"/>
    <n v="2.9"/>
    <s v="No"/>
    <s v="Bank Transfer"/>
    <s v="Free Shipping"/>
    <s v="No"/>
    <s v="No"/>
    <n v="35"/>
    <x v="4"/>
    <s v="Quarterly"/>
    <n v="0"/>
    <x v="0"/>
  </r>
  <r>
    <n v="2281"/>
    <n v="22"/>
    <s v="Male"/>
    <s v="Shoes"/>
    <x v="1"/>
    <n v="21"/>
    <x v="0"/>
    <s v="M"/>
    <s v="Red"/>
    <x v="2"/>
    <n v="2.8"/>
    <s v="No"/>
    <s v="Bank Transfer"/>
    <s v="Standard"/>
    <s v="No"/>
    <s v="No"/>
    <n v="31"/>
    <x v="2"/>
    <s v="Fortnightly"/>
    <n v="0"/>
    <x v="1"/>
  </r>
  <r>
    <n v="2282"/>
    <n v="28"/>
    <s v="Male"/>
    <s v="Hoodie"/>
    <x v="0"/>
    <n v="27"/>
    <x v="23"/>
    <s v="XL"/>
    <s v="Maroon"/>
    <x v="2"/>
    <n v="3"/>
    <s v="No"/>
    <s v="Bank Transfer"/>
    <s v="Store Pickup"/>
    <s v="No"/>
    <s v="No"/>
    <n v="41"/>
    <x v="4"/>
    <s v="Annually"/>
    <n v="0"/>
    <x v="3"/>
  </r>
  <r>
    <n v="2283"/>
    <n v="18"/>
    <s v="Male"/>
    <s v="Sneakers"/>
    <x v="1"/>
    <n v="97"/>
    <x v="37"/>
    <s v="S"/>
    <s v="Red"/>
    <x v="3"/>
    <n v="4.2"/>
    <s v="No"/>
    <s v="Debit Card"/>
    <s v="2-Day Shipping"/>
    <s v="No"/>
    <s v="No"/>
    <n v="8"/>
    <x v="2"/>
    <s v="Annually"/>
    <n v="0"/>
    <x v="1"/>
  </r>
  <r>
    <n v="2284"/>
    <n v="44"/>
    <s v="Male"/>
    <s v="Handbag"/>
    <x v="3"/>
    <n v="45"/>
    <x v="31"/>
    <s v="S"/>
    <s v="Black"/>
    <x v="0"/>
    <n v="4.0999999999999996"/>
    <s v="No"/>
    <s v="Cash"/>
    <s v="Free Shipping"/>
    <s v="No"/>
    <s v="No"/>
    <n v="34"/>
    <x v="2"/>
    <s v="Fortnightly"/>
    <n v="0"/>
    <x v="2"/>
  </r>
  <r>
    <n v="2285"/>
    <n v="32"/>
    <s v="Male"/>
    <s v="Blouse"/>
    <x v="0"/>
    <n v="63"/>
    <x v="44"/>
    <s v="XL"/>
    <s v="Black"/>
    <x v="3"/>
    <n v="4.0999999999999996"/>
    <s v="No"/>
    <s v="Cash"/>
    <s v="Express"/>
    <s v="No"/>
    <s v="No"/>
    <n v="20"/>
    <x v="0"/>
    <s v="Annually"/>
    <n v="0"/>
    <x v="3"/>
  </r>
  <r>
    <n v="2286"/>
    <n v="34"/>
    <s v="Male"/>
    <s v="Belt"/>
    <x v="3"/>
    <n v="100"/>
    <x v="49"/>
    <s v="L"/>
    <s v="Pink"/>
    <x v="2"/>
    <n v="4.5999999999999996"/>
    <s v="No"/>
    <s v="Cash"/>
    <s v="2-Day Shipping"/>
    <s v="No"/>
    <s v="No"/>
    <n v="38"/>
    <x v="3"/>
    <s v="Every 3 Months"/>
    <n v="0"/>
    <x v="3"/>
  </r>
  <r>
    <n v="2287"/>
    <n v="67"/>
    <s v="Male"/>
    <s v="Socks"/>
    <x v="0"/>
    <n v="38"/>
    <x v="45"/>
    <s v="L"/>
    <s v="Blue"/>
    <x v="1"/>
    <n v="2.5"/>
    <s v="No"/>
    <s v="PayPal"/>
    <s v="Store Pickup"/>
    <s v="No"/>
    <s v="No"/>
    <n v="35"/>
    <x v="0"/>
    <s v="Quarterly"/>
    <n v="0"/>
    <x v="0"/>
  </r>
  <r>
    <n v="2288"/>
    <n v="66"/>
    <s v="Male"/>
    <s v="Blouse"/>
    <x v="0"/>
    <n v="45"/>
    <x v="43"/>
    <s v="L"/>
    <s v="Green"/>
    <x v="2"/>
    <n v="3"/>
    <s v="No"/>
    <s v="PayPal"/>
    <s v="Store Pickup"/>
    <s v="No"/>
    <s v="No"/>
    <n v="6"/>
    <x v="5"/>
    <s v="Annually"/>
    <n v="0"/>
    <x v="0"/>
  </r>
  <r>
    <n v="2289"/>
    <n v="28"/>
    <s v="Male"/>
    <s v="Jewelry"/>
    <x v="3"/>
    <n v="91"/>
    <x v="18"/>
    <s v="M"/>
    <s v="Orange"/>
    <x v="3"/>
    <n v="3.8"/>
    <s v="No"/>
    <s v="Credit Card"/>
    <s v="Next Day Air"/>
    <s v="No"/>
    <s v="No"/>
    <n v="50"/>
    <x v="3"/>
    <s v="Weekly"/>
    <n v="0"/>
    <x v="3"/>
  </r>
  <r>
    <n v="2290"/>
    <n v="70"/>
    <s v="Male"/>
    <s v="Shorts"/>
    <x v="0"/>
    <n v="82"/>
    <x v="22"/>
    <s v="M"/>
    <s v="Orange"/>
    <x v="3"/>
    <n v="4.0999999999999996"/>
    <s v="No"/>
    <s v="PayPal"/>
    <s v="Free Shipping"/>
    <s v="No"/>
    <s v="No"/>
    <n v="47"/>
    <x v="0"/>
    <s v="Weekly"/>
    <n v="0"/>
    <x v="0"/>
  </r>
  <r>
    <n v="2291"/>
    <n v="37"/>
    <s v="Male"/>
    <s v="Boots"/>
    <x v="1"/>
    <n v="48"/>
    <x v="23"/>
    <s v="L"/>
    <s v="Magenta"/>
    <x v="0"/>
    <n v="3.3"/>
    <s v="No"/>
    <s v="Venmo"/>
    <s v="Standard"/>
    <s v="No"/>
    <s v="No"/>
    <n v="23"/>
    <x v="3"/>
    <s v="Quarterly"/>
    <n v="0"/>
    <x v="2"/>
  </r>
  <r>
    <n v="2292"/>
    <n v="28"/>
    <s v="Male"/>
    <s v="Coat"/>
    <x v="2"/>
    <n v="30"/>
    <x v="31"/>
    <s v="M"/>
    <s v="Indigo"/>
    <x v="1"/>
    <n v="5"/>
    <s v="No"/>
    <s v="PayPal"/>
    <s v="2-Day Shipping"/>
    <s v="No"/>
    <s v="No"/>
    <n v="13"/>
    <x v="2"/>
    <s v="Quarterly"/>
    <n v="0"/>
    <x v="3"/>
  </r>
  <r>
    <n v="2293"/>
    <n v="43"/>
    <s v="Male"/>
    <s v="T-shirt"/>
    <x v="0"/>
    <n v="34"/>
    <x v="34"/>
    <s v="S"/>
    <s v="Beige"/>
    <x v="1"/>
    <n v="3.8"/>
    <s v="No"/>
    <s v="Debit Card"/>
    <s v="Next Day Air"/>
    <s v="No"/>
    <s v="No"/>
    <n v="31"/>
    <x v="5"/>
    <s v="Monthly"/>
    <n v="0"/>
    <x v="2"/>
  </r>
  <r>
    <n v="2294"/>
    <n v="37"/>
    <s v="Male"/>
    <s v="Sweater"/>
    <x v="0"/>
    <n v="68"/>
    <x v="42"/>
    <s v="L"/>
    <s v="Green"/>
    <x v="3"/>
    <n v="3.3"/>
    <s v="No"/>
    <s v="PayPal"/>
    <s v="Express"/>
    <s v="No"/>
    <s v="No"/>
    <n v="16"/>
    <x v="5"/>
    <s v="Every 3 Months"/>
    <n v="0"/>
    <x v="2"/>
  </r>
  <r>
    <n v="2295"/>
    <n v="54"/>
    <s v="Male"/>
    <s v="Sunglasses"/>
    <x v="3"/>
    <n v="95"/>
    <x v="33"/>
    <s v="M"/>
    <s v="Red"/>
    <x v="0"/>
    <n v="5"/>
    <s v="No"/>
    <s v="Venmo"/>
    <s v="Express"/>
    <s v="No"/>
    <s v="No"/>
    <n v="40"/>
    <x v="5"/>
    <s v="Annually"/>
    <n v="0"/>
    <x v="0"/>
  </r>
  <r>
    <n v="2296"/>
    <n v="50"/>
    <s v="Male"/>
    <s v="Hat"/>
    <x v="3"/>
    <n v="22"/>
    <x v="39"/>
    <s v="L"/>
    <s v="Beige"/>
    <x v="1"/>
    <n v="2.9"/>
    <s v="No"/>
    <s v="Credit Card"/>
    <s v="2-Day Shipping"/>
    <s v="No"/>
    <s v="No"/>
    <n v="45"/>
    <x v="3"/>
    <s v="Quarterly"/>
    <n v="0"/>
    <x v="0"/>
  </r>
  <r>
    <n v="2297"/>
    <n v="46"/>
    <s v="Male"/>
    <s v="Gloves"/>
    <x v="3"/>
    <n v="88"/>
    <x v="47"/>
    <s v="M"/>
    <s v="Green"/>
    <x v="3"/>
    <n v="2.5"/>
    <s v="No"/>
    <s v="PayPal"/>
    <s v="Next Day Air"/>
    <s v="No"/>
    <s v="No"/>
    <n v="50"/>
    <x v="0"/>
    <s v="Every 3 Months"/>
    <n v="0"/>
    <x v="0"/>
  </r>
  <r>
    <n v="2298"/>
    <n v="60"/>
    <s v="Male"/>
    <s v="Socks"/>
    <x v="0"/>
    <n v="83"/>
    <x v="18"/>
    <s v="M"/>
    <s v="Orange"/>
    <x v="2"/>
    <n v="4.7"/>
    <s v="No"/>
    <s v="PayPal"/>
    <s v="Standard"/>
    <s v="No"/>
    <s v="No"/>
    <n v="1"/>
    <x v="4"/>
    <s v="Quarterly"/>
    <n v="0"/>
    <x v="0"/>
  </r>
  <r>
    <n v="2299"/>
    <n v="40"/>
    <s v="Male"/>
    <s v="Handbag"/>
    <x v="3"/>
    <n v="87"/>
    <x v="6"/>
    <s v="L"/>
    <s v="Cyan"/>
    <x v="1"/>
    <n v="2.9"/>
    <s v="No"/>
    <s v="PayPal"/>
    <s v="2-Day Shipping"/>
    <s v="No"/>
    <s v="No"/>
    <n v="10"/>
    <x v="1"/>
    <s v="Every 3 Months"/>
    <n v="0"/>
    <x v="2"/>
  </r>
  <r>
    <n v="2300"/>
    <n v="64"/>
    <s v="Male"/>
    <s v="Coat"/>
    <x v="2"/>
    <n v="57"/>
    <x v="37"/>
    <s v="M"/>
    <s v="Violet"/>
    <x v="2"/>
    <n v="3.7"/>
    <s v="No"/>
    <s v="Debit Card"/>
    <s v="Store Pickup"/>
    <s v="No"/>
    <s v="No"/>
    <n v="48"/>
    <x v="2"/>
    <s v="Every 3 Months"/>
    <n v="0"/>
    <x v="0"/>
  </r>
  <r>
    <n v="2301"/>
    <n v="18"/>
    <s v="Male"/>
    <s v="Coat"/>
    <x v="2"/>
    <n v="88"/>
    <x v="38"/>
    <s v="XL"/>
    <s v="Lavender"/>
    <x v="2"/>
    <n v="4.4000000000000004"/>
    <s v="No"/>
    <s v="Venmo"/>
    <s v="2-Day Shipping"/>
    <s v="No"/>
    <s v="No"/>
    <n v="38"/>
    <x v="2"/>
    <s v="Monthly"/>
    <n v="0"/>
    <x v="1"/>
  </r>
  <r>
    <n v="2302"/>
    <n v="37"/>
    <s v="Male"/>
    <s v="Pants"/>
    <x v="0"/>
    <n v="20"/>
    <x v="1"/>
    <s v="L"/>
    <s v="Turquoise"/>
    <x v="0"/>
    <n v="2.9"/>
    <s v="No"/>
    <s v="Debit Card"/>
    <s v="Next Day Air"/>
    <s v="No"/>
    <s v="No"/>
    <n v="21"/>
    <x v="5"/>
    <s v="Annually"/>
    <n v="0"/>
    <x v="2"/>
  </r>
  <r>
    <n v="2303"/>
    <n v="36"/>
    <s v="Male"/>
    <s v="Belt"/>
    <x v="3"/>
    <n v="39"/>
    <x v="6"/>
    <s v="L"/>
    <s v="Pink"/>
    <x v="2"/>
    <n v="3.6"/>
    <s v="No"/>
    <s v="Cash"/>
    <s v="Store Pickup"/>
    <s v="No"/>
    <s v="No"/>
    <n v="38"/>
    <x v="0"/>
    <s v="Monthly"/>
    <n v="0"/>
    <x v="2"/>
  </r>
  <r>
    <n v="2304"/>
    <n v="51"/>
    <s v="Male"/>
    <s v="Sunglasses"/>
    <x v="3"/>
    <n v="71"/>
    <x v="32"/>
    <s v="S"/>
    <s v="Beige"/>
    <x v="1"/>
    <n v="4.8"/>
    <s v="No"/>
    <s v="Bank Transfer"/>
    <s v="2-Day Shipping"/>
    <s v="No"/>
    <s v="No"/>
    <n v="31"/>
    <x v="2"/>
    <s v="Fortnightly"/>
    <n v="0"/>
    <x v="0"/>
  </r>
  <r>
    <n v="2305"/>
    <n v="26"/>
    <s v="Male"/>
    <s v="Hoodie"/>
    <x v="0"/>
    <n v="73"/>
    <x v="7"/>
    <s v="L"/>
    <s v="Silver"/>
    <x v="0"/>
    <n v="4.7"/>
    <s v="No"/>
    <s v="Bank Transfer"/>
    <s v="Free Shipping"/>
    <s v="No"/>
    <s v="No"/>
    <n v="9"/>
    <x v="5"/>
    <s v="Fortnightly"/>
    <n v="0"/>
    <x v="3"/>
  </r>
  <r>
    <n v="2306"/>
    <n v="68"/>
    <s v="Male"/>
    <s v="Handbag"/>
    <x v="3"/>
    <n v="63"/>
    <x v="1"/>
    <s v="M"/>
    <s v="Gold"/>
    <x v="2"/>
    <n v="2.6"/>
    <s v="No"/>
    <s v="Cash"/>
    <s v="Free Shipping"/>
    <s v="No"/>
    <s v="No"/>
    <n v="47"/>
    <x v="1"/>
    <s v="Weekly"/>
    <n v="0"/>
    <x v="0"/>
  </r>
  <r>
    <n v="2307"/>
    <n v="27"/>
    <s v="Male"/>
    <s v="Gloves"/>
    <x v="3"/>
    <n v="78"/>
    <x v="20"/>
    <s v="L"/>
    <s v="Silver"/>
    <x v="0"/>
    <n v="3.4"/>
    <s v="No"/>
    <s v="Cash"/>
    <s v="Standard"/>
    <s v="No"/>
    <s v="No"/>
    <n v="8"/>
    <x v="1"/>
    <s v="Bi-Weekly"/>
    <n v="0"/>
    <x v="3"/>
  </r>
  <r>
    <n v="2308"/>
    <n v="28"/>
    <s v="Male"/>
    <s v="Skirt"/>
    <x v="0"/>
    <n v="96"/>
    <x v="9"/>
    <s v="L"/>
    <s v="Green"/>
    <x v="3"/>
    <n v="3.5"/>
    <s v="No"/>
    <s v="Bank Transfer"/>
    <s v="Next Day Air"/>
    <s v="No"/>
    <s v="No"/>
    <n v="30"/>
    <x v="5"/>
    <s v="Annually"/>
    <n v="0"/>
    <x v="3"/>
  </r>
  <r>
    <n v="2309"/>
    <n v="49"/>
    <s v="Male"/>
    <s v="Sunglasses"/>
    <x v="3"/>
    <n v="81"/>
    <x v="25"/>
    <s v="M"/>
    <s v="Teal"/>
    <x v="0"/>
    <n v="3.4"/>
    <s v="No"/>
    <s v="Bank Transfer"/>
    <s v="2-Day Shipping"/>
    <s v="No"/>
    <s v="No"/>
    <n v="22"/>
    <x v="4"/>
    <s v="Quarterly"/>
    <n v="0"/>
    <x v="0"/>
  </r>
  <r>
    <n v="2310"/>
    <n v="70"/>
    <s v="Male"/>
    <s v="Dress"/>
    <x v="0"/>
    <n v="95"/>
    <x v="39"/>
    <s v="S"/>
    <s v="Gold"/>
    <x v="3"/>
    <n v="5"/>
    <s v="No"/>
    <s v="Cash"/>
    <s v="2-Day Shipping"/>
    <s v="No"/>
    <s v="No"/>
    <n v="3"/>
    <x v="4"/>
    <s v="Quarterly"/>
    <n v="0"/>
    <x v="0"/>
  </r>
  <r>
    <n v="2311"/>
    <n v="30"/>
    <s v="Male"/>
    <s v="Gloves"/>
    <x v="3"/>
    <n v="68"/>
    <x v="41"/>
    <s v="M"/>
    <s v="Cyan"/>
    <x v="1"/>
    <n v="4.5999999999999996"/>
    <s v="No"/>
    <s v="Credit Card"/>
    <s v="Standard"/>
    <s v="No"/>
    <s v="No"/>
    <n v="15"/>
    <x v="3"/>
    <s v="Monthly"/>
    <n v="0"/>
    <x v="3"/>
  </r>
  <r>
    <n v="2312"/>
    <n v="27"/>
    <s v="Male"/>
    <s v="Sneakers"/>
    <x v="1"/>
    <n v="28"/>
    <x v="6"/>
    <s v="L"/>
    <s v="Gold"/>
    <x v="1"/>
    <n v="4.8"/>
    <s v="No"/>
    <s v="PayPal"/>
    <s v="2-Day Shipping"/>
    <s v="No"/>
    <s v="No"/>
    <n v="10"/>
    <x v="4"/>
    <s v="Every 3 Months"/>
    <n v="0"/>
    <x v="3"/>
  </r>
  <r>
    <n v="2313"/>
    <n v="19"/>
    <s v="Male"/>
    <s v="T-shirt"/>
    <x v="0"/>
    <n v="30"/>
    <x v="34"/>
    <s v="L"/>
    <s v="Violet"/>
    <x v="2"/>
    <n v="3.7"/>
    <s v="No"/>
    <s v="PayPal"/>
    <s v="Free Shipping"/>
    <s v="No"/>
    <s v="No"/>
    <n v="19"/>
    <x v="1"/>
    <s v="Every 3 Months"/>
    <n v="0"/>
    <x v="1"/>
  </r>
  <r>
    <n v="2314"/>
    <n v="64"/>
    <s v="Male"/>
    <s v="Dress"/>
    <x v="0"/>
    <n v="31"/>
    <x v="42"/>
    <s v="M"/>
    <s v="Black"/>
    <x v="2"/>
    <n v="4.7"/>
    <s v="No"/>
    <s v="Venmo"/>
    <s v="Next Day Air"/>
    <s v="No"/>
    <s v="No"/>
    <n v="36"/>
    <x v="4"/>
    <s v="Fortnightly"/>
    <n v="0"/>
    <x v="0"/>
  </r>
  <r>
    <n v="2315"/>
    <n v="42"/>
    <s v="Male"/>
    <s v="Handbag"/>
    <x v="3"/>
    <n v="95"/>
    <x v="41"/>
    <s v="XL"/>
    <s v="Brown"/>
    <x v="0"/>
    <n v="4.4000000000000004"/>
    <s v="No"/>
    <s v="Venmo"/>
    <s v="Express"/>
    <s v="No"/>
    <s v="No"/>
    <n v="12"/>
    <x v="4"/>
    <s v="Every 3 Months"/>
    <n v="0"/>
    <x v="2"/>
  </r>
  <r>
    <n v="2316"/>
    <n v="69"/>
    <s v="Male"/>
    <s v="Socks"/>
    <x v="0"/>
    <n v="79"/>
    <x v="34"/>
    <s v="M"/>
    <s v="Indigo"/>
    <x v="0"/>
    <n v="3.5"/>
    <s v="No"/>
    <s v="Cash"/>
    <s v="2-Day Shipping"/>
    <s v="No"/>
    <s v="No"/>
    <n v="49"/>
    <x v="5"/>
    <s v="Quarterly"/>
    <n v="0"/>
    <x v="0"/>
  </r>
  <r>
    <n v="2317"/>
    <n v="28"/>
    <s v="Male"/>
    <s v="Sneakers"/>
    <x v="1"/>
    <n v="39"/>
    <x v="6"/>
    <s v="L"/>
    <s v="Yellow"/>
    <x v="0"/>
    <n v="3.8"/>
    <s v="No"/>
    <s v="Credit Card"/>
    <s v="Standard"/>
    <s v="No"/>
    <s v="No"/>
    <n v="7"/>
    <x v="5"/>
    <s v="Annually"/>
    <n v="0"/>
    <x v="3"/>
  </r>
  <r>
    <n v="2318"/>
    <n v="47"/>
    <s v="Male"/>
    <s v="Jacket"/>
    <x v="2"/>
    <n v="34"/>
    <x v="32"/>
    <s v="M"/>
    <s v="Purple"/>
    <x v="2"/>
    <n v="4.7"/>
    <s v="No"/>
    <s v="Debit Card"/>
    <s v="Next Day Air"/>
    <s v="No"/>
    <s v="No"/>
    <n v="28"/>
    <x v="4"/>
    <s v="Monthly"/>
    <n v="0"/>
    <x v="0"/>
  </r>
  <r>
    <n v="2319"/>
    <n v="69"/>
    <s v="Male"/>
    <s v="Hoodie"/>
    <x v="0"/>
    <n v="28"/>
    <x v="5"/>
    <s v="L"/>
    <s v="White"/>
    <x v="1"/>
    <n v="3.1"/>
    <s v="No"/>
    <s v="PayPal"/>
    <s v="Store Pickup"/>
    <s v="No"/>
    <s v="No"/>
    <n v="30"/>
    <x v="2"/>
    <s v="Annually"/>
    <n v="0"/>
    <x v="0"/>
  </r>
  <r>
    <n v="2320"/>
    <n v="56"/>
    <s v="Male"/>
    <s v="Sandals"/>
    <x v="1"/>
    <n v="38"/>
    <x v="1"/>
    <s v="XL"/>
    <s v="Turquoise"/>
    <x v="0"/>
    <n v="5"/>
    <s v="No"/>
    <s v="Debit Card"/>
    <s v="Free Shipping"/>
    <s v="No"/>
    <s v="No"/>
    <n v="29"/>
    <x v="3"/>
    <s v="Monthly"/>
    <n v="0"/>
    <x v="0"/>
  </r>
  <r>
    <n v="2321"/>
    <n v="28"/>
    <s v="Male"/>
    <s v="Shoes"/>
    <x v="1"/>
    <n v="55"/>
    <x v="35"/>
    <s v="M"/>
    <s v="Olive"/>
    <x v="1"/>
    <n v="3.7"/>
    <s v="No"/>
    <s v="Credit Card"/>
    <s v="Free Shipping"/>
    <s v="No"/>
    <s v="No"/>
    <n v="9"/>
    <x v="5"/>
    <s v="Every 3 Months"/>
    <n v="0"/>
    <x v="3"/>
  </r>
  <r>
    <n v="2322"/>
    <n v="50"/>
    <s v="Male"/>
    <s v="Sandals"/>
    <x v="1"/>
    <n v="31"/>
    <x v="24"/>
    <s v="M"/>
    <s v="Beige"/>
    <x v="0"/>
    <n v="3"/>
    <s v="No"/>
    <s v="PayPal"/>
    <s v="Next Day Air"/>
    <s v="No"/>
    <s v="No"/>
    <n v="27"/>
    <x v="5"/>
    <s v="Fortnightly"/>
    <n v="0"/>
    <x v="0"/>
  </r>
  <r>
    <n v="2323"/>
    <n v="39"/>
    <s v="Male"/>
    <s v="Coat"/>
    <x v="2"/>
    <n v="84"/>
    <x v="39"/>
    <s v="S"/>
    <s v="Lavender"/>
    <x v="1"/>
    <n v="4.5"/>
    <s v="No"/>
    <s v="Cash"/>
    <s v="Store Pickup"/>
    <s v="No"/>
    <s v="No"/>
    <n v="21"/>
    <x v="0"/>
    <s v="Fortnightly"/>
    <n v="0"/>
    <x v="2"/>
  </r>
  <r>
    <n v="2324"/>
    <n v="35"/>
    <s v="Male"/>
    <s v="Gloves"/>
    <x v="3"/>
    <n v="93"/>
    <x v="33"/>
    <s v="L"/>
    <s v="White"/>
    <x v="0"/>
    <n v="4.7"/>
    <s v="No"/>
    <s v="Bank Transfer"/>
    <s v="Express"/>
    <s v="No"/>
    <s v="No"/>
    <n v="36"/>
    <x v="2"/>
    <s v="Monthly"/>
    <n v="0"/>
    <x v="3"/>
  </r>
  <r>
    <n v="2325"/>
    <n v="59"/>
    <s v="Male"/>
    <s v="Coat"/>
    <x v="2"/>
    <n v="28"/>
    <x v="4"/>
    <s v="L"/>
    <s v="Brown"/>
    <x v="0"/>
    <n v="3.5"/>
    <s v="No"/>
    <s v="Debit Card"/>
    <s v="Free Shipping"/>
    <s v="No"/>
    <s v="No"/>
    <n v="19"/>
    <x v="5"/>
    <s v="Annually"/>
    <n v="0"/>
    <x v="0"/>
  </r>
  <r>
    <n v="2326"/>
    <n v="44"/>
    <s v="Male"/>
    <s v="Boots"/>
    <x v="1"/>
    <n v="55"/>
    <x v="14"/>
    <s v="M"/>
    <s v="Charcoal"/>
    <x v="2"/>
    <n v="4.4000000000000004"/>
    <s v="No"/>
    <s v="Debit Card"/>
    <s v="2-Day Shipping"/>
    <s v="No"/>
    <s v="No"/>
    <n v="47"/>
    <x v="1"/>
    <s v="Weekly"/>
    <n v="0"/>
    <x v="2"/>
  </r>
  <r>
    <n v="2327"/>
    <n v="66"/>
    <s v="Male"/>
    <s v="Skirt"/>
    <x v="0"/>
    <n v="63"/>
    <x v="19"/>
    <s v="L"/>
    <s v="Maroon"/>
    <x v="0"/>
    <n v="2.6"/>
    <s v="No"/>
    <s v="Cash"/>
    <s v="Standard"/>
    <s v="No"/>
    <s v="No"/>
    <n v="38"/>
    <x v="4"/>
    <s v="Annually"/>
    <n v="0"/>
    <x v="0"/>
  </r>
  <r>
    <n v="2328"/>
    <n v="20"/>
    <s v="Male"/>
    <s v="Skirt"/>
    <x v="0"/>
    <n v="94"/>
    <x v="15"/>
    <s v="M"/>
    <s v="Red"/>
    <x v="0"/>
    <n v="4.2"/>
    <s v="No"/>
    <s v="Credit Card"/>
    <s v="2-Day Shipping"/>
    <s v="No"/>
    <s v="No"/>
    <n v="22"/>
    <x v="0"/>
    <s v="Bi-Weekly"/>
    <n v="0"/>
    <x v="1"/>
  </r>
  <r>
    <n v="2329"/>
    <n v="45"/>
    <s v="Male"/>
    <s v="Pants"/>
    <x v="0"/>
    <n v="36"/>
    <x v="25"/>
    <s v="M"/>
    <s v="Maroon"/>
    <x v="3"/>
    <n v="2.6"/>
    <s v="No"/>
    <s v="Credit Card"/>
    <s v="Express"/>
    <s v="No"/>
    <s v="No"/>
    <n v="29"/>
    <x v="0"/>
    <s v="Bi-Weekly"/>
    <n v="0"/>
    <x v="2"/>
  </r>
  <r>
    <n v="2330"/>
    <n v="49"/>
    <s v="Male"/>
    <s v="Hat"/>
    <x v="3"/>
    <n v="97"/>
    <x v="43"/>
    <s v="S"/>
    <s v="Teal"/>
    <x v="1"/>
    <n v="4.8"/>
    <s v="No"/>
    <s v="Venmo"/>
    <s v="Free Shipping"/>
    <s v="No"/>
    <s v="No"/>
    <n v="42"/>
    <x v="4"/>
    <s v="Annually"/>
    <n v="0"/>
    <x v="0"/>
  </r>
  <r>
    <n v="2331"/>
    <n v="60"/>
    <s v="Male"/>
    <s v="Backpack"/>
    <x v="3"/>
    <n v="63"/>
    <x v="28"/>
    <s v="L"/>
    <s v="Orange"/>
    <x v="2"/>
    <n v="2.9"/>
    <s v="No"/>
    <s v="Venmo"/>
    <s v="Store Pickup"/>
    <s v="No"/>
    <s v="No"/>
    <n v="47"/>
    <x v="3"/>
    <s v="Every 3 Months"/>
    <n v="0"/>
    <x v="0"/>
  </r>
  <r>
    <n v="2332"/>
    <n v="61"/>
    <s v="Male"/>
    <s v="Scarf"/>
    <x v="3"/>
    <n v="77"/>
    <x v="26"/>
    <s v="S"/>
    <s v="Olive"/>
    <x v="1"/>
    <n v="4.3"/>
    <s v="No"/>
    <s v="Credit Card"/>
    <s v="2-Day Shipping"/>
    <s v="No"/>
    <s v="No"/>
    <n v="10"/>
    <x v="2"/>
    <s v="Bi-Weekly"/>
    <n v="0"/>
    <x v="0"/>
  </r>
  <r>
    <n v="2333"/>
    <n v="36"/>
    <s v="Male"/>
    <s v="Scarf"/>
    <x v="3"/>
    <n v="53"/>
    <x v="36"/>
    <s v="XL"/>
    <s v="Olive"/>
    <x v="3"/>
    <n v="2.6"/>
    <s v="No"/>
    <s v="Credit Card"/>
    <s v="Store Pickup"/>
    <s v="No"/>
    <s v="No"/>
    <n v="10"/>
    <x v="0"/>
    <s v="Monthly"/>
    <n v="0"/>
    <x v="2"/>
  </r>
  <r>
    <n v="2334"/>
    <n v="33"/>
    <s v="Male"/>
    <s v="Shirt"/>
    <x v="0"/>
    <n v="77"/>
    <x v="23"/>
    <s v="M"/>
    <s v="Beige"/>
    <x v="1"/>
    <n v="3.8"/>
    <s v="No"/>
    <s v="Cash"/>
    <s v="Next Day Air"/>
    <s v="No"/>
    <s v="No"/>
    <n v="1"/>
    <x v="3"/>
    <s v="Every 3 Months"/>
    <n v="0"/>
    <x v="3"/>
  </r>
  <r>
    <n v="2335"/>
    <n v="49"/>
    <s v="Male"/>
    <s v="Boots"/>
    <x v="1"/>
    <n v="79"/>
    <x v="23"/>
    <s v="L"/>
    <s v="Green"/>
    <x v="2"/>
    <n v="4.2"/>
    <s v="No"/>
    <s v="Credit Card"/>
    <s v="Standard"/>
    <s v="No"/>
    <s v="No"/>
    <n v="7"/>
    <x v="2"/>
    <s v="Monthly"/>
    <n v="0"/>
    <x v="0"/>
  </r>
  <r>
    <n v="2336"/>
    <n v="31"/>
    <s v="Male"/>
    <s v="Coat"/>
    <x v="2"/>
    <n v="37"/>
    <x v="37"/>
    <s v="M"/>
    <s v="Black"/>
    <x v="2"/>
    <n v="3.9"/>
    <s v="No"/>
    <s v="Venmo"/>
    <s v="Store Pickup"/>
    <s v="No"/>
    <s v="No"/>
    <n v="10"/>
    <x v="0"/>
    <s v="Fortnightly"/>
    <n v="0"/>
    <x v="3"/>
  </r>
  <r>
    <n v="2337"/>
    <n v="19"/>
    <s v="Male"/>
    <s v="Belt"/>
    <x v="3"/>
    <n v="94"/>
    <x v="18"/>
    <s v="M"/>
    <s v="Green"/>
    <x v="0"/>
    <n v="3.1"/>
    <s v="No"/>
    <s v="Cash"/>
    <s v="Free Shipping"/>
    <s v="No"/>
    <s v="No"/>
    <n v="11"/>
    <x v="2"/>
    <s v="Weekly"/>
    <n v="0"/>
    <x v="1"/>
  </r>
  <r>
    <n v="2338"/>
    <n v="39"/>
    <s v="Male"/>
    <s v="Boots"/>
    <x v="1"/>
    <n v="76"/>
    <x v="25"/>
    <s v="S"/>
    <s v="Violet"/>
    <x v="3"/>
    <n v="3.6"/>
    <s v="No"/>
    <s v="PayPal"/>
    <s v="Store Pickup"/>
    <s v="No"/>
    <s v="No"/>
    <n v="5"/>
    <x v="1"/>
    <s v="Annually"/>
    <n v="0"/>
    <x v="2"/>
  </r>
  <r>
    <n v="2339"/>
    <n v="66"/>
    <s v="Male"/>
    <s v="Sneakers"/>
    <x v="1"/>
    <n v="68"/>
    <x v="42"/>
    <s v="S"/>
    <s v="Silver"/>
    <x v="3"/>
    <n v="4"/>
    <s v="No"/>
    <s v="PayPal"/>
    <s v="Express"/>
    <s v="No"/>
    <s v="No"/>
    <n v="21"/>
    <x v="3"/>
    <s v="Quarterly"/>
    <n v="0"/>
    <x v="0"/>
  </r>
  <r>
    <n v="2340"/>
    <n v="25"/>
    <s v="Male"/>
    <s v="Shirt"/>
    <x v="0"/>
    <n v="65"/>
    <x v="26"/>
    <s v="L"/>
    <s v="Maroon"/>
    <x v="1"/>
    <n v="3.4"/>
    <s v="No"/>
    <s v="Cash"/>
    <s v="Next Day Air"/>
    <s v="No"/>
    <s v="No"/>
    <n v="24"/>
    <x v="4"/>
    <s v="Quarterly"/>
    <n v="0"/>
    <x v="1"/>
  </r>
  <r>
    <n v="2341"/>
    <n v="63"/>
    <s v="Male"/>
    <s v="Blouse"/>
    <x v="0"/>
    <n v="24"/>
    <x v="12"/>
    <s v="M"/>
    <s v="Cyan"/>
    <x v="2"/>
    <n v="2.6"/>
    <s v="No"/>
    <s v="Venmo"/>
    <s v="Standard"/>
    <s v="No"/>
    <s v="No"/>
    <n v="37"/>
    <x v="2"/>
    <s v="Fortnightly"/>
    <n v="0"/>
    <x v="0"/>
  </r>
  <r>
    <n v="2342"/>
    <n v="56"/>
    <s v="Male"/>
    <s v="Jacket"/>
    <x v="2"/>
    <n v="31"/>
    <x v="39"/>
    <s v="L"/>
    <s v="Teal"/>
    <x v="2"/>
    <n v="4.5"/>
    <s v="No"/>
    <s v="Cash"/>
    <s v="Express"/>
    <s v="No"/>
    <s v="No"/>
    <n v="22"/>
    <x v="0"/>
    <s v="Every 3 Months"/>
    <n v="0"/>
    <x v="0"/>
  </r>
  <r>
    <n v="2343"/>
    <n v="20"/>
    <s v="Male"/>
    <s v="Skirt"/>
    <x v="0"/>
    <n v="89"/>
    <x v="30"/>
    <s v="M"/>
    <s v="Olive"/>
    <x v="3"/>
    <n v="4.9000000000000004"/>
    <s v="No"/>
    <s v="Credit Card"/>
    <s v="Standard"/>
    <s v="No"/>
    <s v="No"/>
    <n v="16"/>
    <x v="5"/>
    <s v="Fortnightly"/>
    <n v="0"/>
    <x v="1"/>
  </r>
  <r>
    <n v="2344"/>
    <n v="58"/>
    <s v="Male"/>
    <s v="Socks"/>
    <x v="0"/>
    <n v="49"/>
    <x v="33"/>
    <s v="M"/>
    <s v="Red"/>
    <x v="2"/>
    <n v="4.4000000000000004"/>
    <s v="No"/>
    <s v="Venmo"/>
    <s v="2-Day Shipping"/>
    <s v="No"/>
    <s v="No"/>
    <n v="44"/>
    <x v="3"/>
    <s v="Monthly"/>
    <n v="0"/>
    <x v="0"/>
  </r>
  <r>
    <n v="2345"/>
    <n v="34"/>
    <s v="Male"/>
    <s v="Sandals"/>
    <x v="1"/>
    <n v="92"/>
    <x v="3"/>
    <s v="XL"/>
    <s v="Lavender"/>
    <x v="3"/>
    <n v="3.5"/>
    <s v="No"/>
    <s v="Credit Card"/>
    <s v="Express"/>
    <s v="No"/>
    <s v="No"/>
    <n v="14"/>
    <x v="0"/>
    <s v="Bi-Weekly"/>
    <n v="0"/>
    <x v="3"/>
  </r>
  <r>
    <n v="2346"/>
    <n v="28"/>
    <s v="Male"/>
    <s v="T-shirt"/>
    <x v="0"/>
    <n v="32"/>
    <x v="14"/>
    <s v="S"/>
    <s v="Orange"/>
    <x v="0"/>
    <n v="3.3"/>
    <s v="No"/>
    <s v="Bank Transfer"/>
    <s v="Express"/>
    <s v="No"/>
    <s v="No"/>
    <n v="23"/>
    <x v="4"/>
    <s v="Every 3 Months"/>
    <n v="0"/>
    <x v="3"/>
  </r>
  <r>
    <n v="2347"/>
    <n v="22"/>
    <s v="Male"/>
    <s v="Jacket"/>
    <x v="2"/>
    <n v="67"/>
    <x v="35"/>
    <s v="L"/>
    <s v="Brown"/>
    <x v="0"/>
    <n v="3.1"/>
    <s v="No"/>
    <s v="Bank Transfer"/>
    <s v="Standard"/>
    <s v="No"/>
    <s v="No"/>
    <n v="46"/>
    <x v="5"/>
    <s v="Fortnightly"/>
    <n v="0"/>
    <x v="1"/>
  </r>
  <r>
    <n v="2348"/>
    <n v="37"/>
    <s v="Male"/>
    <s v="Belt"/>
    <x v="3"/>
    <n v="64"/>
    <x v="18"/>
    <s v="S"/>
    <s v="Gray"/>
    <x v="3"/>
    <n v="4.2"/>
    <s v="No"/>
    <s v="Credit Card"/>
    <s v="Express"/>
    <s v="No"/>
    <s v="No"/>
    <n v="46"/>
    <x v="1"/>
    <s v="Every 3 Months"/>
    <n v="0"/>
    <x v="2"/>
  </r>
  <r>
    <n v="2349"/>
    <n v="54"/>
    <s v="Male"/>
    <s v="Shoes"/>
    <x v="1"/>
    <n v="84"/>
    <x v="1"/>
    <s v="M"/>
    <s v="Orange"/>
    <x v="1"/>
    <n v="4.9000000000000004"/>
    <s v="No"/>
    <s v="PayPal"/>
    <s v="Next Day Air"/>
    <s v="No"/>
    <s v="No"/>
    <n v="16"/>
    <x v="3"/>
    <s v="Every 3 Months"/>
    <n v="0"/>
    <x v="0"/>
  </r>
  <r>
    <n v="2350"/>
    <n v="65"/>
    <s v="Male"/>
    <s v="Blouse"/>
    <x v="0"/>
    <n v="34"/>
    <x v="14"/>
    <s v="M"/>
    <s v="Orange"/>
    <x v="3"/>
    <n v="3.9"/>
    <s v="No"/>
    <s v="Venmo"/>
    <s v="Standard"/>
    <s v="No"/>
    <s v="No"/>
    <n v="40"/>
    <x v="2"/>
    <s v="Every 3 Months"/>
    <n v="0"/>
    <x v="0"/>
  </r>
  <r>
    <n v="2351"/>
    <n v="57"/>
    <s v="Male"/>
    <s v="Shoes"/>
    <x v="1"/>
    <n v="26"/>
    <x v="11"/>
    <s v="M"/>
    <s v="Turquoise"/>
    <x v="0"/>
    <n v="4.2"/>
    <s v="No"/>
    <s v="Bank Transfer"/>
    <s v="Free Shipping"/>
    <s v="No"/>
    <s v="No"/>
    <n v="21"/>
    <x v="1"/>
    <s v="Annually"/>
    <n v="0"/>
    <x v="0"/>
  </r>
  <r>
    <n v="2352"/>
    <n v="38"/>
    <s v="Male"/>
    <s v="Sweater"/>
    <x v="0"/>
    <n v="50"/>
    <x v="13"/>
    <s v="S"/>
    <s v="Cyan"/>
    <x v="3"/>
    <n v="4.9000000000000004"/>
    <s v="No"/>
    <s v="Credit Card"/>
    <s v="Store Pickup"/>
    <s v="No"/>
    <s v="No"/>
    <n v="25"/>
    <x v="3"/>
    <s v="Bi-Weekly"/>
    <n v="0"/>
    <x v="2"/>
  </r>
  <r>
    <n v="2353"/>
    <n v="70"/>
    <s v="Male"/>
    <s v="Boots"/>
    <x v="1"/>
    <n v="46"/>
    <x v="43"/>
    <s v="M"/>
    <s v="Yellow"/>
    <x v="3"/>
    <n v="2.8"/>
    <s v="No"/>
    <s v="Credit Card"/>
    <s v="Store Pickup"/>
    <s v="No"/>
    <s v="No"/>
    <n v="25"/>
    <x v="4"/>
    <s v="Quarterly"/>
    <n v="0"/>
    <x v="0"/>
  </r>
  <r>
    <n v="2354"/>
    <n v="56"/>
    <s v="Male"/>
    <s v="Handbag"/>
    <x v="3"/>
    <n v="71"/>
    <x v="6"/>
    <s v="M"/>
    <s v="White"/>
    <x v="3"/>
    <n v="4.0999999999999996"/>
    <s v="No"/>
    <s v="Credit Card"/>
    <s v="Standard"/>
    <s v="No"/>
    <s v="No"/>
    <n v="25"/>
    <x v="5"/>
    <s v="Every 3 Months"/>
    <n v="0"/>
    <x v="0"/>
  </r>
  <r>
    <n v="2355"/>
    <n v="56"/>
    <s v="Male"/>
    <s v="Blouse"/>
    <x v="0"/>
    <n v="78"/>
    <x v="48"/>
    <s v="M"/>
    <s v="Blue"/>
    <x v="2"/>
    <n v="4.8"/>
    <s v="No"/>
    <s v="Cash"/>
    <s v="Next Day Air"/>
    <s v="No"/>
    <s v="No"/>
    <n v="27"/>
    <x v="0"/>
    <s v="Monthly"/>
    <n v="0"/>
    <x v="0"/>
  </r>
  <r>
    <n v="2356"/>
    <n v="22"/>
    <s v="Male"/>
    <s v="Skirt"/>
    <x v="0"/>
    <n v="35"/>
    <x v="30"/>
    <s v="S"/>
    <s v="Purple"/>
    <x v="0"/>
    <n v="4.0999999999999996"/>
    <s v="No"/>
    <s v="PayPal"/>
    <s v="Next Day Air"/>
    <s v="No"/>
    <s v="No"/>
    <n v="12"/>
    <x v="1"/>
    <s v="Monthly"/>
    <n v="0"/>
    <x v="1"/>
  </r>
  <r>
    <n v="2357"/>
    <n v="57"/>
    <s v="Male"/>
    <s v="Backpack"/>
    <x v="3"/>
    <n v="58"/>
    <x v="6"/>
    <s v="M"/>
    <s v="Gray"/>
    <x v="2"/>
    <n v="3"/>
    <s v="No"/>
    <s v="Bank Transfer"/>
    <s v="Free Shipping"/>
    <s v="No"/>
    <s v="No"/>
    <n v="27"/>
    <x v="5"/>
    <s v="Quarterly"/>
    <n v="0"/>
    <x v="0"/>
  </r>
  <r>
    <n v="2358"/>
    <n v="53"/>
    <s v="Male"/>
    <s v="Shirt"/>
    <x v="0"/>
    <n v="67"/>
    <x v="49"/>
    <s v="L"/>
    <s v="Cyan"/>
    <x v="3"/>
    <n v="4.2"/>
    <s v="No"/>
    <s v="Bank Transfer"/>
    <s v="2-Day Shipping"/>
    <s v="No"/>
    <s v="No"/>
    <n v="40"/>
    <x v="2"/>
    <s v="Bi-Weekly"/>
    <n v="0"/>
    <x v="0"/>
  </r>
  <r>
    <n v="2359"/>
    <n v="53"/>
    <s v="Male"/>
    <s v="Sweater"/>
    <x v="0"/>
    <n v="93"/>
    <x v="21"/>
    <s v="L"/>
    <s v="Pink"/>
    <x v="1"/>
    <n v="3.8"/>
    <s v="No"/>
    <s v="Bank Transfer"/>
    <s v="Standard"/>
    <s v="No"/>
    <s v="No"/>
    <n v="38"/>
    <x v="2"/>
    <s v="Quarterly"/>
    <n v="0"/>
    <x v="0"/>
  </r>
  <r>
    <n v="2360"/>
    <n v="19"/>
    <s v="Male"/>
    <s v="Scarf"/>
    <x v="3"/>
    <n v="81"/>
    <x v="38"/>
    <s v="S"/>
    <s v="Gold"/>
    <x v="1"/>
    <n v="3.3"/>
    <s v="No"/>
    <s v="Venmo"/>
    <s v="2-Day Shipping"/>
    <s v="No"/>
    <s v="No"/>
    <n v="44"/>
    <x v="4"/>
    <s v="Every 3 Months"/>
    <n v="0"/>
    <x v="1"/>
  </r>
  <r>
    <n v="2361"/>
    <n v="49"/>
    <s v="Male"/>
    <s v="Handbag"/>
    <x v="3"/>
    <n v="80"/>
    <x v="14"/>
    <s v="L"/>
    <s v="Silver"/>
    <x v="3"/>
    <n v="4.7"/>
    <s v="No"/>
    <s v="Debit Card"/>
    <s v="2-Day Shipping"/>
    <s v="No"/>
    <s v="No"/>
    <n v="27"/>
    <x v="0"/>
    <s v="Every 3 Months"/>
    <n v="0"/>
    <x v="0"/>
  </r>
  <r>
    <n v="2362"/>
    <n v="44"/>
    <s v="Male"/>
    <s v="Scarf"/>
    <x v="3"/>
    <n v="64"/>
    <x v="15"/>
    <s v="M"/>
    <s v="Gray"/>
    <x v="1"/>
    <n v="4.3"/>
    <s v="No"/>
    <s v="Cash"/>
    <s v="2-Day Shipping"/>
    <s v="No"/>
    <s v="No"/>
    <n v="30"/>
    <x v="2"/>
    <s v="Every 3 Months"/>
    <n v="0"/>
    <x v="2"/>
  </r>
  <r>
    <n v="2363"/>
    <n v="27"/>
    <s v="Male"/>
    <s v="Jeans"/>
    <x v="0"/>
    <n v="41"/>
    <x v="41"/>
    <s v="M"/>
    <s v="Brown"/>
    <x v="3"/>
    <n v="2.7"/>
    <s v="No"/>
    <s v="Venmo"/>
    <s v="Standard"/>
    <s v="No"/>
    <s v="No"/>
    <n v="24"/>
    <x v="2"/>
    <s v="Monthly"/>
    <n v="0"/>
    <x v="3"/>
  </r>
  <r>
    <n v="2364"/>
    <n v="60"/>
    <s v="Male"/>
    <s v="Socks"/>
    <x v="0"/>
    <n v="79"/>
    <x v="38"/>
    <s v="XL"/>
    <s v="Pink"/>
    <x v="0"/>
    <n v="4.2"/>
    <s v="No"/>
    <s v="PayPal"/>
    <s v="Express"/>
    <s v="No"/>
    <s v="No"/>
    <n v="38"/>
    <x v="1"/>
    <s v="Bi-Weekly"/>
    <n v="0"/>
    <x v="0"/>
  </r>
  <r>
    <n v="2365"/>
    <n v="62"/>
    <s v="Male"/>
    <s v="Sunglasses"/>
    <x v="3"/>
    <n v="60"/>
    <x v="16"/>
    <s v="L"/>
    <s v="Maroon"/>
    <x v="0"/>
    <n v="4.2"/>
    <s v="No"/>
    <s v="Credit Card"/>
    <s v="Free Shipping"/>
    <s v="No"/>
    <s v="No"/>
    <n v="4"/>
    <x v="3"/>
    <s v="Quarterly"/>
    <n v="0"/>
    <x v="0"/>
  </r>
  <r>
    <n v="2366"/>
    <n v="52"/>
    <s v="Male"/>
    <s v="Sneakers"/>
    <x v="1"/>
    <n v="91"/>
    <x v="5"/>
    <s v="S"/>
    <s v="Peach"/>
    <x v="0"/>
    <n v="2.5"/>
    <s v="No"/>
    <s v="Cash"/>
    <s v="Next Day Air"/>
    <s v="No"/>
    <s v="No"/>
    <n v="32"/>
    <x v="0"/>
    <s v="Monthly"/>
    <n v="0"/>
    <x v="0"/>
  </r>
  <r>
    <n v="2367"/>
    <n v="30"/>
    <s v="Male"/>
    <s v="Shoes"/>
    <x v="1"/>
    <n v="66"/>
    <x v="35"/>
    <s v="L"/>
    <s v="Brown"/>
    <x v="0"/>
    <n v="3.6"/>
    <s v="No"/>
    <s v="PayPal"/>
    <s v="Express"/>
    <s v="No"/>
    <s v="No"/>
    <n v="32"/>
    <x v="2"/>
    <s v="Fortnightly"/>
    <n v="0"/>
    <x v="3"/>
  </r>
  <r>
    <n v="2368"/>
    <n v="66"/>
    <s v="Male"/>
    <s v="Socks"/>
    <x v="0"/>
    <n v="85"/>
    <x v="25"/>
    <s v="L"/>
    <s v="Green"/>
    <x v="0"/>
    <n v="3.4"/>
    <s v="No"/>
    <s v="Bank Transfer"/>
    <s v="Standard"/>
    <s v="No"/>
    <s v="No"/>
    <n v="28"/>
    <x v="4"/>
    <s v="Bi-Weekly"/>
    <n v="0"/>
    <x v="0"/>
  </r>
  <r>
    <n v="2369"/>
    <n v="29"/>
    <s v="Male"/>
    <s v="Sunglasses"/>
    <x v="3"/>
    <n v="38"/>
    <x v="32"/>
    <s v="M"/>
    <s v="Lavender"/>
    <x v="2"/>
    <n v="3.3"/>
    <s v="No"/>
    <s v="Credit Card"/>
    <s v="Standard"/>
    <s v="No"/>
    <s v="No"/>
    <n v="6"/>
    <x v="5"/>
    <s v="Every 3 Months"/>
    <n v="0"/>
    <x v="3"/>
  </r>
  <r>
    <n v="2370"/>
    <n v="24"/>
    <s v="Male"/>
    <s v="Sweater"/>
    <x v="0"/>
    <n v="23"/>
    <x v="34"/>
    <s v="M"/>
    <s v="Cyan"/>
    <x v="0"/>
    <n v="4.5999999999999996"/>
    <s v="No"/>
    <s v="Debit Card"/>
    <s v="Standard"/>
    <s v="No"/>
    <s v="No"/>
    <n v="24"/>
    <x v="3"/>
    <s v="Monthly"/>
    <n v="0"/>
    <x v="1"/>
  </r>
  <r>
    <n v="2371"/>
    <n v="51"/>
    <s v="Male"/>
    <s v="Shoes"/>
    <x v="1"/>
    <n v="71"/>
    <x v="29"/>
    <s v="M"/>
    <s v="Black"/>
    <x v="1"/>
    <n v="3.9"/>
    <s v="No"/>
    <s v="Debit Card"/>
    <s v="Store Pickup"/>
    <s v="No"/>
    <s v="No"/>
    <n v="38"/>
    <x v="0"/>
    <s v="Weekly"/>
    <n v="0"/>
    <x v="0"/>
  </r>
  <r>
    <n v="2372"/>
    <n v="67"/>
    <s v="Male"/>
    <s v="Socks"/>
    <x v="0"/>
    <n v="25"/>
    <x v="27"/>
    <s v="M"/>
    <s v="Charcoal"/>
    <x v="0"/>
    <n v="3.7"/>
    <s v="No"/>
    <s v="PayPal"/>
    <s v="Next Day Air"/>
    <s v="No"/>
    <s v="No"/>
    <n v="28"/>
    <x v="5"/>
    <s v="Annually"/>
    <n v="0"/>
    <x v="0"/>
  </r>
  <r>
    <n v="2373"/>
    <n v="50"/>
    <s v="Male"/>
    <s v="Boots"/>
    <x v="1"/>
    <n v="39"/>
    <x v="15"/>
    <s v="XL"/>
    <s v="Silver"/>
    <x v="1"/>
    <n v="3.1"/>
    <s v="No"/>
    <s v="Debit Card"/>
    <s v="Express"/>
    <s v="No"/>
    <s v="No"/>
    <n v="9"/>
    <x v="3"/>
    <s v="Fortnightly"/>
    <n v="0"/>
    <x v="0"/>
  </r>
  <r>
    <n v="2374"/>
    <n v="37"/>
    <s v="Male"/>
    <s v="Hoodie"/>
    <x v="0"/>
    <n v="20"/>
    <x v="49"/>
    <s v="M"/>
    <s v="Gray"/>
    <x v="1"/>
    <n v="4.9000000000000004"/>
    <s v="No"/>
    <s v="Bank Transfer"/>
    <s v="Express"/>
    <s v="No"/>
    <s v="No"/>
    <n v="21"/>
    <x v="5"/>
    <s v="Every 3 Months"/>
    <n v="0"/>
    <x v="2"/>
  </r>
  <r>
    <n v="2375"/>
    <n v="69"/>
    <s v="Male"/>
    <s v="Gloves"/>
    <x v="3"/>
    <n v="73"/>
    <x v="47"/>
    <s v="L"/>
    <s v="Peach"/>
    <x v="0"/>
    <n v="4.7"/>
    <s v="No"/>
    <s v="Cash"/>
    <s v="Standard"/>
    <s v="No"/>
    <s v="No"/>
    <n v="31"/>
    <x v="5"/>
    <s v="Monthly"/>
    <n v="0"/>
    <x v="0"/>
  </r>
  <r>
    <n v="2376"/>
    <n v="60"/>
    <s v="Male"/>
    <s v="Backpack"/>
    <x v="3"/>
    <n v="63"/>
    <x v="41"/>
    <s v="L"/>
    <s v="Peach"/>
    <x v="3"/>
    <n v="2.9"/>
    <s v="No"/>
    <s v="PayPal"/>
    <s v="Next Day Air"/>
    <s v="No"/>
    <s v="No"/>
    <n v="18"/>
    <x v="2"/>
    <s v="Quarterly"/>
    <n v="0"/>
    <x v="0"/>
  </r>
  <r>
    <n v="2377"/>
    <n v="21"/>
    <s v="Male"/>
    <s v="Gloves"/>
    <x v="3"/>
    <n v="94"/>
    <x v="30"/>
    <s v="XL"/>
    <s v="Cyan"/>
    <x v="1"/>
    <n v="4.0999999999999996"/>
    <s v="No"/>
    <s v="Venmo"/>
    <s v="Express"/>
    <s v="No"/>
    <s v="No"/>
    <n v="5"/>
    <x v="1"/>
    <s v="Weekly"/>
    <n v="0"/>
    <x v="1"/>
  </r>
  <r>
    <n v="2378"/>
    <n v="44"/>
    <s v="Male"/>
    <s v="Blouse"/>
    <x v="0"/>
    <n v="94"/>
    <x v="45"/>
    <s v="L"/>
    <s v="Magenta"/>
    <x v="3"/>
    <n v="4"/>
    <s v="No"/>
    <s v="Venmo"/>
    <s v="Next Day Air"/>
    <s v="No"/>
    <s v="No"/>
    <n v="22"/>
    <x v="1"/>
    <s v="Annually"/>
    <n v="0"/>
    <x v="2"/>
  </r>
  <r>
    <n v="2379"/>
    <n v="26"/>
    <s v="Male"/>
    <s v="Scarf"/>
    <x v="3"/>
    <n v="71"/>
    <x v="13"/>
    <s v="L"/>
    <s v="Teal"/>
    <x v="2"/>
    <n v="2.7"/>
    <s v="No"/>
    <s v="Debit Card"/>
    <s v="Store Pickup"/>
    <s v="No"/>
    <s v="No"/>
    <n v="37"/>
    <x v="3"/>
    <s v="Bi-Weekly"/>
    <n v="0"/>
    <x v="3"/>
  </r>
  <r>
    <n v="2380"/>
    <n v="40"/>
    <s v="Male"/>
    <s v="Hat"/>
    <x v="3"/>
    <n v="77"/>
    <x v="45"/>
    <s v="M"/>
    <s v="Peach"/>
    <x v="1"/>
    <n v="4"/>
    <s v="No"/>
    <s v="Credit Card"/>
    <s v="2-Day Shipping"/>
    <s v="No"/>
    <s v="No"/>
    <n v="22"/>
    <x v="5"/>
    <s v="Monthly"/>
    <n v="0"/>
    <x v="2"/>
  </r>
  <r>
    <n v="2381"/>
    <n v="41"/>
    <s v="Male"/>
    <s v="Scarf"/>
    <x v="3"/>
    <n v="66"/>
    <x v="38"/>
    <s v="M"/>
    <s v="Black"/>
    <x v="3"/>
    <n v="2.5"/>
    <s v="No"/>
    <s v="Credit Card"/>
    <s v="Next Day Air"/>
    <s v="No"/>
    <s v="No"/>
    <n v="36"/>
    <x v="3"/>
    <s v="Fortnightly"/>
    <n v="0"/>
    <x v="2"/>
  </r>
  <r>
    <n v="2382"/>
    <n v="62"/>
    <s v="Male"/>
    <s v="Sandals"/>
    <x v="1"/>
    <n v="23"/>
    <x v="48"/>
    <s v="M"/>
    <s v="Teal"/>
    <x v="2"/>
    <n v="4.5"/>
    <s v="No"/>
    <s v="Bank Transfer"/>
    <s v="Free Shipping"/>
    <s v="No"/>
    <s v="No"/>
    <n v="23"/>
    <x v="3"/>
    <s v="Annually"/>
    <n v="0"/>
    <x v="0"/>
  </r>
  <r>
    <n v="2383"/>
    <n v="39"/>
    <s v="Male"/>
    <s v="Sweater"/>
    <x v="0"/>
    <n v="60"/>
    <x v="18"/>
    <s v="M"/>
    <s v="Turquoise"/>
    <x v="1"/>
    <n v="3.9"/>
    <s v="No"/>
    <s v="Debit Card"/>
    <s v="Express"/>
    <s v="No"/>
    <s v="No"/>
    <n v="44"/>
    <x v="5"/>
    <s v="Weekly"/>
    <n v="0"/>
    <x v="2"/>
  </r>
  <r>
    <n v="2384"/>
    <n v="53"/>
    <s v="Male"/>
    <s v="Backpack"/>
    <x v="3"/>
    <n v="72"/>
    <x v="3"/>
    <s v="L"/>
    <s v="Gold"/>
    <x v="1"/>
    <n v="4.9000000000000004"/>
    <s v="No"/>
    <s v="Cash"/>
    <s v="2-Day Shipping"/>
    <s v="No"/>
    <s v="No"/>
    <n v="25"/>
    <x v="4"/>
    <s v="Annually"/>
    <n v="0"/>
    <x v="0"/>
  </r>
  <r>
    <n v="2385"/>
    <n v="24"/>
    <s v="Male"/>
    <s v="Blouse"/>
    <x v="0"/>
    <n v="35"/>
    <x v="15"/>
    <s v="L"/>
    <s v="Green"/>
    <x v="0"/>
    <n v="3.3"/>
    <s v="No"/>
    <s v="Debit Card"/>
    <s v="2-Day Shipping"/>
    <s v="No"/>
    <s v="No"/>
    <n v="40"/>
    <x v="3"/>
    <s v="Quarterly"/>
    <n v="0"/>
    <x v="1"/>
  </r>
  <r>
    <n v="2386"/>
    <n v="41"/>
    <s v="Male"/>
    <s v="Scarf"/>
    <x v="3"/>
    <n v="31"/>
    <x v="19"/>
    <s v="M"/>
    <s v="Brown"/>
    <x v="3"/>
    <n v="3.8"/>
    <s v="No"/>
    <s v="Venmo"/>
    <s v="Express"/>
    <s v="No"/>
    <s v="No"/>
    <n v="12"/>
    <x v="3"/>
    <s v="Weekly"/>
    <n v="0"/>
    <x v="2"/>
  </r>
  <r>
    <n v="2387"/>
    <n v="19"/>
    <s v="Male"/>
    <s v="Socks"/>
    <x v="0"/>
    <n v="33"/>
    <x v="26"/>
    <s v="L"/>
    <s v="Blue"/>
    <x v="2"/>
    <n v="2.9"/>
    <s v="No"/>
    <s v="Credit Card"/>
    <s v="Standard"/>
    <s v="No"/>
    <s v="No"/>
    <n v="14"/>
    <x v="0"/>
    <s v="Monthly"/>
    <n v="0"/>
    <x v="1"/>
  </r>
  <r>
    <n v="2388"/>
    <n v="36"/>
    <s v="Male"/>
    <s v="Hat"/>
    <x v="3"/>
    <n v="95"/>
    <x v="30"/>
    <s v="M"/>
    <s v="Gold"/>
    <x v="2"/>
    <n v="4"/>
    <s v="No"/>
    <s v="Credit Card"/>
    <s v="2-Day Shipping"/>
    <s v="No"/>
    <s v="No"/>
    <n v="14"/>
    <x v="5"/>
    <s v="Monthly"/>
    <n v="0"/>
    <x v="2"/>
  </r>
  <r>
    <n v="2389"/>
    <n v="21"/>
    <s v="Male"/>
    <s v="Dress"/>
    <x v="0"/>
    <n v="68"/>
    <x v="15"/>
    <s v="M"/>
    <s v="Peach"/>
    <x v="3"/>
    <n v="4.0999999999999996"/>
    <s v="No"/>
    <s v="Credit Card"/>
    <s v="Store Pickup"/>
    <s v="No"/>
    <s v="No"/>
    <n v="10"/>
    <x v="5"/>
    <s v="Annually"/>
    <n v="0"/>
    <x v="1"/>
  </r>
  <r>
    <n v="2390"/>
    <n v="25"/>
    <s v="Male"/>
    <s v="Coat"/>
    <x v="2"/>
    <n v="87"/>
    <x v="23"/>
    <s v="M"/>
    <s v="Violet"/>
    <x v="1"/>
    <n v="3.1"/>
    <s v="No"/>
    <s v="Cash"/>
    <s v="Store Pickup"/>
    <s v="No"/>
    <s v="No"/>
    <n v="17"/>
    <x v="4"/>
    <s v="Every 3 Months"/>
    <n v="0"/>
    <x v="1"/>
  </r>
  <r>
    <n v="2391"/>
    <n v="65"/>
    <s v="Male"/>
    <s v="Shirt"/>
    <x v="0"/>
    <n v="64"/>
    <x v="28"/>
    <s v="XL"/>
    <s v="Yellow"/>
    <x v="0"/>
    <n v="4.5999999999999996"/>
    <s v="No"/>
    <s v="Debit Card"/>
    <s v="Express"/>
    <s v="No"/>
    <s v="No"/>
    <n v="24"/>
    <x v="5"/>
    <s v="Fortnightly"/>
    <n v="0"/>
    <x v="0"/>
  </r>
  <r>
    <n v="2392"/>
    <n v="42"/>
    <s v="Male"/>
    <s v="Shirt"/>
    <x v="0"/>
    <n v="74"/>
    <x v="49"/>
    <s v="M"/>
    <s v="Black"/>
    <x v="0"/>
    <n v="4.5999999999999996"/>
    <s v="No"/>
    <s v="PayPal"/>
    <s v="Next Day Air"/>
    <s v="No"/>
    <s v="No"/>
    <n v="31"/>
    <x v="4"/>
    <s v="Quarterly"/>
    <n v="0"/>
    <x v="2"/>
  </r>
  <r>
    <n v="2393"/>
    <n v="40"/>
    <s v="Male"/>
    <s v="Jeans"/>
    <x v="0"/>
    <n v="62"/>
    <x v="9"/>
    <s v="L"/>
    <s v="Silver"/>
    <x v="1"/>
    <n v="2.6"/>
    <s v="No"/>
    <s v="Cash"/>
    <s v="2-Day Shipping"/>
    <s v="No"/>
    <s v="No"/>
    <n v="36"/>
    <x v="1"/>
    <s v="Annually"/>
    <n v="0"/>
    <x v="2"/>
  </r>
  <r>
    <n v="2394"/>
    <n v="58"/>
    <s v="Male"/>
    <s v="Socks"/>
    <x v="0"/>
    <n v="97"/>
    <x v="7"/>
    <s v="M"/>
    <s v="Brown"/>
    <x v="0"/>
    <n v="5"/>
    <s v="No"/>
    <s v="Debit Card"/>
    <s v="2-Day Shipping"/>
    <s v="No"/>
    <s v="No"/>
    <n v="38"/>
    <x v="3"/>
    <s v="Every 3 Months"/>
    <n v="0"/>
    <x v="0"/>
  </r>
  <r>
    <n v="2395"/>
    <n v="40"/>
    <s v="Male"/>
    <s v="Sandals"/>
    <x v="1"/>
    <n v="47"/>
    <x v="39"/>
    <s v="L"/>
    <s v="Peach"/>
    <x v="3"/>
    <n v="2.9"/>
    <s v="No"/>
    <s v="Cash"/>
    <s v="2-Day Shipping"/>
    <s v="No"/>
    <s v="No"/>
    <n v="23"/>
    <x v="5"/>
    <s v="Fortnightly"/>
    <n v="0"/>
    <x v="2"/>
  </r>
  <r>
    <n v="2396"/>
    <n v="62"/>
    <s v="Male"/>
    <s v="Blouse"/>
    <x v="0"/>
    <n v="83"/>
    <x v="39"/>
    <s v="M"/>
    <s v="Cyan"/>
    <x v="0"/>
    <n v="3.5"/>
    <s v="No"/>
    <s v="Debit Card"/>
    <s v="2-Day Shipping"/>
    <s v="No"/>
    <s v="No"/>
    <n v="47"/>
    <x v="3"/>
    <s v="Bi-Weekly"/>
    <n v="0"/>
    <x v="0"/>
  </r>
  <r>
    <n v="2397"/>
    <n v="38"/>
    <s v="Male"/>
    <s v="Shirt"/>
    <x v="0"/>
    <n v="82"/>
    <x v="4"/>
    <s v="M"/>
    <s v="Olive"/>
    <x v="1"/>
    <n v="3.7"/>
    <s v="No"/>
    <s v="Credit Card"/>
    <s v="2-Day Shipping"/>
    <s v="No"/>
    <s v="No"/>
    <n v="20"/>
    <x v="0"/>
    <s v="Weekly"/>
    <n v="0"/>
    <x v="2"/>
  </r>
  <r>
    <n v="2398"/>
    <n v="37"/>
    <s v="Male"/>
    <s v="Sunglasses"/>
    <x v="3"/>
    <n v="26"/>
    <x v="8"/>
    <s v="L"/>
    <s v="Black"/>
    <x v="3"/>
    <n v="2.9"/>
    <s v="No"/>
    <s v="Bank Transfer"/>
    <s v="Store Pickup"/>
    <s v="No"/>
    <s v="No"/>
    <n v="41"/>
    <x v="0"/>
    <s v="Monthly"/>
    <n v="0"/>
    <x v="2"/>
  </r>
  <r>
    <n v="2399"/>
    <n v="65"/>
    <s v="Male"/>
    <s v="Jacket"/>
    <x v="2"/>
    <n v="81"/>
    <x v="20"/>
    <s v="M"/>
    <s v="Orange"/>
    <x v="0"/>
    <n v="4.3"/>
    <s v="No"/>
    <s v="PayPal"/>
    <s v="Free Shipping"/>
    <s v="No"/>
    <s v="No"/>
    <n v="44"/>
    <x v="4"/>
    <s v="Fortnightly"/>
    <n v="0"/>
    <x v="0"/>
  </r>
  <r>
    <n v="2400"/>
    <n v="55"/>
    <s v="Male"/>
    <s v="Dress"/>
    <x v="0"/>
    <n v="44"/>
    <x v="13"/>
    <s v="L"/>
    <s v="Beige"/>
    <x v="1"/>
    <n v="3.2"/>
    <s v="No"/>
    <s v="Debit Card"/>
    <s v="Store Pickup"/>
    <s v="No"/>
    <s v="No"/>
    <n v="31"/>
    <x v="1"/>
    <s v="Monthly"/>
    <n v="0"/>
    <x v="0"/>
  </r>
  <r>
    <n v="2401"/>
    <n v="43"/>
    <s v="Male"/>
    <s v="Sunglasses"/>
    <x v="3"/>
    <n v="88"/>
    <x v="4"/>
    <s v="M"/>
    <s v="Peach"/>
    <x v="0"/>
    <n v="4.2"/>
    <s v="No"/>
    <s v="PayPal"/>
    <s v="Next Day Air"/>
    <s v="No"/>
    <s v="No"/>
    <n v="11"/>
    <x v="2"/>
    <s v="Bi-Weekly"/>
    <n v="0"/>
    <x v="2"/>
  </r>
  <r>
    <n v="2402"/>
    <n v="43"/>
    <s v="Male"/>
    <s v="Boots"/>
    <x v="1"/>
    <n v="76"/>
    <x v="4"/>
    <s v="M"/>
    <s v="Pink"/>
    <x v="0"/>
    <n v="4.2"/>
    <s v="No"/>
    <s v="Cash"/>
    <s v="Standard"/>
    <s v="No"/>
    <s v="No"/>
    <n v="25"/>
    <x v="3"/>
    <s v="Bi-Weekly"/>
    <n v="0"/>
    <x v="2"/>
  </r>
  <r>
    <n v="2403"/>
    <n v="45"/>
    <s v="Male"/>
    <s v="Scarf"/>
    <x v="3"/>
    <n v="89"/>
    <x v="40"/>
    <s v="M"/>
    <s v="Brown"/>
    <x v="0"/>
    <n v="3.8"/>
    <s v="No"/>
    <s v="PayPal"/>
    <s v="Free Shipping"/>
    <s v="No"/>
    <s v="No"/>
    <n v="31"/>
    <x v="1"/>
    <s v="Weekly"/>
    <n v="0"/>
    <x v="2"/>
  </r>
  <r>
    <n v="2404"/>
    <n v="64"/>
    <s v="Male"/>
    <s v="Shorts"/>
    <x v="0"/>
    <n v="22"/>
    <x v="9"/>
    <s v="M"/>
    <s v="Magenta"/>
    <x v="3"/>
    <n v="4.4000000000000004"/>
    <s v="No"/>
    <s v="Bank Transfer"/>
    <s v="Standard"/>
    <s v="No"/>
    <s v="No"/>
    <n v="40"/>
    <x v="5"/>
    <s v="Weekly"/>
    <n v="0"/>
    <x v="0"/>
  </r>
  <r>
    <n v="2405"/>
    <n v="28"/>
    <s v="Male"/>
    <s v="Shorts"/>
    <x v="0"/>
    <n v="33"/>
    <x v="8"/>
    <s v="L"/>
    <s v="Cyan"/>
    <x v="0"/>
    <n v="3.1"/>
    <s v="No"/>
    <s v="Venmo"/>
    <s v="2-Day Shipping"/>
    <s v="No"/>
    <s v="No"/>
    <n v="23"/>
    <x v="2"/>
    <s v="Bi-Weekly"/>
    <n v="0"/>
    <x v="3"/>
  </r>
  <r>
    <n v="2406"/>
    <n v="69"/>
    <s v="Male"/>
    <s v="Jeans"/>
    <x v="0"/>
    <n v="97"/>
    <x v="18"/>
    <s v="XL"/>
    <s v="Silver"/>
    <x v="3"/>
    <n v="5"/>
    <s v="No"/>
    <s v="Venmo"/>
    <s v="Standard"/>
    <s v="No"/>
    <s v="No"/>
    <n v="5"/>
    <x v="5"/>
    <s v="Quarterly"/>
    <n v="0"/>
    <x v="0"/>
  </r>
  <r>
    <n v="2407"/>
    <n v="54"/>
    <s v="Male"/>
    <s v="Scarf"/>
    <x v="3"/>
    <n v="57"/>
    <x v="18"/>
    <s v="M"/>
    <s v="Indigo"/>
    <x v="0"/>
    <n v="4.7"/>
    <s v="No"/>
    <s v="Venmo"/>
    <s v="Standard"/>
    <s v="No"/>
    <s v="No"/>
    <n v="26"/>
    <x v="3"/>
    <s v="Weekly"/>
    <n v="0"/>
    <x v="0"/>
  </r>
  <r>
    <n v="2408"/>
    <n v="52"/>
    <s v="Male"/>
    <s v="Shorts"/>
    <x v="0"/>
    <n v="38"/>
    <x v="26"/>
    <s v="M"/>
    <s v="Beige"/>
    <x v="2"/>
    <n v="3"/>
    <s v="No"/>
    <s v="Credit Card"/>
    <s v="Express"/>
    <s v="No"/>
    <s v="No"/>
    <n v="11"/>
    <x v="2"/>
    <s v="Bi-Weekly"/>
    <n v="0"/>
    <x v="0"/>
  </r>
  <r>
    <n v="2409"/>
    <n v="23"/>
    <s v="Male"/>
    <s v="Sneakers"/>
    <x v="1"/>
    <n v="55"/>
    <x v="11"/>
    <s v="XL"/>
    <s v="Black"/>
    <x v="3"/>
    <n v="4.2"/>
    <s v="No"/>
    <s v="PayPal"/>
    <s v="Next Day Air"/>
    <s v="No"/>
    <s v="No"/>
    <n v="44"/>
    <x v="5"/>
    <s v="Every 3 Months"/>
    <n v="0"/>
    <x v="1"/>
  </r>
  <r>
    <n v="2410"/>
    <n v="26"/>
    <s v="Male"/>
    <s v="Jewelry"/>
    <x v="3"/>
    <n v="37"/>
    <x v="47"/>
    <s v="L"/>
    <s v="Yellow"/>
    <x v="1"/>
    <n v="3"/>
    <s v="No"/>
    <s v="Credit Card"/>
    <s v="Store Pickup"/>
    <s v="No"/>
    <s v="No"/>
    <n v="47"/>
    <x v="1"/>
    <s v="Every 3 Months"/>
    <n v="0"/>
    <x v="3"/>
  </r>
  <r>
    <n v="2411"/>
    <n v="48"/>
    <s v="Male"/>
    <s v="Shoes"/>
    <x v="1"/>
    <n v="43"/>
    <x v="48"/>
    <s v="M"/>
    <s v="Maroon"/>
    <x v="2"/>
    <n v="3.7"/>
    <s v="No"/>
    <s v="Venmo"/>
    <s v="Free Shipping"/>
    <s v="No"/>
    <s v="No"/>
    <n v="46"/>
    <x v="3"/>
    <s v="Monthly"/>
    <n v="0"/>
    <x v="0"/>
  </r>
  <r>
    <n v="2412"/>
    <n v="49"/>
    <s v="Male"/>
    <s v="Hoodie"/>
    <x v="0"/>
    <n v="96"/>
    <x v="41"/>
    <s v="M"/>
    <s v="Cyan"/>
    <x v="2"/>
    <n v="2.7"/>
    <s v="No"/>
    <s v="Debit Card"/>
    <s v="Free Shipping"/>
    <s v="No"/>
    <s v="No"/>
    <n v="35"/>
    <x v="1"/>
    <s v="Every 3 Months"/>
    <n v="0"/>
    <x v="0"/>
  </r>
  <r>
    <n v="2413"/>
    <n v="53"/>
    <s v="Male"/>
    <s v="Jacket"/>
    <x v="2"/>
    <n v="51"/>
    <x v="4"/>
    <s v="M"/>
    <s v="Pink"/>
    <x v="0"/>
    <n v="4.3"/>
    <s v="No"/>
    <s v="Debit Card"/>
    <s v="2-Day Shipping"/>
    <s v="No"/>
    <s v="No"/>
    <n v="8"/>
    <x v="4"/>
    <s v="Bi-Weekly"/>
    <n v="0"/>
    <x v="0"/>
  </r>
  <r>
    <n v="2414"/>
    <n v="69"/>
    <s v="Male"/>
    <s v="Shorts"/>
    <x v="0"/>
    <n v="95"/>
    <x v="38"/>
    <s v="XL"/>
    <s v="Violet"/>
    <x v="3"/>
    <n v="2.7"/>
    <s v="No"/>
    <s v="Bank Transfer"/>
    <s v="2-Day Shipping"/>
    <s v="No"/>
    <s v="No"/>
    <n v="30"/>
    <x v="4"/>
    <s v="Weekly"/>
    <n v="0"/>
    <x v="0"/>
  </r>
  <r>
    <n v="2415"/>
    <n v="26"/>
    <s v="Male"/>
    <s v="Socks"/>
    <x v="0"/>
    <n v="26"/>
    <x v="41"/>
    <s v="M"/>
    <s v="Lavender"/>
    <x v="2"/>
    <n v="3.7"/>
    <s v="No"/>
    <s v="PayPal"/>
    <s v="Next Day Air"/>
    <s v="No"/>
    <s v="No"/>
    <n v="14"/>
    <x v="2"/>
    <s v="Bi-Weekly"/>
    <n v="0"/>
    <x v="3"/>
  </r>
  <r>
    <n v="2416"/>
    <n v="21"/>
    <s v="Male"/>
    <s v="Coat"/>
    <x v="2"/>
    <n v="34"/>
    <x v="11"/>
    <s v="XL"/>
    <s v="Lavender"/>
    <x v="3"/>
    <n v="4.3"/>
    <s v="No"/>
    <s v="Cash"/>
    <s v="Standard"/>
    <s v="No"/>
    <s v="No"/>
    <n v="30"/>
    <x v="4"/>
    <s v="Weekly"/>
    <n v="0"/>
    <x v="1"/>
  </r>
  <r>
    <n v="2417"/>
    <n v="59"/>
    <s v="Male"/>
    <s v="Sandals"/>
    <x v="1"/>
    <n v="83"/>
    <x v="43"/>
    <s v="S"/>
    <s v="Black"/>
    <x v="2"/>
    <n v="4"/>
    <s v="No"/>
    <s v="Cash"/>
    <s v="Next Day Air"/>
    <s v="No"/>
    <s v="No"/>
    <n v="26"/>
    <x v="2"/>
    <s v="Every 3 Months"/>
    <n v="0"/>
    <x v="0"/>
  </r>
  <r>
    <n v="2418"/>
    <n v="21"/>
    <s v="Male"/>
    <s v="Backpack"/>
    <x v="3"/>
    <n v="24"/>
    <x v="29"/>
    <s v="M"/>
    <s v="Olive"/>
    <x v="3"/>
    <n v="3.3"/>
    <s v="No"/>
    <s v="Bank Transfer"/>
    <s v="Standard"/>
    <s v="No"/>
    <s v="No"/>
    <n v="32"/>
    <x v="0"/>
    <s v="Fortnightly"/>
    <n v="0"/>
    <x v="1"/>
  </r>
  <r>
    <n v="2419"/>
    <n v="22"/>
    <s v="Male"/>
    <s v="Pants"/>
    <x v="0"/>
    <n v="69"/>
    <x v="49"/>
    <s v="S"/>
    <s v="Indigo"/>
    <x v="3"/>
    <n v="4"/>
    <s v="No"/>
    <s v="Bank Transfer"/>
    <s v="Next Day Air"/>
    <s v="No"/>
    <s v="No"/>
    <n v="47"/>
    <x v="1"/>
    <s v="Every 3 Months"/>
    <n v="0"/>
    <x v="1"/>
  </r>
  <r>
    <n v="2420"/>
    <n v="26"/>
    <s v="Male"/>
    <s v="Sweater"/>
    <x v="0"/>
    <n v="40"/>
    <x v="17"/>
    <s v="M"/>
    <s v="Blue"/>
    <x v="3"/>
    <n v="2.7"/>
    <s v="No"/>
    <s v="Venmo"/>
    <s v="Next Day Air"/>
    <s v="No"/>
    <s v="No"/>
    <n v="11"/>
    <x v="2"/>
    <s v="Every 3 Months"/>
    <n v="0"/>
    <x v="3"/>
  </r>
  <r>
    <n v="2421"/>
    <n v="41"/>
    <s v="Male"/>
    <s v="Jacket"/>
    <x v="2"/>
    <n v="87"/>
    <x v="17"/>
    <s v="S"/>
    <s v="Green"/>
    <x v="0"/>
    <n v="4.2"/>
    <s v="No"/>
    <s v="PayPal"/>
    <s v="Free Shipping"/>
    <s v="No"/>
    <s v="No"/>
    <n v="28"/>
    <x v="3"/>
    <s v="Annually"/>
    <n v="0"/>
    <x v="2"/>
  </r>
  <r>
    <n v="2422"/>
    <n v="37"/>
    <s v="Male"/>
    <s v="Sneakers"/>
    <x v="1"/>
    <n v="46"/>
    <x v="46"/>
    <s v="L"/>
    <s v="Pink"/>
    <x v="1"/>
    <n v="4.5999999999999996"/>
    <s v="No"/>
    <s v="PayPal"/>
    <s v="Standard"/>
    <s v="No"/>
    <s v="No"/>
    <n v="2"/>
    <x v="5"/>
    <s v="Every 3 Months"/>
    <n v="0"/>
    <x v="2"/>
  </r>
  <r>
    <n v="2423"/>
    <n v="30"/>
    <s v="Male"/>
    <s v="Jewelry"/>
    <x v="3"/>
    <n v="82"/>
    <x v="42"/>
    <s v="M"/>
    <s v="Peach"/>
    <x v="0"/>
    <n v="4.8"/>
    <s v="No"/>
    <s v="Credit Card"/>
    <s v="Store Pickup"/>
    <s v="No"/>
    <s v="No"/>
    <n v="45"/>
    <x v="2"/>
    <s v="Weekly"/>
    <n v="0"/>
    <x v="3"/>
  </r>
  <r>
    <n v="2424"/>
    <n v="49"/>
    <s v="Male"/>
    <s v="Backpack"/>
    <x v="3"/>
    <n v="81"/>
    <x v="8"/>
    <s v="M"/>
    <s v="Purple"/>
    <x v="2"/>
    <n v="2.8"/>
    <s v="No"/>
    <s v="PayPal"/>
    <s v="Free Shipping"/>
    <s v="No"/>
    <s v="No"/>
    <n v="7"/>
    <x v="2"/>
    <s v="Every 3 Months"/>
    <n v="0"/>
    <x v="0"/>
  </r>
  <r>
    <n v="2425"/>
    <n v="49"/>
    <s v="Male"/>
    <s v="Jewelry"/>
    <x v="3"/>
    <n v="57"/>
    <x v="12"/>
    <s v="M"/>
    <s v="Peach"/>
    <x v="0"/>
    <n v="4.5"/>
    <s v="No"/>
    <s v="Debit Card"/>
    <s v="Next Day Air"/>
    <s v="No"/>
    <s v="No"/>
    <n v="28"/>
    <x v="4"/>
    <s v="Bi-Weekly"/>
    <n v="0"/>
    <x v="0"/>
  </r>
  <r>
    <n v="2426"/>
    <n v="58"/>
    <s v="Male"/>
    <s v="Shoes"/>
    <x v="1"/>
    <n v="49"/>
    <x v="25"/>
    <s v="S"/>
    <s v="Olive"/>
    <x v="2"/>
    <n v="3"/>
    <s v="No"/>
    <s v="Venmo"/>
    <s v="2-Day Shipping"/>
    <s v="No"/>
    <s v="No"/>
    <n v="34"/>
    <x v="4"/>
    <s v="Quarterly"/>
    <n v="0"/>
    <x v="0"/>
  </r>
  <r>
    <n v="2427"/>
    <n v="70"/>
    <s v="Male"/>
    <s v="Jacket"/>
    <x v="2"/>
    <n v="42"/>
    <x v="20"/>
    <s v="M"/>
    <s v="Olive"/>
    <x v="3"/>
    <n v="4.5999999999999996"/>
    <s v="No"/>
    <s v="Venmo"/>
    <s v="Free Shipping"/>
    <s v="No"/>
    <s v="No"/>
    <n v="26"/>
    <x v="5"/>
    <s v="Every 3 Months"/>
    <n v="0"/>
    <x v="0"/>
  </r>
  <r>
    <n v="2428"/>
    <n v="27"/>
    <s v="Male"/>
    <s v="Jacket"/>
    <x v="2"/>
    <n v="26"/>
    <x v="4"/>
    <s v="M"/>
    <s v="Purple"/>
    <x v="1"/>
    <n v="3.3"/>
    <s v="No"/>
    <s v="Debit Card"/>
    <s v="Standard"/>
    <s v="No"/>
    <s v="No"/>
    <n v="45"/>
    <x v="1"/>
    <s v="Quarterly"/>
    <n v="0"/>
    <x v="3"/>
  </r>
  <r>
    <n v="2429"/>
    <n v="65"/>
    <s v="Male"/>
    <s v="T-shirt"/>
    <x v="0"/>
    <n v="38"/>
    <x v="37"/>
    <s v="M"/>
    <s v="Violet"/>
    <x v="1"/>
    <n v="4.4000000000000004"/>
    <s v="No"/>
    <s v="PayPal"/>
    <s v="Next Day Air"/>
    <s v="No"/>
    <s v="No"/>
    <n v="34"/>
    <x v="5"/>
    <s v="Annually"/>
    <n v="0"/>
    <x v="0"/>
  </r>
  <r>
    <n v="2430"/>
    <n v="57"/>
    <s v="Male"/>
    <s v="Sneakers"/>
    <x v="1"/>
    <n v="57"/>
    <x v="41"/>
    <s v="XL"/>
    <s v="Maroon"/>
    <x v="2"/>
    <n v="4.4000000000000004"/>
    <s v="No"/>
    <s v="PayPal"/>
    <s v="Standard"/>
    <s v="No"/>
    <s v="No"/>
    <n v="47"/>
    <x v="2"/>
    <s v="Fortnightly"/>
    <n v="0"/>
    <x v="0"/>
  </r>
  <r>
    <n v="2431"/>
    <n v="20"/>
    <s v="Male"/>
    <s v="Jacket"/>
    <x v="2"/>
    <n v="100"/>
    <x v="25"/>
    <s v="XL"/>
    <s v="White"/>
    <x v="2"/>
    <n v="4.3"/>
    <s v="No"/>
    <s v="Cash"/>
    <s v="Express"/>
    <s v="No"/>
    <s v="No"/>
    <n v="42"/>
    <x v="1"/>
    <s v="Quarterly"/>
    <n v="0"/>
    <x v="1"/>
  </r>
  <r>
    <n v="2432"/>
    <n v="34"/>
    <s v="Male"/>
    <s v="Hoodie"/>
    <x v="0"/>
    <n v="73"/>
    <x v="15"/>
    <s v="S"/>
    <s v="Olive"/>
    <x v="3"/>
    <n v="3.4"/>
    <s v="No"/>
    <s v="Cash"/>
    <s v="Express"/>
    <s v="No"/>
    <s v="No"/>
    <n v="27"/>
    <x v="4"/>
    <s v="Every 3 Months"/>
    <n v="0"/>
    <x v="3"/>
  </r>
  <r>
    <n v="2433"/>
    <n v="59"/>
    <s v="Male"/>
    <s v="Jacket"/>
    <x v="2"/>
    <n v="66"/>
    <x v="11"/>
    <s v="M"/>
    <s v="Peach"/>
    <x v="0"/>
    <n v="2.8"/>
    <s v="No"/>
    <s v="PayPal"/>
    <s v="Store Pickup"/>
    <s v="No"/>
    <s v="No"/>
    <n v="43"/>
    <x v="0"/>
    <s v="Monthly"/>
    <n v="0"/>
    <x v="0"/>
  </r>
  <r>
    <n v="2434"/>
    <n v="54"/>
    <s v="Male"/>
    <s v="T-shirt"/>
    <x v="0"/>
    <n v="73"/>
    <x v="4"/>
    <s v="M"/>
    <s v="Blue"/>
    <x v="1"/>
    <n v="3.4"/>
    <s v="No"/>
    <s v="Cash"/>
    <s v="Standard"/>
    <s v="No"/>
    <s v="No"/>
    <n v="16"/>
    <x v="1"/>
    <s v="Bi-Weekly"/>
    <n v="0"/>
    <x v="0"/>
  </r>
  <r>
    <n v="2435"/>
    <n v="36"/>
    <s v="Male"/>
    <s v="Gloves"/>
    <x v="3"/>
    <n v="45"/>
    <x v="40"/>
    <s v="M"/>
    <s v="Brown"/>
    <x v="1"/>
    <n v="5"/>
    <s v="No"/>
    <s v="Cash"/>
    <s v="Store Pickup"/>
    <s v="No"/>
    <s v="No"/>
    <n v="40"/>
    <x v="2"/>
    <s v="Monthly"/>
    <n v="0"/>
    <x v="2"/>
  </r>
  <r>
    <n v="2436"/>
    <n v="21"/>
    <s v="Male"/>
    <s v="Sneakers"/>
    <x v="1"/>
    <n v="27"/>
    <x v="11"/>
    <s v="S"/>
    <s v="Black"/>
    <x v="3"/>
    <n v="4.5"/>
    <s v="No"/>
    <s v="Cash"/>
    <s v="Free Shipping"/>
    <s v="No"/>
    <s v="No"/>
    <n v="29"/>
    <x v="1"/>
    <s v="Bi-Weekly"/>
    <n v="0"/>
    <x v="1"/>
  </r>
  <r>
    <n v="2437"/>
    <n v="52"/>
    <s v="Male"/>
    <s v="T-shirt"/>
    <x v="0"/>
    <n v="24"/>
    <x v="39"/>
    <s v="M"/>
    <s v="Yellow"/>
    <x v="3"/>
    <n v="2.7"/>
    <s v="No"/>
    <s v="Credit Card"/>
    <s v="Store Pickup"/>
    <s v="No"/>
    <s v="No"/>
    <n v="38"/>
    <x v="2"/>
    <s v="Quarterly"/>
    <n v="0"/>
    <x v="0"/>
  </r>
  <r>
    <n v="2438"/>
    <n v="43"/>
    <s v="Male"/>
    <s v="Sneakers"/>
    <x v="1"/>
    <n v="59"/>
    <x v="5"/>
    <s v="XL"/>
    <s v="Magenta"/>
    <x v="0"/>
    <n v="3.4"/>
    <s v="No"/>
    <s v="Credit Card"/>
    <s v="Store Pickup"/>
    <s v="No"/>
    <s v="No"/>
    <n v="34"/>
    <x v="2"/>
    <s v="Weekly"/>
    <n v="0"/>
    <x v="2"/>
  </r>
  <r>
    <n v="2439"/>
    <n v="32"/>
    <s v="Male"/>
    <s v="Jeans"/>
    <x v="0"/>
    <n v="20"/>
    <x v="12"/>
    <s v="S"/>
    <s v="Cyan"/>
    <x v="0"/>
    <n v="3.4"/>
    <s v="No"/>
    <s v="Cash"/>
    <s v="Express"/>
    <s v="No"/>
    <s v="No"/>
    <n v="30"/>
    <x v="0"/>
    <s v="Weekly"/>
    <n v="0"/>
    <x v="3"/>
  </r>
  <r>
    <n v="2440"/>
    <n v="55"/>
    <s v="Male"/>
    <s v="Handbag"/>
    <x v="3"/>
    <n v="44"/>
    <x v="10"/>
    <s v="M"/>
    <s v="Maroon"/>
    <x v="2"/>
    <n v="2.8"/>
    <s v="No"/>
    <s v="Cash"/>
    <s v="Standard"/>
    <s v="No"/>
    <s v="No"/>
    <n v="45"/>
    <x v="4"/>
    <s v="Annually"/>
    <n v="0"/>
    <x v="0"/>
  </r>
  <r>
    <n v="2441"/>
    <n v="31"/>
    <s v="Male"/>
    <s v="Socks"/>
    <x v="0"/>
    <n v="90"/>
    <x v="27"/>
    <s v="M"/>
    <s v="Red"/>
    <x v="1"/>
    <n v="4.7"/>
    <s v="No"/>
    <s v="Bank Transfer"/>
    <s v="Standard"/>
    <s v="No"/>
    <s v="No"/>
    <n v="47"/>
    <x v="4"/>
    <s v="Annually"/>
    <n v="0"/>
    <x v="3"/>
  </r>
  <r>
    <n v="2442"/>
    <n v="45"/>
    <s v="Male"/>
    <s v="Jewelry"/>
    <x v="3"/>
    <n v="36"/>
    <x v="18"/>
    <s v="M"/>
    <s v="Black"/>
    <x v="3"/>
    <n v="4.7"/>
    <s v="No"/>
    <s v="Credit Card"/>
    <s v="Free Shipping"/>
    <s v="No"/>
    <s v="No"/>
    <n v="5"/>
    <x v="2"/>
    <s v="Monthly"/>
    <n v="0"/>
    <x v="2"/>
  </r>
  <r>
    <n v="2443"/>
    <n v="53"/>
    <s v="Male"/>
    <s v="Blouse"/>
    <x v="0"/>
    <n v="95"/>
    <x v="5"/>
    <s v="L"/>
    <s v="Violet"/>
    <x v="0"/>
    <n v="4.7"/>
    <s v="No"/>
    <s v="PayPal"/>
    <s v="Free Shipping"/>
    <s v="No"/>
    <s v="No"/>
    <n v="50"/>
    <x v="5"/>
    <s v="Bi-Weekly"/>
    <n v="0"/>
    <x v="0"/>
  </r>
  <r>
    <n v="2444"/>
    <n v="24"/>
    <s v="Male"/>
    <s v="Backpack"/>
    <x v="3"/>
    <n v="30"/>
    <x v="45"/>
    <s v="M"/>
    <s v="Green"/>
    <x v="1"/>
    <n v="3.4"/>
    <s v="No"/>
    <s v="Venmo"/>
    <s v="2-Day Shipping"/>
    <s v="No"/>
    <s v="No"/>
    <n v="24"/>
    <x v="4"/>
    <s v="Bi-Weekly"/>
    <n v="0"/>
    <x v="1"/>
  </r>
  <r>
    <n v="2445"/>
    <n v="47"/>
    <s v="Male"/>
    <s v="Scarf"/>
    <x v="3"/>
    <n v="65"/>
    <x v="8"/>
    <s v="S"/>
    <s v="Gold"/>
    <x v="3"/>
    <n v="3.7"/>
    <s v="No"/>
    <s v="Cash"/>
    <s v="Express"/>
    <s v="No"/>
    <s v="No"/>
    <n v="15"/>
    <x v="5"/>
    <s v="Bi-Weekly"/>
    <n v="0"/>
    <x v="0"/>
  </r>
  <r>
    <n v="2446"/>
    <n v="63"/>
    <s v="Male"/>
    <s v="Scarf"/>
    <x v="3"/>
    <n v="96"/>
    <x v="30"/>
    <s v="M"/>
    <s v="Brown"/>
    <x v="2"/>
    <n v="4.0999999999999996"/>
    <s v="No"/>
    <s v="PayPal"/>
    <s v="Store Pickup"/>
    <s v="No"/>
    <s v="No"/>
    <n v="50"/>
    <x v="1"/>
    <s v="Weekly"/>
    <n v="0"/>
    <x v="0"/>
  </r>
  <r>
    <n v="2447"/>
    <n v="38"/>
    <s v="Male"/>
    <s v="Shirt"/>
    <x v="0"/>
    <n v="65"/>
    <x v="29"/>
    <s v="L"/>
    <s v="Peach"/>
    <x v="1"/>
    <n v="2.9"/>
    <s v="No"/>
    <s v="Cash"/>
    <s v="2-Day Shipping"/>
    <s v="No"/>
    <s v="No"/>
    <n v="7"/>
    <x v="2"/>
    <s v="Monthly"/>
    <n v="0"/>
    <x v="2"/>
  </r>
  <r>
    <n v="2448"/>
    <n v="59"/>
    <s v="Male"/>
    <s v="Pants"/>
    <x v="0"/>
    <n v="47"/>
    <x v="45"/>
    <s v="L"/>
    <s v="Peach"/>
    <x v="3"/>
    <n v="3.2"/>
    <s v="No"/>
    <s v="Venmo"/>
    <s v="Store Pickup"/>
    <s v="No"/>
    <s v="No"/>
    <n v="10"/>
    <x v="0"/>
    <s v="Fortnightly"/>
    <n v="0"/>
    <x v="0"/>
  </r>
  <r>
    <n v="2449"/>
    <n v="54"/>
    <s v="Male"/>
    <s v="Hat"/>
    <x v="3"/>
    <n v="25"/>
    <x v="30"/>
    <s v="S"/>
    <s v="Violet"/>
    <x v="3"/>
    <n v="3"/>
    <s v="No"/>
    <s v="Bank Transfer"/>
    <s v="Free Shipping"/>
    <s v="No"/>
    <s v="No"/>
    <n v="38"/>
    <x v="3"/>
    <s v="Bi-Weekly"/>
    <n v="0"/>
    <x v="0"/>
  </r>
  <r>
    <n v="2450"/>
    <n v="26"/>
    <s v="Male"/>
    <s v="Coat"/>
    <x v="2"/>
    <n v="56"/>
    <x v="15"/>
    <s v="S"/>
    <s v="Violet"/>
    <x v="3"/>
    <n v="4.0999999999999996"/>
    <s v="No"/>
    <s v="Debit Card"/>
    <s v="Express"/>
    <s v="No"/>
    <s v="No"/>
    <n v="31"/>
    <x v="0"/>
    <s v="Fortnightly"/>
    <n v="0"/>
    <x v="3"/>
  </r>
  <r>
    <n v="2451"/>
    <n v="68"/>
    <s v="Male"/>
    <s v="T-shirt"/>
    <x v="0"/>
    <n v="76"/>
    <x v="17"/>
    <s v="M"/>
    <s v="Magenta"/>
    <x v="3"/>
    <n v="4.5"/>
    <s v="No"/>
    <s v="Venmo"/>
    <s v="Standard"/>
    <s v="No"/>
    <s v="No"/>
    <n v="7"/>
    <x v="0"/>
    <s v="Quarterly"/>
    <n v="0"/>
    <x v="0"/>
  </r>
  <r>
    <n v="2452"/>
    <n v="41"/>
    <s v="Male"/>
    <s v="Socks"/>
    <x v="0"/>
    <n v="60"/>
    <x v="19"/>
    <s v="M"/>
    <s v="Purple"/>
    <x v="3"/>
    <n v="3.4"/>
    <s v="No"/>
    <s v="Debit Card"/>
    <s v="Store Pickup"/>
    <s v="No"/>
    <s v="No"/>
    <n v="27"/>
    <x v="0"/>
    <s v="Monthly"/>
    <n v="0"/>
    <x v="2"/>
  </r>
  <r>
    <n v="2453"/>
    <n v="68"/>
    <s v="Male"/>
    <s v="Shirt"/>
    <x v="0"/>
    <n v="67"/>
    <x v="14"/>
    <s v="L"/>
    <s v="Purple"/>
    <x v="0"/>
    <n v="4.0999999999999996"/>
    <s v="No"/>
    <s v="Venmo"/>
    <s v="Express"/>
    <s v="No"/>
    <s v="No"/>
    <n v="45"/>
    <x v="4"/>
    <s v="Every 3 Months"/>
    <n v="0"/>
    <x v="0"/>
  </r>
  <r>
    <n v="2454"/>
    <n v="21"/>
    <s v="Male"/>
    <s v="Sweater"/>
    <x v="0"/>
    <n v="95"/>
    <x v="44"/>
    <s v="XL"/>
    <s v="Cyan"/>
    <x v="1"/>
    <n v="4.5999999999999996"/>
    <s v="No"/>
    <s v="PayPal"/>
    <s v="Store Pickup"/>
    <s v="No"/>
    <s v="No"/>
    <n v="13"/>
    <x v="1"/>
    <s v="Annually"/>
    <n v="0"/>
    <x v="1"/>
  </r>
  <r>
    <n v="2455"/>
    <n v="32"/>
    <s v="Male"/>
    <s v="Gloves"/>
    <x v="3"/>
    <n v="72"/>
    <x v="29"/>
    <s v="M"/>
    <s v="Magenta"/>
    <x v="0"/>
    <n v="4.5999999999999996"/>
    <s v="No"/>
    <s v="Bank Transfer"/>
    <s v="Express"/>
    <s v="No"/>
    <s v="No"/>
    <n v="33"/>
    <x v="0"/>
    <s v="Annually"/>
    <n v="0"/>
    <x v="3"/>
  </r>
  <r>
    <n v="2456"/>
    <n v="20"/>
    <s v="Male"/>
    <s v="Belt"/>
    <x v="3"/>
    <n v="98"/>
    <x v="29"/>
    <s v="L"/>
    <s v="Lavender"/>
    <x v="1"/>
    <n v="3.4"/>
    <s v="No"/>
    <s v="PayPal"/>
    <s v="Express"/>
    <s v="No"/>
    <s v="No"/>
    <n v="25"/>
    <x v="1"/>
    <s v="Every 3 Months"/>
    <n v="0"/>
    <x v="1"/>
  </r>
  <r>
    <n v="2457"/>
    <n v="59"/>
    <s v="Male"/>
    <s v="Jeans"/>
    <x v="0"/>
    <n v="83"/>
    <x v="43"/>
    <s v="M"/>
    <s v="Green"/>
    <x v="0"/>
    <n v="3.3"/>
    <s v="No"/>
    <s v="Credit Card"/>
    <s v="2-Day Shipping"/>
    <s v="No"/>
    <s v="No"/>
    <n v="5"/>
    <x v="3"/>
    <s v="Monthly"/>
    <n v="0"/>
    <x v="0"/>
  </r>
  <r>
    <n v="2458"/>
    <n v="53"/>
    <s v="Male"/>
    <s v="Handbag"/>
    <x v="3"/>
    <n v="37"/>
    <x v="12"/>
    <s v="M"/>
    <s v="Maroon"/>
    <x v="3"/>
    <n v="3.6"/>
    <s v="No"/>
    <s v="PayPal"/>
    <s v="2-Day Shipping"/>
    <s v="No"/>
    <s v="No"/>
    <n v="23"/>
    <x v="1"/>
    <s v="Quarterly"/>
    <n v="0"/>
    <x v="0"/>
  </r>
  <r>
    <n v="2459"/>
    <n v="66"/>
    <s v="Male"/>
    <s v="T-shirt"/>
    <x v="0"/>
    <n v="85"/>
    <x v="21"/>
    <s v="L"/>
    <s v="Turquoise"/>
    <x v="3"/>
    <n v="4.5999999999999996"/>
    <s v="No"/>
    <s v="Bank Transfer"/>
    <s v="Free Shipping"/>
    <s v="No"/>
    <s v="No"/>
    <n v="17"/>
    <x v="4"/>
    <s v="Weekly"/>
    <n v="0"/>
    <x v="0"/>
  </r>
  <r>
    <n v="2460"/>
    <n v="47"/>
    <s v="Male"/>
    <s v="Socks"/>
    <x v="0"/>
    <n v="36"/>
    <x v="9"/>
    <s v="L"/>
    <s v="Violet"/>
    <x v="3"/>
    <n v="4.3"/>
    <s v="No"/>
    <s v="PayPal"/>
    <s v="2-Day Shipping"/>
    <s v="No"/>
    <s v="No"/>
    <n v="14"/>
    <x v="1"/>
    <s v="Weekly"/>
    <n v="0"/>
    <x v="0"/>
  </r>
  <r>
    <n v="2461"/>
    <n v="58"/>
    <s v="Male"/>
    <s v="Jeans"/>
    <x v="0"/>
    <n v="36"/>
    <x v="1"/>
    <s v="S"/>
    <s v="Lavender"/>
    <x v="0"/>
    <n v="4"/>
    <s v="No"/>
    <s v="Venmo"/>
    <s v="Store Pickup"/>
    <s v="No"/>
    <s v="No"/>
    <n v="28"/>
    <x v="2"/>
    <s v="Annually"/>
    <n v="0"/>
    <x v="0"/>
  </r>
  <r>
    <n v="2462"/>
    <n v="28"/>
    <s v="Male"/>
    <s v="Scarf"/>
    <x v="3"/>
    <n v="86"/>
    <x v="38"/>
    <s v="L"/>
    <s v="Red"/>
    <x v="2"/>
    <n v="4.8"/>
    <s v="No"/>
    <s v="PayPal"/>
    <s v="Next Day Air"/>
    <s v="No"/>
    <s v="No"/>
    <n v="19"/>
    <x v="2"/>
    <s v="Weekly"/>
    <n v="0"/>
    <x v="3"/>
  </r>
  <r>
    <n v="2463"/>
    <n v="68"/>
    <s v="Male"/>
    <s v="Pants"/>
    <x v="0"/>
    <n v="99"/>
    <x v="9"/>
    <s v="XL"/>
    <s v="Orange"/>
    <x v="1"/>
    <n v="4.3"/>
    <s v="No"/>
    <s v="Venmo"/>
    <s v="Standard"/>
    <s v="No"/>
    <s v="No"/>
    <n v="31"/>
    <x v="4"/>
    <s v="Bi-Weekly"/>
    <n v="0"/>
    <x v="0"/>
  </r>
  <r>
    <n v="2464"/>
    <n v="60"/>
    <s v="Male"/>
    <s v="Blouse"/>
    <x v="0"/>
    <n v="21"/>
    <x v="16"/>
    <s v="XL"/>
    <s v="Indigo"/>
    <x v="2"/>
    <n v="3.3"/>
    <s v="No"/>
    <s v="Bank Transfer"/>
    <s v="Standard"/>
    <s v="No"/>
    <s v="No"/>
    <n v="25"/>
    <x v="1"/>
    <s v="Bi-Weekly"/>
    <n v="0"/>
    <x v="0"/>
  </r>
  <r>
    <n v="2465"/>
    <n v="47"/>
    <s v="Male"/>
    <s v="Jacket"/>
    <x v="2"/>
    <n v="84"/>
    <x v="11"/>
    <s v="L"/>
    <s v="Teal"/>
    <x v="0"/>
    <n v="2.8"/>
    <s v="No"/>
    <s v="Debit Card"/>
    <s v="Express"/>
    <s v="No"/>
    <s v="No"/>
    <n v="4"/>
    <x v="1"/>
    <s v="Bi-Weekly"/>
    <n v="0"/>
    <x v="0"/>
  </r>
  <r>
    <n v="2466"/>
    <n v="18"/>
    <s v="Male"/>
    <s v="Sandals"/>
    <x v="1"/>
    <n v="63"/>
    <x v="21"/>
    <s v="M"/>
    <s v="Brown"/>
    <x v="1"/>
    <n v="4.4000000000000004"/>
    <s v="No"/>
    <s v="Cash"/>
    <s v="Free Shipping"/>
    <s v="No"/>
    <s v="No"/>
    <n v="20"/>
    <x v="4"/>
    <s v="Weekly"/>
    <n v="0"/>
    <x v="1"/>
  </r>
  <r>
    <n v="2467"/>
    <n v="32"/>
    <s v="Male"/>
    <s v="Shorts"/>
    <x v="0"/>
    <n v="84"/>
    <x v="45"/>
    <s v="S"/>
    <s v="Pink"/>
    <x v="2"/>
    <n v="3.7"/>
    <s v="No"/>
    <s v="Cash"/>
    <s v="Express"/>
    <s v="No"/>
    <s v="No"/>
    <n v="37"/>
    <x v="1"/>
    <s v="Annually"/>
    <n v="0"/>
    <x v="3"/>
  </r>
  <r>
    <n v="2468"/>
    <n v="27"/>
    <s v="Male"/>
    <s v="Shorts"/>
    <x v="0"/>
    <n v="72"/>
    <x v="32"/>
    <s v="M"/>
    <s v="Lavender"/>
    <x v="1"/>
    <n v="3.6"/>
    <s v="No"/>
    <s v="Debit Card"/>
    <s v="Express"/>
    <s v="No"/>
    <s v="No"/>
    <n v="28"/>
    <x v="2"/>
    <s v="Annually"/>
    <n v="0"/>
    <x v="3"/>
  </r>
  <r>
    <n v="2469"/>
    <n v="65"/>
    <s v="Male"/>
    <s v="Skirt"/>
    <x v="0"/>
    <n v="21"/>
    <x v="39"/>
    <s v="L"/>
    <s v="Cyan"/>
    <x v="0"/>
    <n v="3.7"/>
    <s v="No"/>
    <s v="Credit Card"/>
    <s v="2-Day Shipping"/>
    <s v="No"/>
    <s v="No"/>
    <n v="6"/>
    <x v="0"/>
    <s v="Weekly"/>
    <n v="0"/>
    <x v="0"/>
  </r>
  <r>
    <n v="2470"/>
    <n v="68"/>
    <s v="Male"/>
    <s v="Sandals"/>
    <x v="1"/>
    <n v="92"/>
    <x v="33"/>
    <s v="M"/>
    <s v="Yellow"/>
    <x v="3"/>
    <n v="5"/>
    <s v="No"/>
    <s v="Cash"/>
    <s v="Standard"/>
    <s v="No"/>
    <s v="No"/>
    <n v="27"/>
    <x v="3"/>
    <s v="Annually"/>
    <n v="0"/>
    <x v="0"/>
  </r>
  <r>
    <n v="2471"/>
    <n v="55"/>
    <s v="Male"/>
    <s v="Blouse"/>
    <x v="0"/>
    <n v="72"/>
    <x v="28"/>
    <s v="XL"/>
    <s v="Pink"/>
    <x v="3"/>
    <n v="2.7"/>
    <s v="No"/>
    <s v="Cash"/>
    <s v="Next Day Air"/>
    <s v="No"/>
    <s v="No"/>
    <n v="29"/>
    <x v="2"/>
    <s v="Fortnightly"/>
    <n v="0"/>
    <x v="0"/>
  </r>
  <r>
    <n v="2472"/>
    <n v="30"/>
    <s v="Male"/>
    <s v="Sandals"/>
    <x v="1"/>
    <n v="83"/>
    <x v="19"/>
    <s v="M"/>
    <s v="Gray"/>
    <x v="1"/>
    <n v="4.3"/>
    <s v="No"/>
    <s v="Cash"/>
    <s v="Store Pickup"/>
    <s v="No"/>
    <s v="No"/>
    <n v="1"/>
    <x v="1"/>
    <s v="Annually"/>
    <n v="0"/>
    <x v="3"/>
  </r>
  <r>
    <n v="2473"/>
    <n v="24"/>
    <s v="Male"/>
    <s v="Shirt"/>
    <x v="0"/>
    <n v="73"/>
    <x v="40"/>
    <s v="M"/>
    <s v="Peach"/>
    <x v="2"/>
    <n v="4.0999999999999996"/>
    <s v="No"/>
    <s v="Bank Transfer"/>
    <s v="Standard"/>
    <s v="No"/>
    <s v="No"/>
    <n v="31"/>
    <x v="2"/>
    <s v="Annually"/>
    <n v="0"/>
    <x v="1"/>
  </r>
  <r>
    <n v="2474"/>
    <n v="57"/>
    <s v="Male"/>
    <s v="Socks"/>
    <x v="0"/>
    <n v="98"/>
    <x v="10"/>
    <s v="M"/>
    <s v="Red"/>
    <x v="0"/>
    <n v="2.6"/>
    <s v="No"/>
    <s v="Cash"/>
    <s v="Next Day Air"/>
    <s v="No"/>
    <s v="No"/>
    <n v="28"/>
    <x v="1"/>
    <s v="Quarterly"/>
    <n v="0"/>
    <x v="0"/>
  </r>
  <r>
    <n v="2475"/>
    <n v="23"/>
    <s v="Male"/>
    <s v="T-shirt"/>
    <x v="0"/>
    <n v="76"/>
    <x v="17"/>
    <s v="M"/>
    <s v="Olive"/>
    <x v="3"/>
    <n v="3.2"/>
    <s v="No"/>
    <s v="Cash"/>
    <s v="Store Pickup"/>
    <s v="No"/>
    <s v="No"/>
    <n v="19"/>
    <x v="4"/>
    <s v="Quarterly"/>
    <n v="0"/>
    <x v="1"/>
  </r>
  <r>
    <n v="2476"/>
    <n v="69"/>
    <s v="Male"/>
    <s v="Dress"/>
    <x v="0"/>
    <n v="43"/>
    <x v="18"/>
    <s v="S"/>
    <s v="Lavender"/>
    <x v="2"/>
    <n v="3.5"/>
    <s v="No"/>
    <s v="Bank Transfer"/>
    <s v="Next Day Air"/>
    <s v="No"/>
    <s v="No"/>
    <n v="36"/>
    <x v="0"/>
    <s v="Monthly"/>
    <n v="0"/>
    <x v="0"/>
  </r>
  <r>
    <n v="2477"/>
    <n v="60"/>
    <s v="Male"/>
    <s v="Hat"/>
    <x v="3"/>
    <n v="60"/>
    <x v="24"/>
    <s v="M"/>
    <s v="Turquoise"/>
    <x v="2"/>
    <n v="3.7"/>
    <s v="No"/>
    <s v="Debit Card"/>
    <s v="Next Day Air"/>
    <s v="No"/>
    <s v="No"/>
    <n v="28"/>
    <x v="1"/>
    <s v="Monthly"/>
    <n v="0"/>
    <x v="0"/>
  </r>
  <r>
    <n v="2478"/>
    <n v="25"/>
    <s v="Male"/>
    <s v="Gloves"/>
    <x v="3"/>
    <n v="40"/>
    <x v="18"/>
    <s v="L"/>
    <s v="Turquoise"/>
    <x v="1"/>
    <n v="3.8"/>
    <s v="No"/>
    <s v="Debit Card"/>
    <s v="2-Day Shipping"/>
    <s v="No"/>
    <s v="No"/>
    <n v="29"/>
    <x v="3"/>
    <s v="Weekly"/>
    <n v="0"/>
    <x v="1"/>
  </r>
  <r>
    <n v="2479"/>
    <n v="18"/>
    <s v="Male"/>
    <s v="Socks"/>
    <x v="0"/>
    <n v="93"/>
    <x v="34"/>
    <s v="S"/>
    <s v="Maroon"/>
    <x v="0"/>
    <n v="4.8"/>
    <s v="No"/>
    <s v="Cash"/>
    <s v="2-Day Shipping"/>
    <s v="No"/>
    <s v="No"/>
    <n v="9"/>
    <x v="4"/>
    <s v="Every 3 Months"/>
    <n v="0"/>
    <x v="1"/>
  </r>
  <r>
    <n v="2480"/>
    <n v="37"/>
    <s v="Male"/>
    <s v="Dress"/>
    <x v="0"/>
    <n v="98"/>
    <x v="23"/>
    <s v="S"/>
    <s v="Olive"/>
    <x v="3"/>
    <n v="4.2"/>
    <s v="No"/>
    <s v="Venmo"/>
    <s v="Standard"/>
    <s v="No"/>
    <s v="No"/>
    <n v="26"/>
    <x v="2"/>
    <s v="Every 3 Months"/>
    <n v="0"/>
    <x v="2"/>
  </r>
  <r>
    <n v="2481"/>
    <n v="61"/>
    <s v="Male"/>
    <s v="Socks"/>
    <x v="0"/>
    <n v="91"/>
    <x v="31"/>
    <s v="XL"/>
    <s v="Maroon"/>
    <x v="2"/>
    <n v="2.9"/>
    <s v="No"/>
    <s v="Debit Card"/>
    <s v="Next Day Air"/>
    <s v="No"/>
    <s v="No"/>
    <n v="7"/>
    <x v="2"/>
    <s v="Fortnightly"/>
    <n v="0"/>
    <x v="0"/>
  </r>
  <r>
    <n v="2482"/>
    <n v="41"/>
    <s v="Male"/>
    <s v="Belt"/>
    <x v="3"/>
    <n v="92"/>
    <x v="32"/>
    <s v="XL"/>
    <s v="Cyan"/>
    <x v="3"/>
    <n v="2.9"/>
    <s v="No"/>
    <s v="Venmo"/>
    <s v="Free Shipping"/>
    <s v="No"/>
    <s v="No"/>
    <n v="35"/>
    <x v="5"/>
    <s v="Weekly"/>
    <n v="0"/>
    <x v="2"/>
  </r>
  <r>
    <n v="2483"/>
    <n v="69"/>
    <s v="Male"/>
    <s v="Handbag"/>
    <x v="3"/>
    <n v="87"/>
    <x v="28"/>
    <s v="S"/>
    <s v="Peach"/>
    <x v="0"/>
    <n v="4.8"/>
    <s v="No"/>
    <s v="PayPal"/>
    <s v="Next Day Air"/>
    <s v="No"/>
    <s v="No"/>
    <n v="46"/>
    <x v="2"/>
    <s v="Every 3 Months"/>
    <n v="0"/>
    <x v="0"/>
  </r>
  <r>
    <n v="2484"/>
    <n v="32"/>
    <s v="Male"/>
    <s v="Skirt"/>
    <x v="0"/>
    <n v="96"/>
    <x v="28"/>
    <s v="S"/>
    <s v="Teal"/>
    <x v="3"/>
    <n v="2.9"/>
    <s v="No"/>
    <s v="PayPal"/>
    <s v="Standard"/>
    <s v="No"/>
    <s v="No"/>
    <n v="8"/>
    <x v="5"/>
    <s v="Monthly"/>
    <n v="0"/>
    <x v="3"/>
  </r>
  <r>
    <n v="2485"/>
    <n v="60"/>
    <s v="Male"/>
    <s v="Hoodie"/>
    <x v="0"/>
    <n v="97"/>
    <x v="13"/>
    <s v="M"/>
    <s v="Green"/>
    <x v="2"/>
    <n v="4.8"/>
    <s v="No"/>
    <s v="Bank Transfer"/>
    <s v="2-Day Shipping"/>
    <s v="No"/>
    <s v="No"/>
    <n v="50"/>
    <x v="1"/>
    <s v="Every 3 Months"/>
    <n v="0"/>
    <x v="0"/>
  </r>
  <r>
    <n v="2486"/>
    <n v="43"/>
    <s v="Male"/>
    <s v="Blouse"/>
    <x v="0"/>
    <n v="55"/>
    <x v="7"/>
    <s v="M"/>
    <s v="Beige"/>
    <x v="1"/>
    <n v="4.5999999999999996"/>
    <s v="No"/>
    <s v="Credit Card"/>
    <s v="2-Day Shipping"/>
    <s v="No"/>
    <s v="No"/>
    <n v="37"/>
    <x v="4"/>
    <s v="Annually"/>
    <n v="0"/>
    <x v="2"/>
  </r>
  <r>
    <n v="2487"/>
    <n v="61"/>
    <s v="Male"/>
    <s v="Jeans"/>
    <x v="0"/>
    <n v="58"/>
    <x v="21"/>
    <s v="L"/>
    <s v="Magenta"/>
    <x v="1"/>
    <n v="4.4000000000000004"/>
    <s v="No"/>
    <s v="Credit Card"/>
    <s v="Store Pickup"/>
    <s v="No"/>
    <s v="No"/>
    <n v="6"/>
    <x v="2"/>
    <s v="Fortnightly"/>
    <n v="0"/>
    <x v="0"/>
  </r>
  <r>
    <n v="2488"/>
    <n v="57"/>
    <s v="Male"/>
    <s v="Boots"/>
    <x v="1"/>
    <n v="21"/>
    <x v="6"/>
    <s v="L"/>
    <s v="Violet"/>
    <x v="1"/>
    <n v="3"/>
    <s v="No"/>
    <s v="PayPal"/>
    <s v="Next Day Air"/>
    <s v="No"/>
    <s v="No"/>
    <n v="16"/>
    <x v="3"/>
    <s v="Bi-Weekly"/>
    <n v="0"/>
    <x v="0"/>
  </r>
  <r>
    <n v="2489"/>
    <n v="56"/>
    <s v="Male"/>
    <s v="Handbag"/>
    <x v="3"/>
    <n v="82"/>
    <x v="13"/>
    <s v="XL"/>
    <s v="Charcoal"/>
    <x v="2"/>
    <n v="4.4000000000000004"/>
    <s v="No"/>
    <s v="Credit Card"/>
    <s v="Express"/>
    <s v="No"/>
    <s v="No"/>
    <n v="30"/>
    <x v="3"/>
    <s v="Monthly"/>
    <n v="0"/>
    <x v="0"/>
  </r>
  <r>
    <n v="2490"/>
    <n v="66"/>
    <s v="Male"/>
    <s v="Coat"/>
    <x v="2"/>
    <n v="34"/>
    <x v="45"/>
    <s v="M"/>
    <s v="Green"/>
    <x v="0"/>
    <n v="3.9"/>
    <s v="No"/>
    <s v="Credit Card"/>
    <s v="Express"/>
    <s v="No"/>
    <s v="No"/>
    <n v="50"/>
    <x v="0"/>
    <s v="Quarterly"/>
    <n v="0"/>
    <x v="0"/>
  </r>
  <r>
    <n v="2491"/>
    <n v="52"/>
    <s v="Male"/>
    <s v="Blouse"/>
    <x v="0"/>
    <n v="78"/>
    <x v="6"/>
    <s v="M"/>
    <s v="Gray"/>
    <x v="1"/>
    <n v="4"/>
    <s v="No"/>
    <s v="PayPal"/>
    <s v="Free Shipping"/>
    <s v="No"/>
    <s v="No"/>
    <n v="5"/>
    <x v="1"/>
    <s v="Every 3 Months"/>
    <n v="0"/>
    <x v="0"/>
  </r>
  <r>
    <n v="2492"/>
    <n v="63"/>
    <s v="Male"/>
    <s v="Handbag"/>
    <x v="3"/>
    <n v="47"/>
    <x v="17"/>
    <s v="M"/>
    <s v="Magenta"/>
    <x v="1"/>
    <n v="2.5"/>
    <s v="No"/>
    <s v="Debit Card"/>
    <s v="Express"/>
    <s v="No"/>
    <s v="No"/>
    <n v="15"/>
    <x v="4"/>
    <s v="Monthly"/>
    <n v="0"/>
    <x v="0"/>
  </r>
  <r>
    <n v="2493"/>
    <n v="50"/>
    <s v="Male"/>
    <s v="Sunglasses"/>
    <x v="3"/>
    <n v="96"/>
    <x v="45"/>
    <s v="S"/>
    <s v="Silver"/>
    <x v="2"/>
    <n v="4.0999999999999996"/>
    <s v="No"/>
    <s v="Venmo"/>
    <s v="Next Day Air"/>
    <s v="No"/>
    <s v="No"/>
    <n v="34"/>
    <x v="4"/>
    <s v="Bi-Weekly"/>
    <n v="0"/>
    <x v="0"/>
  </r>
  <r>
    <n v="2494"/>
    <n v="21"/>
    <s v="Male"/>
    <s v="Socks"/>
    <x v="0"/>
    <n v="23"/>
    <x v="1"/>
    <s v="S"/>
    <s v="Beige"/>
    <x v="3"/>
    <n v="4.8"/>
    <s v="No"/>
    <s v="Cash"/>
    <s v="2-Day Shipping"/>
    <s v="No"/>
    <s v="No"/>
    <n v="6"/>
    <x v="0"/>
    <s v="Every 3 Months"/>
    <n v="0"/>
    <x v="1"/>
  </r>
  <r>
    <n v="2495"/>
    <n v="42"/>
    <s v="Male"/>
    <s v="Shoes"/>
    <x v="1"/>
    <n v="27"/>
    <x v="19"/>
    <s v="S"/>
    <s v="Peach"/>
    <x v="0"/>
    <n v="2.6"/>
    <s v="No"/>
    <s v="PayPal"/>
    <s v="Store Pickup"/>
    <s v="No"/>
    <s v="No"/>
    <n v="26"/>
    <x v="5"/>
    <s v="Annually"/>
    <n v="0"/>
    <x v="2"/>
  </r>
  <r>
    <n v="2496"/>
    <n v="40"/>
    <s v="Male"/>
    <s v="Backpack"/>
    <x v="3"/>
    <n v="37"/>
    <x v="43"/>
    <s v="XL"/>
    <s v="Orange"/>
    <x v="1"/>
    <n v="3.1"/>
    <s v="No"/>
    <s v="Bank Transfer"/>
    <s v="Free Shipping"/>
    <s v="No"/>
    <s v="No"/>
    <n v="34"/>
    <x v="2"/>
    <s v="Every 3 Months"/>
    <n v="0"/>
    <x v="2"/>
  </r>
  <r>
    <n v="2497"/>
    <n v="67"/>
    <s v="Male"/>
    <s v="Scarf"/>
    <x v="3"/>
    <n v="79"/>
    <x v="26"/>
    <s v="S"/>
    <s v="Yellow"/>
    <x v="2"/>
    <n v="3.2"/>
    <s v="No"/>
    <s v="Bank Transfer"/>
    <s v="Store Pickup"/>
    <s v="No"/>
    <s v="No"/>
    <n v="37"/>
    <x v="2"/>
    <s v="Weekly"/>
    <n v="0"/>
    <x v="0"/>
  </r>
  <r>
    <n v="2498"/>
    <n v="35"/>
    <s v="Male"/>
    <s v="Backpack"/>
    <x v="3"/>
    <n v="40"/>
    <x v="24"/>
    <s v="M"/>
    <s v="Violet"/>
    <x v="2"/>
    <n v="4.2"/>
    <s v="No"/>
    <s v="Bank Transfer"/>
    <s v="Standard"/>
    <s v="No"/>
    <s v="No"/>
    <n v="28"/>
    <x v="4"/>
    <s v="Annually"/>
    <n v="0"/>
    <x v="3"/>
  </r>
  <r>
    <n v="2499"/>
    <n v="18"/>
    <s v="Male"/>
    <s v="Coat"/>
    <x v="2"/>
    <n v="39"/>
    <x v="2"/>
    <s v="S"/>
    <s v="Green"/>
    <x v="3"/>
    <n v="2.6"/>
    <s v="No"/>
    <s v="Cash"/>
    <s v="Next Day Air"/>
    <s v="No"/>
    <s v="No"/>
    <n v="38"/>
    <x v="1"/>
    <s v="Fortnightly"/>
    <n v="0"/>
    <x v="1"/>
  </r>
  <r>
    <n v="2500"/>
    <n v="52"/>
    <s v="Male"/>
    <s v="Hoodie"/>
    <x v="0"/>
    <n v="73"/>
    <x v="7"/>
    <s v="L"/>
    <s v="Pink"/>
    <x v="2"/>
    <n v="3.1"/>
    <s v="No"/>
    <s v="Debit Card"/>
    <s v="Next Day Air"/>
    <s v="No"/>
    <s v="No"/>
    <n v="2"/>
    <x v="1"/>
    <s v="Quarterly"/>
    <n v="0"/>
    <x v="0"/>
  </r>
  <r>
    <n v="2501"/>
    <n v="59"/>
    <s v="Male"/>
    <s v="Gloves"/>
    <x v="3"/>
    <n v="84"/>
    <x v="2"/>
    <s v="M"/>
    <s v="Violet"/>
    <x v="3"/>
    <n v="2.9"/>
    <s v="No"/>
    <s v="Credit Card"/>
    <s v="Store Pickup"/>
    <s v="No"/>
    <s v="No"/>
    <n v="32"/>
    <x v="1"/>
    <s v="Bi-Weekly"/>
    <n v="0"/>
    <x v="0"/>
  </r>
  <r>
    <n v="2502"/>
    <n v="49"/>
    <s v="Male"/>
    <s v="Shorts"/>
    <x v="0"/>
    <n v="94"/>
    <x v="8"/>
    <s v="M"/>
    <s v="Violet"/>
    <x v="3"/>
    <n v="4.5999999999999996"/>
    <s v="No"/>
    <s v="Cash"/>
    <s v="Free Shipping"/>
    <s v="No"/>
    <s v="No"/>
    <n v="30"/>
    <x v="0"/>
    <s v="Bi-Weekly"/>
    <n v="0"/>
    <x v="0"/>
  </r>
  <r>
    <n v="2503"/>
    <n v="46"/>
    <s v="Male"/>
    <s v="Skirt"/>
    <x v="0"/>
    <n v="47"/>
    <x v="37"/>
    <s v="L"/>
    <s v="Pink"/>
    <x v="1"/>
    <n v="4.0999999999999996"/>
    <s v="No"/>
    <s v="Cash"/>
    <s v="Standard"/>
    <s v="No"/>
    <s v="No"/>
    <n v="17"/>
    <x v="3"/>
    <s v="Every 3 Months"/>
    <n v="0"/>
    <x v="0"/>
  </r>
  <r>
    <n v="2504"/>
    <n v="69"/>
    <s v="Male"/>
    <s v="Boots"/>
    <x v="1"/>
    <n v="77"/>
    <x v="31"/>
    <s v="M"/>
    <s v="Violet"/>
    <x v="2"/>
    <n v="2.5"/>
    <s v="No"/>
    <s v="PayPal"/>
    <s v="Store Pickup"/>
    <s v="No"/>
    <s v="No"/>
    <n v="5"/>
    <x v="5"/>
    <s v="Bi-Weekly"/>
    <n v="0"/>
    <x v="0"/>
  </r>
  <r>
    <n v="2505"/>
    <n v="56"/>
    <s v="Male"/>
    <s v="Shorts"/>
    <x v="0"/>
    <n v="94"/>
    <x v="3"/>
    <s v="M"/>
    <s v="Turquoise"/>
    <x v="0"/>
    <n v="4"/>
    <s v="No"/>
    <s v="Credit Card"/>
    <s v="Store Pickup"/>
    <s v="No"/>
    <s v="No"/>
    <n v="31"/>
    <x v="1"/>
    <s v="Bi-Weekly"/>
    <n v="0"/>
    <x v="0"/>
  </r>
  <r>
    <n v="2506"/>
    <n v="27"/>
    <s v="Male"/>
    <s v="Handbag"/>
    <x v="3"/>
    <n v="75"/>
    <x v="26"/>
    <s v="M"/>
    <s v="Cyan"/>
    <x v="2"/>
    <n v="3.5"/>
    <s v="No"/>
    <s v="PayPal"/>
    <s v="Express"/>
    <s v="No"/>
    <s v="No"/>
    <n v="43"/>
    <x v="3"/>
    <s v="Quarterly"/>
    <n v="0"/>
    <x v="3"/>
  </r>
  <r>
    <n v="2507"/>
    <n v="57"/>
    <s v="Male"/>
    <s v="Dress"/>
    <x v="0"/>
    <n v="82"/>
    <x v="14"/>
    <s v="XL"/>
    <s v="Orange"/>
    <x v="1"/>
    <n v="4.4000000000000004"/>
    <s v="No"/>
    <s v="Debit Card"/>
    <s v="Free Shipping"/>
    <s v="No"/>
    <s v="No"/>
    <n v="19"/>
    <x v="0"/>
    <s v="Annually"/>
    <n v="0"/>
    <x v="0"/>
  </r>
  <r>
    <n v="2508"/>
    <n v="58"/>
    <s v="Male"/>
    <s v="Shoes"/>
    <x v="1"/>
    <n v="36"/>
    <x v="7"/>
    <s v="M"/>
    <s v="Cyan"/>
    <x v="3"/>
    <n v="2.9"/>
    <s v="No"/>
    <s v="PayPal"/>
    <s v="Store Pickup"/>
    <s v="No"/>
    <s v="No"/>
    <n v="32"/>
    <x v="2"/>
    <s v="Every 3 Months"/>
    <n v="0"/>
    <x v="0"/>
  </r>
  <r>
    <n v="2509"/>
    <n v="23"/>
    <s v="Male"/>
    <s v="Sneakers"/>
    <x v="1"/>
    <n v="90"/>
    <x v="18"/>
    <s v="XL"/>
    <s v="Indigo"/>
    <x v="1"/>
    <n v="3.1"/>
    <s v="No"/>
    <s v="Cash"/>
    <s v="2-Day Shipping"/>
    <s v="No"/>
    <s v="No"/>
    <n v="5"/>
    <x v="5"/>
    <s v="Bi-Weekly"/>
    <n v="0"/>
    <x v="1"/>
  </r>
  <r>
    <n v="2510"/>
    <n v="19"/>
    <s v="Male"/>
    <s v="Socks"/>
    <x v="0"/>
    <n v="48"/>
    <x v="47"/>
    <s v="M"/>
    <s v="Black"/>
    <x v="1"/>
    <n v="4.4000000000000004"/>
    <s v="No"/>
    <s v="PayPal"/>
    <s v="Free Shipping"/>
    <s v="No"/>
    <s v="No"/>
    <n v="9"/>
    <x v="4"/>
    <s v="Quarterly"/>
    <n v="0"/>
    <x v="1"/>
  </r>
  <r>
    <n v="2511"/>
    <n v="40"/>
    <s v="Male"/>
    <s v="Jacket"/>
    <x v="2"/>
    <n v="42"/>
    <x v="45"/>
    <s v="L"/>
    <s v="Purple"/>
    <x v="0"/>
    <n v="4.4000000000000004"/>
    <s v="No"/>
    <s v="Cash"/>
    <s v="Standard"/>
    <s v="No"/>
    <s v="No"/>
    <n v="48"/>
    <x v="2"/>
    <s v="Weekly"/>
    <n v="0"/>
    <x v="2"/>
  </r>
  <r>
    <n v="2512"/>
    <n v="54"/>
    <s v="Male"/>
    <s v="Backpack"/>
    <x v="3"/>
    <n v="33"/>
    <x v="37"/>
    <s v="M"/>
    <s v="Cyan"/>
    <x v="2"/>
    <n v="2.7"/>
    <s v="No"/>
    <s v="Debit Card"/>
    <s v="Store Pickup"/>
    <s v="No"/>
    <s v="No"/>
    <n v="1"/>
    <x v="3"/>
    <s v="Quarterly"/>
    <n v="0"/>
    <x v="0"/>
  </r>
  <r>
    <n v="2513"/>
    <n v="50"/>
    <s v="Male"/>
    <s v="Socks"/>
    <x v="0"/>
    <n v="63"/>
    <x v="25"/>
    <s v="M"/>
    <s v="Green"/>
    <x v="2"/>
    <n v="4.9000000000000004"/>
    <s v="No"/>
    <s v="Credit Card"/>
    <s v="Free Shipping"/>
    <s v="No"/>
    <s v="No"/>
    <n v="20"/>
    <x v="2"/>
    <s v="Monthly"/>
    <n v="0"/>
    <x v="0"/>
  </r>
  <r>
    <n v="2514"/>
    <n v="69"/>
    <s v="Male"/>
    <s v="Handbag"/>
    <x v="3"/>
    <n v="53"/>
    <x v="47"/>
    <s v="L"/>
    <s v="Teal"/>
    <x v="0"/>
    <n v="3.5"/>
    <s v="No"/>
    <s v="Debit Card"/>
    <s v="2-Day Shipping"/>
    <s v="No"/>
    <s v="No"/>
    <n v="42"/>
    <x v="1"/>
    <s v="Annually"/>
    <n v="0"/>
    <x v="0"/>
  </r>
  <r>
    <n v="2515"/>
    <n v="42"/>
    <s v="Male"/>
    <s v="Hat"/>
    <x v="3"/>
    <n v="37"/>
    <x v="29"/>
    <s v="L"/>
    <s v="Teal"/>
    <x v="1"/>
    <n v="4.8"/>
    <s v="No"/>
    <s v="Debit Card"/>
    <s v="Free Shipping"/>
    <s v="No"/>
    <s v="No"/>
    <n v="45"/>
    <x v="3"/>
    <s v="Bi-Weekly"/>
    <n v="0"/>
    <x v="2"/>
  </r>
  <r>
    <n v="2516"/>
    <n v="37"/>
    <s v="Male"/>
    <s v="Blouse"/>
    <x v="0"/>
    <n v="92"/>
    <x v="23"/>
    <s v="M"/>
    <s v="Magenta"/>
    <x v="2"/>
    <n v="4.2"/>
    <s v="No"/>
    <s v="Bank Transfer"/>
    <s v="2-Day Shipping"/>
    <s v="No"/>
    <s v="No"/>
    <n v="41"/>
    <x v="1"/>
    <s v="Monthly"/>
    <n v="0"/>
    <x v="2"/>
  </r>
  <r>
    <n v="2517"/>
    <n v="46"/>
    <s v="Male"/>
    <s v="Shorts"/>
    <x v="0"/>
    <n v="73"/>
    <x v="40"/>
    <s v="XL"/>
    <s v="Brown"/>
    <x v="1"/>
    <n v="4.5999999999999996"/>
    <s v="No"/>
    <s v="Bank Transfer"/>
    <s v="Standard"/>
    <s v="No"/>
    <s v="No"/>
    <n v="36"/>
    <x v="5"/>
    <s v="Quarterly"/>
    <n v="0"/>
    <x v="0"/>
  </r>
  <r>
    <n v="2518"/>
    <n v="64"/>
    <s v="Male"/>
    <s v="Shirt"/>
    <x v="0"/>
    <n v="38"/>
    <x v="5"/>
    <s v="L"/>
    <s v="Orange"/>
    <x v="1"/>
    <n v="2.9"/>
    <s v="No"/>
    <s v="Credit Card"/>
    <s v="Standard"/>
    <s v="No"/>
    <s v="No"/>
    <n v="10"/>
    <x v="0"/>
    <s v="Annually"/>
    <n v="0"/>
    <x v="0"/>
  </r>
  <r>
    <n v="2519"/>
    <n v="20"/>
    <s v="Male"/>
    <s v="Boots"/>
    <x v="1"/>
    <n v="51"/>
    <x v="1"/>
    <s v="XL"/>
    <s v="Blue"/>
    <x v="3"/>
    <n v="4"/>
    <s v="No"/>
    <s v="PayPal"/>
    <s v="Store Pickup"/>
    <s v="No"/>
    <s v="No"/>
    <n v="31"/>
    <x v="0"/>
    <s v="Annually"/>
    <n v="0"/>
    <x v="1"/>
  </r>
  <r>
    <n v="2520"/>
    <n v="40"/>
    <s v="Male"/>
    <s v="Jacket"/>
    <x v="2"/>
    <n v="90"/>
    <x v="49"/>
    <s v="L"/>
    <s v="Magenta"/>
    <x v="1"/>
    <n v="4.9000000000000004"/>
    <s v="No"/>
    <s v="Credit Card"/>
    <s v="Standard"/>
    <s v="No"/>
    <s v="No"/>
    <n v="21"/>
    <x v="2"/>
    <s v="Quarterly"/>
    <n v="0"/>
    <x v="2"/>
  </r>
  <r>
    <n v="2521"/>
    <n v="64"/>
    <s v="Male"/>
    <s v="Jacket"/>
    <x v="2"/>
    <n v="56"/>
    <x v="26"/>
    <s v="L"/>
    <s v="Magenta"/>
    <x v="2"/>
    <n v="3.1"/>
    <s v="No"/>
    <s v="Bank Transfer"/>
    <s v="Next Day Air"/>
    <s v="No"/>
    <s v="No"/>
    <n v="16"/>
    <x v="1"/>
    <s v="Every 3 Months"/>
    <n v="0"/>
    <x v="0"/>
  </r>
  <r>
    <n v="2522"/>
    <n v="29"/>
    <s v="Male"/>
    <s v="Handbag"/>
    <x v="3"/>
    <n v="33"/>
    <x v="46"/>
    <s v="M"/>
    <s v="Magenta"/>
    <x v="3"/>
    <n v="4.4000000000000004"/>
    <s v="No"/>
    <s v="Debit Card"/>
    <s v="Standard"/>
    <s v="No"/>
    <s v="No"/>
    <n v="18"/>
    <x v="3"/>
    <s v="Every 3 Months"/>
    <n v="0"/>
    <x v="3"/>
  </r>
  <r>
    <n v="2523"/>
    <n v="20"/>
    <s v="Male"/>
    <s v="Belt"/>
    <x v="3"/>
    <n v="53"/>
    <x v="2"/>
    <s v="S"/>
    <s v="Olive"/>
    <x v="0"/>
    <n v="2.5"/>
    <s v="No"/>
    <s v="Cash"/>
    <s v="2-Day Shipping"/>
    <s v="No"/>
    <s v="No"/>
    <n v="20"/>
    <x v="5"/>
    <s v="Weekly"/>
    <n v="0"/>
    <x v="1"/>
  </r>
  <r>
    <n v="2524"/>
    <n v="43"/>
    <s v="Male"/>
    <s v="Handbag"/>
    <x v="3"/>
    <n v="24"/>
    <x v="32"/>
    <s v="S"/>
    <s v="Cyan"/>
    <x v="1"/>
    <n v="3.4"/>
    <s v="No"/>
    <s v="Cash"/>
    <s v="Express"/>
    <s v="No"/>
    <s v="No"/>
    <n v="21"/>
    <x v="4"/>
    <s v="Annually"/>
    <n v="0"/>
    <x v="2"/>
  </r>
  <r>
    <n v="2525"/>
    <n v="60"/>
    <s v="Male"/>
    <s v="Coat"/>
    <x v="2"/>
    <n v="59"/>
    <x v="23"/>
    <s v="M"/>
    <s v="Purple"/>
    <x v="1"/>
    <n v="3.7"/>
    <s v="No"/>
    <s v="Venmo"/>
    <s v="Express"/>
    <s v="No"/>
    <s v="No"/>
    <n v="23"/>
    <x v="2"/>
    <s v="Quarterly"/>
    <n v="0"/>
    <x v="0"/>
  </r>
  <r>
    <n v="2526"/>
    <n v="39"/>
    <s v="Male"/>
    <s v="Sweater"/>
    <x v="0"/>
    <n v="72"/>
    <x v="0"/>
    <s v="M"/>
    <s v="Purple"/>
    <x v="0"/>
    <n v="4.2"/>
    <s v="No"/>
    <s v="PayPal"/>
    <s v="Standard"/>
    <s v="No"/>
    <s v="No"/>
    <n v="20"/>
    <x v="3"/>
    <s v="Weekly"/>
    <n v="0"/>
    <x v="2"/>
  </r>
  <r>
    <n v="2527"/>
    <n v="47"/>
    <s v="Male"/>
    <s v="Shorts"/>
    <x v="0"/>
    <n v="28"/>
    <x v="3"/>
    <s v="S"/>
    <s v="Peach"/>
    <x v="1"/>
    <n v="3.4"/>
    <s v="No"/>
    <s v="Bank Transfer"/>
    <s v="Express"/>
    <s v="No"/>
    <s v="No"/>
    <n v="30"/>
    <x v="3"/>
    <s v="Bi-Weekly"/>
    <n v="0"/>
    <x v="0"/>
  </r>
  <r>
    <n v="2528"/>
    <n v="19"/>
    <s v="Male"/>
    <s v="Pants"/>
    <x v="0"/>
    <n v="36"/>
    <x v="26"/>
    <s v="M"/>
    <s v="Gold"/>
    <x v="3"/>
    <n v="3.6"/>
    <s v="No"/>
    <s v="Cash"/>
    <s v="Express"/>
    <s v="No"/>
    <s v="No"/>
    <n v="33"/>
    <x v="4"/>
    <s v="Every 3 Months"/>
    <n v="0"/>
    <x v="1"/>
  </r>
  <r>
    <n v="2529"/>
    <n v="52"/>
    <s v="Male"/>
    <s v="Jewelry"/>
    <x v="3"/>
    <n v="47"/>
    <x v="15"/>
    <s v="S"/>
    <s v="Peach"/>
    <x v="3"/>
    <n v="4.7"/>
    <s v="No"/>
    <s v="Bank Transfer"/>
    <s v="2-Day Shipping"/>
    <s v="No"/>
    <s v="No"/>
    <n v="31"/>
    <x v="5"/>
    <s v="Monthly"/>
    <n v="0"/>
    <x v="0"/>
  </r>
  <r>
    <n v="2530"/>
    <n v="34"/>
    <s v="Male"/>
    <s v="Gloves"/>
    <x v="3"/>
    <n v="62"/>
    <x v="30"/>
    <s v="M"/>
    <s v="Magenta"/>
    <x v="1"/>
    <n v="4.7"/>
    <s v="No"/>
    <s v="Cash"/>
    <s v="Next Day Air"/>
    <s v="No"/>
    <s v="No"/>
    <n v="48"/>
    <x v="4"/>
    <s v="Monthly"/>
    <n v="0"/>
    <x v="3"/>
  </r>
  <r>
    <n v="2531"/>
    <n v="25"/>
    <s v="Male"/>
    <s v="Skirt"/>
    <x v="0"/>
    <n v="98"/>
    <x v="2"/>
    <s v="S"/>
    <s v="Cyan"/>
    <x v="1"/>
    <n v="3.6"/>
    <s v="No"/>
    <s v="Debit Card"/>
    <s v="Free Shipping"/>
    <s v="No"/>
    <s v="No"/>
    <n v="28"/>
    <x v="5"/>
    <s v="Weekly"/>
    <n v="0"/>
    <x v="1"/>
  </r>
  <r>
    <n v="2532"/>
    <n v="43"/>
    <s v="Male"/>
    <s v="Sandals"/>
    <x v="1"/>
    <n v="28"/>
    <x v="21"/>
    <s v="M"/>
    <s v="Violet"/>
    <x v="2"/>
    <n v="4.5999999999999996"/>
    <s v="No"/>
    <s v="PayPal"/>
    <s v="Free Shipping"/>
    <s v="No"/>
    <s v="No"/>
    <n v="7"/>
    <x v="1"/>
    <s v="Every 3 Months"/>
    <n v="0"/>
    <x v="2"/>
  </r>
  <r>
    <n v="2533"/>
    <n v="55"/>
    <s v="Male"/>
    <s v="Socks"/>
    <x v="0"/>
    <n v="86"/>
    <x v="43"/>
    <s v="S"/>
    <s v="Charcoal"/>
    <x v="2"/>
    <n v="2.6"/>
    <s v="No"/>
    <s v="PayPal"/>
    <s v="Next Day Air"/>
    <s v="No"/>
    <s v="No"/>
    <n v="4"/>
    <x v="5"/>
    <s v="Weekly"/>
    <n v="0"/>
    <x v="0"/>
  </r>
  <r>
    <n v="2534"/>
    <n v="66"/>
    <s v="Male"/>
    <s v="Jewelry"/>
    <x v="3"/>
    <n v="46"/>
    <x v="38"/>
    <s v="S"/>
    <s v="Blue"/>
    <x v="2"/>
    <n v="3.1"/>
    <s v="No"/>
    <s v="Venmo"/>
    <s v="Standard"/>
    <s v="No"/>
    <s v="No"/>
    <n v="49"/>
    <x v="1"/>
    <s v="Bi-Weekly"/>
    <n v="0"/>
    <x v="0"/>
  </r>
  <r>
    <n v="2535"/>
    <n v="41"/>
    <s v="Male"/>
    <s v="Sunglasses"/>
    <x v="3"/>
    <n v="42"/>
    <x v="41"/>
    <s v="XL"/>
    <s v="Red"/>
    <x v="3"/>
    <n v="3.2"/>
    <s v="No"/>
    <s v="PayPal"/>
    <s v="Free Shipping"/>
    <s v="No"/>
    <s v="No"/>
    <n v="22"/>
    <x v="1"/>
    <s v="Weekly"/>
    <n v="0"/>
    <x v="2"/>
  </r>
  <r>
    <n v="2536"/>
    <n v="47"/>
    <s v="Male"/>
    <s v="Coat"/>
    <x v="2"/>
    <n v="80"/>
    <x v="34"/>
    <s v="S"/>
    <s v="Purple"/>
    <x v="0"/>
    <n v="3.9"/>
    <s v="No"/>
    <s v="Bank Transfer"/>
    <s v="Express"/>
    <s v="No"/>
    <s v="No"/>
    <n v="39"/>
    <x v="4"/>
    <s v="Fortnightly"/>
    <n v="0"/>
    <x v="0"/>
  </r>
  <r>
    <n v="2537"/>
    <n v="51"/>
    <s v="Male"/>
    <s v="Belt"/>
    <x v="3"/>
    <n v="39"/>
    <x v="19"/>
    <s v="L"/>
    <s v="Gray"/>
    <x v="1"/>
    <n v="4.9000000000000004"/>
    <s v="No"/>
    <s v="Bank Transfer"/>
    <s v="Express"/>
    <s v="No"/>
    <s v="No"/>
    <n v="45"/>
    <x v="3"/>
    <s v="Every 3 Months"/>
    <n v="0"/>
    <x v="0"/>
  </r>
  <r>
    <n v="2538"/>
    <n v="44"/>
    <s v="Male"/>
    <s v="Coat"/>
    <x v="2"/>
    <n v="49"/>
    <x v="1"/>
    <s v="M"/>
    <s v="Purple"/>
    <x v="2"/>
    <n v="4.0999999999999996"/>
    <s v="No"/>
    <s v="Debit Card"/>
    <s v="2-Day Shipping"/>
    <s v="No"/>
    <s v="No"/>
    <n v="30"/>
    <x v="3"/>
    <s v="Fortnightly"/>
    <n v="0"/>
    <x v="2"/>
  </r>
  <r>
    <n v="2539"/>
    <n v="18"/>
    <s v="Male"/>
    <s v="Scarf"/>
    <x v="3"/>
    <n v="32"/>
    <x v="32"/>
    <s v="M"/>
    <s v="Silver"/>
    <x v="2"/>
    <n v="4.2"/>
    <s v="No"/>
    <s v="Venmo"/>
    <s v="Next Day Air"/>
    <s v="No"/>
    <s v="No"/>
    <n v="33"/>
    <x v="2"/>
    <s v="Bi-Weekly"/>
    <n v="0"/>
    <x v="1"/>
  </r>
  <r>
    <n v="2540"/>
    <n v="33"/>
    <s v="Male"/>
    <s v="Sandals"/>
    <x v="1"/>
    <n v="73"/>
    <x v="2"/>
    <s v="M"/>
    <s v="Purple"/>
    <x v="3"/>
    <n v="4.0999999999999996"/>
    <s v="No"/>
    <s v="PayPal"/>
    <s v="Next Day Air"/>
    <s v="No"/>
    <s v="No"/>
    <n v="24"/>
    <x v="1"/>
    <s v="Bi-Weekly"/>
    <n v="0"/>
    <x v="3"/>
  </r>
  <r>
    <n v="2541"/>
    <n v="24"/>
    <s v="Male"/>
    <s v="Belt"/>
    <x v="3"/>
    <n v="42"/>
    <x v="32"/>
    <s v="M"/>
    <s v="Charcoal"/>
    <x v="2"/>
    <n v="3.9"/>
    <s v="No"/>
    <s v="PayPal"/>
    <s v="Free Shipping"/>
    <s v="No"/>
    <s v="No"/>
    <n v="11"/>
    <x v="5"/>
    <s v="Quarterly"/>
    <n v="0"/>
    <x v="1"/>
  </r>
  <r>
    <n v="2542"/>
    <n v="33"/>
    <s v="Male"/>
    <s v="Scarf"/>
    <x v="3"/>
    <n v="58"/>
    <x v="47"/>
    <s v="M"/>
    <s v="Silver"/>
    <x v="1"/>
    <n v="2.7"/>
    <s v="No"/>
    <s v="Venmo"/>
    <s v="Next Day Air"/>
    <s v="No"/>
    <s v="No"/>
    <n v="13"/>
    <x v="0"/>
    <s v="Every 3 Months"/>
    <n v="0"/>
    <x v="3"/>
  </r>
  <r>
    <n v="2543"/>
    <n v="61"/>
    <s v="Male"/>
    <s v="Jewelry"/>
    <x v="3"/>
    <n v="22"/>
    <x v="10"/>
    <s v="M"/>
    <s v="White"/>
    <x v="0"/>
    <n v="3.7"/>
    <s v="No"/>
    <s v="PayPal"/>
    <s v="Express"/>
    <s v="No"/>
    <s v="No"/>
    <n v="27"/>
    <x v="3"/>
    <s v="Annually"/>
    <n v="0"/>
    <x v="0"/>
  </r>
  <r>
    <n v="2544"/>
    <n v="27"/>
    <s v="Male"/>
    <s v="Scarf"/>
    <x v="3"/>
    <n v="56"/>
    <x v="8"/>
    <s v="L"/>
    <s v="Peach"/>
    <x v="1"/>
    <n v="2.7"/>
    <s v="No"/>
    <s v="Debit Card"/>
    <s v="Next Day Air"/>
    <s v="No"/>
    <s v="No"/>
    <n v="30"/>
    <x v="3"/>
    <s v="Bi-Weekly"/>
    <n v="0"/>
    <x v="3"/>
  </r>
  <r>
    <n v="2545"/>
    <n v="46"/>
    <s v="Male"/>
    <s v="Pants"/>
    <x v="0"/>
    <n v="70"/>
    <x v="12"/>
    <s v="M"/>
    <s v="Red"/>
    <x v="1"/>
    <n v="2.5"/>
    <s v="No"/>
    <s v="Cash"/>
    <s v="Next Day Air"/>
    <s v="No"/>
    <s v="No"/>
    <n v="39"/>
    <x v="0"/>
    <s v="Quarterly"/>
    <n v="0"/>
    <x v="0"/>
  </r>
  <r>
    <n v="2546"/>
    <n v="38"/>
    <s v="Male"/>
    <s v="Shoes"/>
    <x v="1"/>
    <n v="50"/>
    <x v="21"/>
    <s v="L"/>
    <s v="Olive"/>
    <x v="1"/>
    <n v="3.9"/>
    <s v="No"/>
    <s v="Bank Transfer"/>
    <s v="Free Shipping"/>
    <s v="No"/>
    <s v="No"/>
    <n v="10"/>
    <x v="5"/>
    <s v="Annually"/>
    <n v="0"/>
    <x v="2"/>
  </r>
  <r>
    <n v="2547"/>
    <n v="63"/>
    <s v="Male"/>
    <s v="Boots"/>
    <x v="1"/>
    <n v="21"/>
    <x v="21"/>
    <s v="L"/>
    <s v="Gray"/>
    <x v="2"/>
    <n v="3"/>
    <s v="No"/>
    <s v="Venmo"/>
    <s v="Express"/>
    <s v="No"/>
    <s v="No"/>
    <n v="4"/>
    <x v="2"/>
    <s v="Quarterly"/>
    <n v="0"/>
    <x v="0"/>
  </r>
  <r>
    <n v="2548"/>
    <n v="47"/>
    <s v="Male"/>
    <s v="Jacket"/>
    <x v="2"/>
    <n v="97"/>
    <x v="16"/>
    <s v="M"/>
    <s v="Beige"/>
    <x v="2"/>
    <n v="3.2"/>
    <s v="No"/>
    <s v="Bank Transfer"/>
    <s v="2-Day Shipping"/>
    <s v="No"/>
    <s v="No"/>
    <n v="16"/>
    <x v="1"/>
    <s v="Weekly"/>
    <n v="0"/>
    <x v="0"/>
  </r>
  <r>
    <n v="2549"/>
    <n v="42"/>
    <s v="Male"/>
    <s v="Backpack"/>
    <x v="3"/>
    <n v="63"/>
    <x v="21"/>
    <s v="L"/>
    <s v="Pink"/>
    <x v="0"/>
    <n v="3.8"/>
    <s v="No"/>
    <s v="Credit Card"/>
    <s v="Standard"/>
    <s v="No"/>
    <s v="No"/>
    <n v="34"/>
    <x v="2"/>
    <s v="Monthly"/>
    <n v="0"/>
    <x v="2"/>
  </r>
  <r>
    <n v="2550"/>
    <n v="41"/>
    <s v="Male"/>
    <s v="Jacket"/>
    <x v="2"/>
    <n v="60"/>
    <x v="41"/>
    <s v="M"/>
    <s v="Red"/>
    <x v="3"/>
    <n v="2.7"/>
    <s v="No"/>
    <s v="Credit Card"/>
    <s v="Standard"/>
    <s v="No"/>
    <s v="No"/>
    <n v="11"/>
    <x v="5"/>
    <s v="Every 3 Months"/>
    <n v="0"/>
    <x v="2"/>
  </r>
  <r>
    <n v="2551"/>
    <n v="53"/>
    <s v="Male"/>
    <s v="Boots"/>
    <x v="1"/>
    <n v="52"/>
    <x v="13"/>
    <s v="XL"/>
    <s v="Peach"/>
    <x v="3"/>
    <n v="3"/>
    <s v="No"/>
    <s v="Credit Card"/>
    <s v="Store Pickup"/>
    <s v="No"/>
    <s v="No"/>
    <n v="30"/>
    <x v="5"/>
    <s v="Fortnightly"/>
    <n v="0"/>
    <x v="0"/>
  </r>
  <r>
    <n v="2552"/>
    <n v="29"/>
    <s v="Male"/>
    <s v="Shoes"/>
    <x v="1"/>
    <n v="32"/>
    <x v="46"/>
    <s v="M"/>
    <s v="Maroon"/>
    <x v="0"/>
    <n v="4.0999999999999996"/>
    <s v="No"/>
    <s v="Cash"/>
    <s v="Next Day Air"/>
    <s v="No"/>
    <s v="No"/>
    <n v="40"/>
    <x v="5"/>
    <s v="Annually"/>
    <n v="0"/>
    <x v="3"/>
  </r>
  <r>
    <n v="2553"/>
    <n v="61"/>
    <s v="Male"/>
    <s v="Belt"/>
    <x v="3"/>
    <n v="48"/>
    <x v="33"/>
    <s v="XL"/>
    <s v="Purple"/>
    <x v="1"/>
    <n v="3.2"/>
    <s v="No"/>
    <s v="Cash"/>
    <s v="2-Day Shipping"/>
    <s v="No"/>
    <s v="No"/>
    <n v="13"/>
    <x v="2"/>
    <s v="Annually"/>
    <n v="0"/>
    <x v="0"/>
  </r>
  <r>
    <n v="2554"/>
    <n v="69"/>
    <s v="Male"/>
    <s v="Jewelry"/>
    <x v="3"/>
    <n v="25"/>
    <x v="34"/>
    <s v="M"/>
    <s v="Maroon"/>
    <x v="2"/>
    <n v="4.5"/>
    <s v="No"/>
    <s v="Cash"/>
    <s v="Store Pickup"/>
    <s v="No"/>
    <s v="No"/>
    <n v="28"/>
    <x v="0"/>
    <s v="Every 3 Months"/>
    <n v="0"/>
    <x v="0"/>
  </r>
  <r>
    <n v="2555"/>
    <n v="51"/>
    <s v="Male"/>
    <s v="Jewelry"/>
    <x v="3"/>
    <n v="68"/>
    <x v="23"/>
    <s v="M"/>
    <s v="Gray"/>
    <x v="2"/>
    <n v="4.3"/>
    <s v="No"/>
    <s v="Bank Transfer"/>
    <s v="Store Pickup"/>
    <s v="No"/>
    <s v="No"/>
    <n v="49"/>
    <x v="5"/>
    <s v="Bi-Weekly"/>
    <n v="0"/>
    <x v="0"/>
  </r>
  <r>
    <n v="2556"/>
    <n v="24"/>
    <s v="Male"/>
    <s v="Pants"/>
    <x v="0"/>
    <n v="74"/>
    <x v="37"/>
    <s v="M"/>
    <s v="Gray"/>
    <x v="3"/>
    <n v="3.5"/>
    <s v="No"/>
    <s v="PayPal"/>
    <s v="Standard"/>
    <s v="No"/>
    <s v="No"/>
    <n v="23"/>
    <x v="2"/>
    <s v="Weekly"/>
    <n v="0"/>
    <x v="1"/>
  </r>
  <r>
    <n v="2557"/>
    <n v="24"/>
    <s v="Male"/>
    <s v="T-shirt"/>
    <x v="0"/>
    <n v="88"/>
    <x v="6"/>
    <s v="XL"/>
    <s v="Magenta"/>
    <x v="3"/>
    <n v="3.1"/>
    <s v="No"/>
    <s v="PayPal"/>
    <s v="Standard"/>
    <s v="No"/>
    <s v="No"/>
    <n v="4"/>
    <x v="4"/>
    <s v="Quarterly"/>
    <n v="0"/>
    <x v="1"/>
  </r>
  <r>
    <n v="2558"/>
    <n v="70"/>
    <s v="Male"/>
    <s v="Shorts"/>
    <x v="0"/>
    <n v="23"/>
    <x v="19"/>
    <s v="L"/>
    <s v="Cyan"/>
    <x v="1"/>
    <n v="3.9"/>
    <s v="No"/>
    <s v="Venmo"/>
    <s v="Standard"/>
    <s v="No"/>
    <s v="No"/>
    <n v="17"/>
    <x v="3"/>
    <s v="Fortnightly"/>
    <n v="0"/>
    <x v="0"/>
  </r>
  <r>
    <n v="2559"/>
    <n v="49"/>
    <s v="Male"/>
    <s v="Hoodie"/>
    <x v="0"/>
    <n v="32"/>
    <x v="18"/>
    <s v="M"/>
    <s v="Silver"/>
    <x v="3"/>
    <n v="2.7"/>
    <s v="No"/>
    <s v="Cash"/>
    <s v="Express"/>
    <s v="No"/>
    <s v="No"/>
    <n v="24"/>
    <x v="3"/>
    <s v="Fortnightly"/>
    <n v="0"/>
    <x v="0"/>
  </r>
  <r>
    <n v="2560"/>
    <n v="48"/>
    <s v="Male"/>
    <s v="Belt"/>
    <x v="3"/>
    <n v="71"/>
    <x v="16"/>
    <s v="S"/>
    <s v="Green"/>
    <x v="0"/>
    <n v="4"/>
    <s v="No"/>
    <s v="Venmo"/>
    <s v="Free Shipping"/>
    <s v="No"/>
    <s v="No"/>
    <n v="21"/>
    <x v="5"/>
    <s v="Every 3 Months"/>
    <n v="0"/>
    <x v="0"/>
  </r>
  <r>
    <n v="2561"/>
    <n v="58"/>
    <s v="Male"/>
    <s v="Boots"/>
    <x v="1"/>
    <n v="62"/>
    <x v="18"/>
    <s v="M"/>
    <s v="Violet"/>
    <x v="1"/>
    <n v="2.7"/>
    <s v="No"/>
    <s v="Debit Card"/>
    <s v="Next Day Air"/>
    <s v="No"/>
    <s v="No"/>
    <n v="17"/>
    <x v="5"/>
    <s v="Bi-Weekly"/>
    <n v="0"/>
    <x v="0"/>
  </r>
  <r>
    <n v="2562"/>
    <n v="32"/>
    <s v="Male"/>
    <s v="Hoodie"/>
    <x v="0"/>
    <n v="20"/>
    <x v="14"/>
    <s v="L"/>
    <s v="Magenta"/>
    <x v="1"/>
    <n v="2.7"/>
    <s v="No"/>
    <s v="Credit Card"/>
    <s v="Free Shipping"/>
    <s v="No"/>
    <s v="No"/>
    <n v="22"/>
    <x v="5"/>
    <s v="Quarterly"/>
    <n v="0"/>
    <x v="3"/>
  </r>
  <r>
    <n v="2563"/>
    <n v="57"/>
    <s v="Male"/>
    <s v="Shorts"/>
    <x v="0"/>
    <n v="62"/>
    <x v="28"/>
    <s v="XL"/>
    <s v="Yellow"/>
    <x v="1"/>
    <n v="4.7"/>
    <s v="No"/>
    <s v="Debit Card"/>
    <s v="Standard"/>
    <s v="No"/>
    <s v="No"/>
    <n v="27"/>
    <x v="1"/>
    <s v="Fortnightly"/>
    <n v="0"/>
    <x v="0"/>
  </r>
  <r>
    <n v="2564"/>
    <n v="69"/>
    <s v="Male"/>
    <s v="Backpack"/>
    <x v="3"/>
    <n v="81"/>
    <x v="2"/>
    <s v="XL"/>
    <s v="Gray"/>
    <x v="0"/>
    <n v="4.5"/>
    <s v="No"/>
    <s v="PayPal"/>
    <s v="Standard"/>
    <s v="No"/>
    <s v="No"/>
    <n v="1"/>
    <x v="0"/>
    <s v="Every 3 Months"/>
    <n v="0"/>
    <x v="0"/>
  </r>
  <r>
    <n v="2565"/>
    <n v="42"/>
    <s v="Male"/>
    <s v="Scarf"/>
    <x v="3"/>
    <n v="90"/>
    <x v="0"/>
    <s v="L"/>
    <s v="Indigo"/>
    <x v="0"/>
    <n v="3"/>
    <s v="No"/>
    <s v="Debit Card"/>
    <s v="2-Day Shipping"/>
    <s v="No"/>
    <s v="No"/>
    <n v="27"/>
    <x v="4"/>
    <s v="Weekly"/>
    <n v="0"/>
    <x v="2"/>
  </r>
  <r>
    <n v="2566"/>
    <n v="30"/>
    <s v="Male"/>
    <s v="Socks"/>
    <x v="0"/>
    <n v="43"/>
    <x v="34"/>
    <s v="S"/>
    <s v="Indigo"/>
    <x v="3"/>
    <n v="3.6"/>
    <s v="No"/>
    <s v="Debit Card"/>
    <s v="Store Pickup"/>
    <s v="No"/>
    <s v="No"/>
    <n v="8"/>
    <x v="0"/>
    <s v="Quarterly"/>
    <n v="0"/>
    <x v="3"/>
  </r>
  <r>
    <n v="2567"/>
    <n v="35"/>
    <s v="Male"/>
    <s v="Handbag"/>
    <x v="3"/>
    <n v="38"/>
    <x v="9"/>
    <s v="S"/>
    <s v="Yellow"/>
    <x v="3"/>
    <n v="3.3"/>
    <s v="No"/>
    <s v="Credit Card"/>
    <s v="Standard"/>
    <s v="No"/>
    <s v="No"/>
    <n v="43"/>
    <x v="3"/>
    <s v="Quarterly"/>
    <n v="0"/>
    <x v="3"/>
  </r>
  <r>
    <n v="2568"/>
    <n v="19"/>
    <s v="Male"/>
    <s v="Sunglasses"/>
    <x v="3"/>
    <n v="25"/>
    <x v="49"/>
    <s v="XL"/>
    <s v="Gold"/>
    <x v="1"/>
    <n v="4.3"/>
    <s v="No"/>
    <s v="Venmo"/>
    <s v="Store Pickup"/>
    <s v="No"/>
    <s v="No"/>
    <n v="24"/>
    <x v="1"/>
    <s v="Fortnightly"/>
    <n v="0"/>
    <x v="1"/>
  </r>
  <r>
    <n v="2569"/>
    <n v="52"/>
    <s v="Male"/>
    <s v="T-shirt"/>
    <x v="0"/>
    <n v="98"/>
    <x v="21"/>
    <s v="XL"/>
    <s v="Green"/>
    <x v="0"/>
    <n v="4.3"/>
    <s v="No"/>
    <s v="Cash"/>
    <s v="Express"/>
    <s v="No"/>
    <s v="No"/>
    <n v="29"/>
    <x v="3"/>
    <s v="Fortnightly"/>
    <n v="0"/>
    <x v="0"/>
  </r>
  <r>
    <n v="2570"/>
    <n v="42"/>
    <s v="Male"/>
    <s v="Dress"/>
    <x v="0"/>
    <n v="75"/>
    <x v="14"/>
    <s v="M"/>
    <s v="Charcoal"/>
    <x v="1"/>
    <n v="4.8"/>
    <s v="No"/>
    <s v="Debit Card"/>
    <s v="Free Shipping"/>
    <s v="No"/>
    <s v="No"/>
    <n v="10"/>
    <x v="4"/>
    <s v="Bi-Weekly"/>
    <n v="0"/>
    <x v="2"/>
  </r>
  <r>
    <n v="2571"/>
    <n v="36"/>
    <s v="Male"/>
    <s v="Sneakers"/>
    <x v="1"/>
    <n v="27"/>
    <x v="35"/>
    <s v="XL"/>
    <s v="Olive"/>
    <x v="1"/>
    <n v="4"/>
    <s v="No"/>
    <s v="Bank Transfer"/>
    <s v="Store Pickup"/>
    <s v="No"/>
    <s v="No"/>
    <n v="12"/>
    <x v="3"/>
    <s v="Fortnightly"/>
    <n v="0"/>
    <x v="2"/>
  </r>
  <r>
    <n v="2572"/>
    <n v="45"/>
    <s v="Male"/>
    <s v="Sunglasses"/>
    <x v="3"/>
    <n v="27"/>
    <x v="16"/>
    <s v="L"/>
    <s v="Black"/>
    <x v="0"/>
    <n v="3.5"/>
    <s v="No"/>
    <s v="Credit Card"/>
    <s v="Standard"/>
    <s v="No"/>
    <s v="No"/>
    <n v="48"/>
    <x v="1"/>
    <s v="Fortnightly"/>
    <n v="0"/>
    <x v="2"/>
  </r>
  <r>
    <n v="2573"/>
    <n v="54"/>
    <s v="Male"/>
    <s v="Blouse"/>
    <x v="0"/>
    <n v="42"/>
    <x v="47"/>
    <s v="M"/>
    <s v="Silver"/>
    <x v="3"/>
    <n v="3.9"/>
    <s v="No"/>
    <s v="Debit Card"/>
    <s v="Next Day Air"/>
    <s v="No"/>
    <s v="No"/>
    <n v="40"/>
    <x v="4"/>
    <s v="Quarterly"/>
    <n v="0"/>
    <x v="0"/>
  </r>
  <r>
    <n v="2574"/>
    <n v="54"/>
    <s v="Male"/>
    <s v="T-shirt"/>
    <x v="0"/>
    <n v="90"/>
    <x v="35"/>
    <s v="M"/>
    <s v="Red"/>
    <x v="2"/>
    <n v="4.4000000000000004"/>
    <s v="No"/>
    <s v="Bank Transfer"/>
    <s v="Store Pickup"/>
    <s v="No"/>
    <s v="No"/>
    <n v="1"/>
    <x v="4"/>
    <s v="Annually"/>
    <n v="0"/>
    <x v="0"/>
  </r>
  <r>
    <n v="2575"/>
    <n v="27"/>
    <s v="Male"/>
    <s v="Hat"/>
    <x v="3"/>
    <n v="63"/>
    <x v="20"/>
    <s v="M"/>
    <s v="Brown"/>
    <x v="2"/>
    <n v="4.5999999999999996"/>
    <s v="No"/>
    <s v="Credit Card"/>
    <s v="2-Day Shipping"/>
    <s v="No"/>
    <s v="No"/>
    <n v="26"/>
    <x v="2"/>
    <s v="Fortnightly"/>
    <n v="0"/>
    <x v="3"/>
  </r>
  <r>
    <n v="2576"/>
    <n v="53"/>
    <s v="Male"/>
    <s v="Shorts"/>
    <x v="0"/>
    <n v="96"/>
    <x v="46"/>
    <s v="M"/>
    <s v="Silver"/>
    <x v="3"/>
    <n v="4"/>
    <s v="No"/>
    <s v="Cash"/>
    <s v="Express"/>
    <s v="No"/>
    <s v="No"/>
    <n v="9"/>
    <x v="3"/>
    <s v="Annually"/>
    <n v="0"/>
    <x v="0"/>
  </r>
  <r>
    <n v="2577"/>
    <n v="20"/>
    <s v="Male"/>
    <s v="Hoodie"/>
    <x v="0"/>
    <n v="40"/>
    <x v="13"/>
    <s v="M"/>
    <s v="Silver"/>
    <x v="0"/>
    <n v="4.2"/>
    <s v="No"/>
    <s v="PayPal"/>
    <s v="Free Shipping"/>
    <s v="No"/>
    <s v="No"/>
    <n v="19"/>
    <x v="5"/>
    <s v="Quarterly"/>
    <n v="0"/>
    <x v="1"/>
  </r>
  <r>
    <n v="2578"/>
    <n v="52"/>
    <s v="Male"/>
    <s v="Socks"/>
    <x v="0"/>
    <n v="39"/>
    <x v="46"/>
    <s v="L"/>
    <s v="Black"/>
    <x v="3"/>
    <n v="4.5"/>
    <s v="No"/>
    <s v="Debit Card"/>
    <s v="Next Day Air"/>
    <s v="No"/>
    <s v="No"/>
    <n v="37"/>
    <x v="4"/>
    <s v="Monthly"/>
    <n v="0"/>
    <x v="0"/>
  </r>
  <r>
    <n v="2579"/>
    <n v="54"/>
    <s v="Male"/>
    <s v="Sunglasses"/>
    <x v="3"/>
    <n v="48"/>
    <x v="34"/>
    <s v="M"/>
    <s v="Purple"/>
    <x v="3"/>
    <n v="3.9"/>
    <s v="No"/>
    <s v="Bank Transfer"/>
    <s v="Free Shipping"/>
    <s v="No"/>
    <s v="No"/>
    <n v="3"/>
    <x v="1"/>
    <s v="Quarterly"/>
    <n v="0"/>
    <x v="0"/>
  </r>
  <r>
    <n v="2580"/>
    <n v="65"/>
    <s v="Male"/>
    <s v="Blouse"/>
    <x v="0"/>
    <n v="20"/>
    <x v="46"/>
    <s v="M"/>
    <s v="Purple"/>
    <x v="2"/>
    <n v="3.7"/>
    <s v="No"/>
    <s v="Venmo"/>
    <s v="Express"/>
    <s v="No"/>
    <s v="No"/>
    <n v="40"/>
    <x v="0"/>
    <s v="Weekly"/>
    <n v="0"/>
    <x v="0"/>
  </r>
  <r>
    <n v="2581"/>
    <n v="43"/>
    <s v="Male"/>
    <s v="Jeans"/>
    <x v="0"/>
    <n v="29"/>
    <x v="2"/>
    <s v="S"/>
    <s v="Turquoise"/>
    <x v="2"/>
    <n v="3.6"/>
    <s v="No"/>
    <s v="Cash"/>
    <s v="Store Pickup"/>
    <s v="No"/>
    <s v="No"/>
    <n v="13"/>
    <x v="4"/>
    <s v="Quarterly"/>
    <n v="0"/>
    <x v="2"/>
  </r>
  <r>
    <n v="2582"/>
    <n v="57"/>
    <s v="Male"/>
    <s v="Dress"/>
    <x v="0"/>
    <n v="81"/>
    <x v="5"/>
    <s v="M"/>
    <s v="Gold"/>
    <x v="0"/>
    <n v="4.7"/>
    <s v="No"/>
    <s v="Bank Transfer"/>
    <s v="Express"/>
    <s v="No"/>
    <s v="No"/>
    <n v="48"/>
    <x v="2"/>
    <s v="Monthly"/>
    <n v="0"/>
    <x v="0"/>
  </r>
  <r>
    <n v="2583"/>
    <n v="19"/>
    <s v="Male"/>
    <s v="Dress"/>
    <x v="0"/>
    <n v="98"/>
    <x v="45"/>
    <s v="S"/>
    <s v="Indigo"/>
    <x v="3"/>
    <n v="3.6"/>
    <s v="No"/>
    <s v="Venmo"/>
    <s v="2-Day Shipping"/>
    <s v="No"/>
    <s v="No"/>
    <n v="4"/>
    <x v="0"/>
    <s v="Every 3 Months"/>
    <n v="0"/>
    <x v="1"/>
  </r>
  <r>
    <n v="2584"/>
    <n v="69"/>
    <s v="Male"/>
    <s v="Jeans"/>
    <x v="0"/>
    <n v="93"/>
    <x v="19"/>
    <s v="M"/>
    <s v="Lavender"/>
    <x v="3"/>
    <n v="2.5"/>
    <s v="No"/>
    <s v="Bank Transfer"/>
    <s v="Next Day Air"/>
    <s v="No"/>
    <s v="No"/>
    <n v="9"/>
    <x v="1"/>
    <s v="Weekly"/>
    <n v="0"/>
    <x v="0"/>
  </r>
  <r>
    <n v="2585"/>
    <n v="26"/>
    <s v="Male"/>
    <s v="Socks"/>
    <x v="0"/>
    <n v="30"/>
    <x v="20"/>
    <s v="L"/>
    <s v="Blue"/>
    <x v="2"/>
    <n v="2.9"/>
    <s v="No"/>
    <s v="PayPal"/>
    <s v="Store Pickup"/>
    <s v="No"/>
    <s v="No"/>
    <n v="26"/>
    <x v="4"/>
    <s v="Bi-Weekly"/>
    <n v="0"/>
    <x v="3"/>
  </r>
  <r>
    <n v="2586"/>
    <n v="57"/>
    <s v="Male"/>
    <s v="Sunglasses"/>
    <x v="3"/>
    <n v="37"/>
    <x v="48"/>
    <s v="L"/>
    <s v="Maroon"/>
    <x v="3"/>
    <n v="4.4000000000000004"/>
    <s v="No"/>
    <s v="Venmo"/>
    <s v="Free Shipping"/>
    <s v="No"/>
    <s v="No"/>
    <n v="19"/>
    <x v="5"/>
    <s v="Weekly"/>
    <n v="0"/>
    <x v="0"/>
  </r>
  <r>
    <n v="2587"/>
    <n v="20"/>
    <s v="Male"/>
    <s v="Coat"/>
    <x v="2"/>
    <n v="28"/>
    <x v="1"/>
    <s v="L"/>
    <s v="Yellow"/>
    <x v="0"/>
    <n v="4.5999999999999996"/>
    <s v="No"/>
    <s v="Venmo"/>
    <s v="Express"/>
    <s v="No"/>
    <s v="No"/>
    <n v="1"/>
    <x v="2"/>
    <s v="Every 3 Months"/>
    <n v="0"/>
    <x v="1"/>
  </r>
  <r>
    <n v="2588"/>
    <n v="55"/>
    <s v="Male"/>
    <s v="Scarf"/>
    <x v="3"/>
    <n v="29"/>
    <x v="39"/>
    <s v="M"/>
    <s v="Purple"/>
    <x v="0"/>
    <n v="3.7"/>
    <s v="No"/>
    <s v="PayPal"/>
    <s v="Express"/>
    <s v="No"/>
    <s v="No"/>
    <n v="29"/>
    <x v="3"/>
    <s v="Every 3 Months"/>
    <n v="0"/>
    <x v="0"/>
  </r>
  <r>
    <n v="2589"/>
    <n v="44"/>
    <s v="Male"/>
    <s v="Backpack"/>
    <x v="3"/>
    <n v="49"/>
    <x v="12"/>
    <s v="M"/>
    <s v="Peach"/>
    <x v="2"/>
    <n v="3.2"/>
    <s v="No"/>
    <s v="Venmo"/>
    <s v="Free Shipping"/>
    <s v="No"/>
    <s v="No"/>
    <n v="38"/>
    <x v="0"/>
    <s v="Bi-Weekly"/>
    <n v="0"/>
    <x v="2"/>
  </r>
  <r>
    <n v="2590"/>
    <n v="52"/>
    <s v="Male"/>
    <s v="Pants"/>
    <x v="0"/>
    <n v="53"/>
    <x v="25"/>
    <s v="M"/>
    <s v="Silver"/>
    <x v="0"/>
    <n v="4.9000000000000004"/>
    <s v="No"/>
    <s v="Bank Transfer"/>
    <s v="2-Day Shipping"/>
    <s v="No"/>
    <s v="No"/>
    <n v="31"/>
    <x v="3"/>
    <s v="Annually"/>
    <n v="0"/>
    <x v="0"/>
  </r>
  <r>
    <n v="2591"/>
    <n v="57"/>
    <s v="Male"/>
    <s v="Gloves"/>
    <x v="3"/>
    <n v="66"/>
    <x v="18"/>
    <s v="M"/>
    <s v="Turquoise"/>
    <x v="2"/>
    <n v="5"/>
    <s v="No"/>
    <s v="PayPal"/>
    <s v="Free Shipping"/>
    <s v="No"/>
    <s v="No"/>
    <n v="35"/>
    <x v="0"/>
    <s v="Annually"/>
    <n v="0"/>
    <x v="0"/>
  </r>
  <r>
    <n v="2592"/>
    <n v="40"/>
    <s v="Male"/>
    <s v="Jacket"/>
    <x v="2"/>
    <n v="61"/>
    <x v="35"/>
    <s v="S"/>
    <s v="Olive"/>
    <x v="1"/>
    <n v="3.3"/>
    <s v="No"/>
    <s v="Debit Card"/>
    <s v="Express"/>
    <s v="No"/>
    <s v="No"/>
    <n v="40"/>
    <x v="1"/>
    <s v="Quarterly"/>
    <n v="0"/>
    <x v="2"/>
  </r>
  <r>
    <n v="2593"/>
    <n v="23"/>
    <s v="Male"/>
    <s v="Shorts"/>
    <x v="0"/>
    <n v="23"/>
    <x v="44"/>
    <s v="XL"/>
    <s v="Peach"/>
    <x v="2"/>
    <n v="4.4000000000000004"/>
    <s v="No"/>
    <s v="Cash"/>
    <s v="Store Pickup"/>
    <s v="No"/>
    <s v="No"/>
    <n v="13"/>
    <x v="0"/>
    <s v="Quarterly"/>
    <n v="0"/>
    <x v="1"/>
  </r>
  <r>
    <n v="2594"/>
    <n v="36"/>
    <s v="Male"/>
    <s v="Pants"/>
    <x v="0"/>
    <n v="36"/>
    <x v="24"/>
    <s v="S"/>
    <s v="Indigo"/>
    <x v="3"/>
    <n v="4.7"/>
    <s v="No"/>
    <s v="Debit Card"/>
    <s v="Store Pickup"/>
    <s v="No"/>
    <s v="No"/>
    <n v="9"/>
    <x v="4"/>
    <s v="Every 3 Months"/>
    <n v="0"/>
    <x v="2"/>
  </r>
  <r>
    <n v="2595"/>
    <n v="59"/>
    <s v="Male"/>
    <s v="Skirt"/>
    <x v="0"/>
    <n v="81"/>
    <x v="6"/>
    <s v="L"/>
    <s v="Indigo"/>
    <x v="3"/>
    <n v="3.6"/>
    <s v="No"/>
    <s v="Credit Card"/>
    <s v="Free Shipping"/>
    <s v="No"/>
    <s v="No"/>
    <n v="25"/>
    <x v="1"/>
    <s v="Every 3 Months"/>
    <n v="0"/>
    <x v="0"/>
  </r>
  <r>
    <n v="2596"/>
    <n v="29"/>
    <s v="Male"/>
    <s v="Blouse"/>
    <x v="0"/>
    <n v="56"/>
    <x v="44"/>
    <s v="XL"/>
    <s v="Maroon"/>
    <x v="2"/>
    <n v="3.2"/>
    <s v="No"/>
    <s v="Credit Card"/>
    <s v="Free Shipping"/>
    <s v="No"/>
    <s v="No"/>
    <n v="3"/>
    <x v="4"/>
    <s v="Bi-Weekly"/>
    <n v="0"/>
    <x v="3"/>
  </r>
  <r>
    <n v="2597"/>
    <n v="63"/>
    <s v="Male"/>
    <s v="Shirt"/>
    <x v="0"/>
    <n v="78"/>
    <x v="7"/>
    <s v="L"/>
    <s v="Black"/>
    <x v="1"/>
    <n v="3"/>
    <s v="No"/>
    <s v="Venmo"/>
    <s v="Next Day Air"/>
    <s v="No"/>
    <s v="No"/>
    <n v="35"/>
    <x v="2"/>
    <s v="Monthly"/>
    <n v="0"/>
    <x v="0"/>
  </r>
  <r>
    <n v="2598"/>
    <n v="60"/>
    <s v="Male"/>
    <s v="Jewelry"/>
    <x v="3"/>
    <n v="25"/>
    <x v="15"/>
    <s v="XL"/>
    <s v="Teal"/>
    <x v="2"/>
    <n v="4.4000000000000004"/>
    <s v="No"/>
    <s v="Bank Transfer"/>
    <s v="Store Pickup"/>
    <s v="No"/>
    <s v="No"/>
    <n v="13"/>
    <x v="0"/>
    <s v="Bi-Weekly"/>
    <n v="0"/>
    <x v="0"/>
  </r>
  <r>
    <n v="2599"/>
    <n v="64"/>
    <s v="Male"/>
    <s v="Backpack"/>
    <x v="3"/>
    <n v="86"/>
    <x v="22"/>
    <s v="XL"/>
    <s v="Olive"/>
    <x v="3"/>
    <n v="3.3"/>
    <s v="No"/>
    <s v="Credit Card"/>
    <s v="Express"/>
    <s v="No"/>
    <s v="No"/>
    <n v="31"/>
    <x v="5"/>
    <s v="Annually"/>
    <n v="0"/>
    <x v="0"/>
  </r>
  <r>
    <n v="2600"/>
    <n v="63"/>
    <s v="Male"/>
    <s v="Jewelry"/>
    <x v="3"/>
    <n v="99"/>
    <x v="34"/>
    <s v="M"/>
    <s v="Gold"/>
    <x v="0"/>
    <n v="3.4"/>
    <s v="No"/>
    <s v="Credit Card"/>
    <s v="Express"/>
    <s v="No"/>
    <s v="No"/>
    <n v="48"/>
    <x v="2"/>
    <s v="Monthly"/>
    <n v="0"/>
    <x v="0"/>
  </r>
  <r>
    <n v="2601"/>
    <n v="21"/>
    <s v="Male"/>
    <s v="Belt"/>
    <x v="3"/>
    <n v="83"/>
    <x v="14"/>
    <s v="M"/>
    <s v="Gray"/>
    <x v="3"/>
    <n v="3.9"/>
    <s v="No"/>
    <s v="Debit Card"/>
    <s v="Express"/>
    <s v="No"/>
    <s v="No"/>
    <n v="6"/>
    <x v="4"/>
    <s v="Bi-Weekly"/>
    <n v="0"/>
    <x v="1"/>
  </r>
  <r>
    <n v="2602"/>
    <n v="61"/>
    <s v="Male"/>
    <s v="Dress"/>
    <x v="0"/>
    <n v="33"/>
    <x v="16"/>
    <s v="L"/>
    <s v="Orange"/>
    <x v="0"/>
    <n v="2.9"/>
    <s v="No"/>
    <s v="PayPal"/>
    <s v="Store Pickup"/>
    <s v="No"/>
    <s v="No"/>
    <n v="43"/>
    <x v="1"/>
    <s v="Monthly"/>
    <n v="0"/>
    <x v="0"/>
  </r>
  <r>
    <n v="2603"/>
    <n v="65"/>
    <s v="Male"/>
    <s v="Coat"/>
    <x v="2"/>
    <n v="44"/>
    <x v="36"/>
    <s v="M"/>
    <s v="Black"/>
    <x v="3"/>
    <n v="2.9"/>
    <s v="No"/>
    <s v="Venmo"/>
    <s v="Free Shipping"/>
    <s v="No"/>
    <s v="No"/>
    <n v="1"/>
    <x v="0"/>
    <s v="Quarterly"/>
    <n v="0"/>
    <x v="0"/>
  </r>
  <r>
    <n v="2604"/>
    <n v="69"/>
    <s v="Male"/>
    <s v="Dress"/>
    <x v="0"/>
    <n v="58"/>
    <x v="47"/>
    <s v="M"/>
    <s v="Teal"/>
    <x v="1"/>
    <n v="2.7"/>
    <s v="No"/>
    <s v="Debit Card"/>
    <s v="2-Day Shipping"/>
    <s v="No"/>
    <s v="No"/>
    <n v="8"/>
    <x v="1"/>
    <s v="Annually"/>
    <n v="0"/>
    <x v="0"/>
  </r>
  <r>
    <n v="2605"/>
    <n v="47"/>
    <s v="Male"/>
    <s v="Sweater"/>
    <x v="0"/>
    <n v="54"/>
    <x v="24"/>
    <s v="M"/>
    <s v="Beige"/>
    <x v="1"/>
    <n v="3.4"/>
    <s v="No"/>
    <s v="Credit Card"/>
    <s v="Store Pickup"/>
    <s v="No"/>
    <s v="No"/>
    <n v="6"/>
    <x v="5"/>
    <s v="Weekly"/>
    <n v="0"/>
    <x v="0"/>
  </r>
  <r>
    <n v="2606"/>
    <n v="41"/>
    <s v="Male"/>
    <s v="Hoodie"/>
    <x v="0"/>
    <n v="93"/>
    <x v="22"/>
    <s v="M"/>
    <s v="White"/>
    <x v="1"/>
    <n v="3.7"/>
    <s v="No"/>
    <s v="Debit Card"/>
    <s v="2-Day Shipping"/>
    <s v="No"/>
    <s v="No"/>
    <n v="32"/>
    <x v="0"/>
    <s v="Fortnightly"/>
    <n v="0"/>
    <x v="2"/>
  </r>
  <r>
    <n v="2607"/>
    <n v="68"/>
    <s v="Male"/>
    <s v="Shoes"/>
    <x v="1"/>
    <n v="98"/>
    <x v="22"/>
    <s v="L"/>
    <s v="Turquoise"/>
    <x v="1"/>
    <n v="4.7"/>
    <s v="No"/>
    <s v="Bank Transfer"/>
    <s v="Standard"/>
    <s v="No"/>
    <s v="No"/>
    <n v="46"/>
    <x v="4"/>
    <s v="Bi-Weekly"/>
    <n v="0"/>
    <x v="0"/>
  </r>
  <r>
    <n v="2608"/>
    <n v="41"/>
    <s v="Male"/>
    <s v="Shoes"/>
    <x v="1"/>
    <n v="36"/>
    <x v="19"/>
    <s v="XL"/>
    <s v="Teal"/>
    <x v="1"/>
    <n v="3.1"/>
    <s v="No"/>
    <s v="Bank Transfer"/>
    <s v="Express"/>
    <s v="No"/>
    <s v="No"/>
    <n v="38"/>
    <x v="3"/>
    <s v="Every 3 Months"/>
    <n v="0"/>
    <x v="2"/>
  </r>
  <r>
    <n v="2609"/>
    <n v="42"/>
    <s v="Male"/>
    <s v="Jacket"/>
    <x v="2"/>
    <n v="68"/>
    <x v="16"/>
    <s v="L"/>
    <s v="Orange"/>
    <x v="3"/>
    <n v="4.2"/>
    <s v="No"/>
    <s v="PayPal"/>
    <s v="2-Day Shipping"/>
    <s v="No"/>
    <s v="No"/>
    <n v="48"/>
    <x v="2"/>
    <s v="Fortnightly"/>
    <n v="0"/>
    <x v="2"/>
  </r>
  <r>
    <n v="2610"/>
    <n v="66"/>
    <s v="Male"/>
    <s v="Backpack"/>
    <x v="3"/>
    <n v="95"/>
    <x v="10"/>
    <s v="M"/>
    <s v="Black"/>
    <x v="2"/>
    <n v="3"/>
    <s v="No"/>
    <s v="Credit Card"/>
    <s v="Store Pickup"/>
    <s v="No"/>
    <s v="No"/>
    <n v="18"/>
    <x v="5"/>
    <s v="Bi-Weekly"/>
    <n v="0"/>
    <x v="0"/>
  </r>
  <r>
    <n v="2611"/>
    <n v="66"/>
    <s v="Male"/>
    <s v="Jeans"/>
    <x v="0"/>
    <n v="93"/>
    <x v="8"/>
    <s v="M"/>
    <s v="Violet"/>
    <x v="1"/>
    <n v="3.1"/>
    <s v="No"/>
    <s v="Bank Transfer"/>
    <s v="Express"/>
    <s v="No"/>
    <s v="No"/>
    <n v="25"/>
    <x v="1"/>
    <s v="Quarterly"/>
    <n v="0"/>
    <x v="0"/>
  </r>
  <r>
    <n v="2612"/>
    <n v="33"/>
    <s v="Male"/>
    <s v="Jacket"/>
    <x v="2"/>
    <n v="99"/>
    <x v="49"/>
    <s v="L"/>
    <s v="Maroon"/>
    <x v="3"/>
    <n v="4.2"/>
    <s v="No"/>
    <s v="Cash"/>
    <s v="2-Day Shipping"/>
    <s v="No"/>
    <s v="No"/>
    <n v="4"/>
    <x v="1"/>
    <s v="Fortnightly"/>
    <n v="0"/>
    <x v="3"/>
  </r>
  <r>
    <n v="2613"/>
    <n v="55"/>
    <s v="Male"/>
    <s v="Sunglasses"/>
    <x v="3"/>
    <n v="22"/>
    <x v="7"/>
    <s v="M"/>
    <s v="Turquoise"/>
    <x v="0"/>
    <n v="3.8"/>
    <s v="No"/>
    <s v="Cash"/>
    <s v="Next Day Air"/>
    <s v="No"/>
    <s v="No"/>
    <n v="27"/>
    <x v="0"/>
    <s v="Quarterly"/>
    <n v="0"/>
    <x v="0"/>
  </r>
  <r>
    <n v="2614"/>
    <n v="58"/>
    <s v="Male"/>
    <s v="Gloves"/>
    <x v="3"/>
    <n v="88"/>
    <x v="45"/>
    <s v="M"/>
    <s v="Gold"/>
    <x v="3"/>
    <n v="2.9"/>
    <s v="No"/>
    <s v="Cash"/>
    <s v="Express"/>
    <s v="No"/>
    <s v="No"/>
    <n v="14"/>
    <x v="4"/>
    <s v="Monthly"/>
    <n v="0"/>
    <x v="0"/>
  </r>
  <r>
    <n v="2615"/>
    <n v="18"/>
    <s v="Male"/>
    <s v="Jacket"/>
    <x v="2"/>
    <n v="65"/>
    <x v="25"/>
    <s v="M"/>
    <s v="Turquoise"/>
    <x v="1"/>
    <n v="4.2"/>
    <s v="No"/>
    <s v="Credit Card"/>
    <s v="Express"/>
    <s v="No"/>
    <s v="No"/>
    <n v="36"/>
    <x v="4"/>
    <s v="Fortnightly"/>
    <n v="0"/>
    <x v="1"/>
  </r>
  <r>
    <n v="2616"/>
    <n v="49"/>
    <s v="Male"/>
    <s v="T-shirt"/>
    <x v="0"/>
    <n v="62"/>
    <x v="28"/>
    <s v="M"/>
    <s v="Maroon"/>
    <x v="3"/>
    <n v="3.1"/>
    <s v="No"/>
    <s v="Venmo"/>
    <s v="2-Day Shipping"/>
    <s v="No"/>
    <s v="No"/>
    <n v="6"/>
    <x v="5"/>
    <s v="Quarterly"/>
    <n v="0"/>
    <x v="0"/>
  </r>
  <r>
    <n v="2617"/>
    <n v="61"/>
    <s v="Male"/>
    <s v="Sandals"/>
    <x v="1"/>
    <n v="55"/>
    <x v="42"/>
    <s v="XL"/>
    <s v="Purple"/>
    <x v="1"/>
    <n v="3.6"/>
    <s v="No"/>
    <s v="Bank Transfer"/>
    <s v="Express"/>
    <s v="No"/>
    <s v="No"/>
    <n v="46"/>
    <x v="1"/>
    <s v="Annually"/>
    <n v="0"/>
    <x v="0"/>
  </r>
  <r>
    <n v="2618"/>
    <n v="31"/>
    <s v="Male"/>
    <s v="Shorts"/>
    <x v="0"/>
    <n v="97"/>
    <x v="37"/>
    <s v="S"/>
    <s v="Maroon"/>
    <x v="1"/>
    <n v="4.8"/>
    <s v="No"/>
    <s v="Bank Transfer"/>
    <s v="Standard"/>
    <s v="No"/>
    <s v="No"/>
    <n v="29"/>
    <x v="4"/>
    <s v="Annually"/>
    <n v="0"/>
    <x v="3"/>
  </r>
  <r>
    <n v="2619"/>
    <n v="70"/>
    <s v="Male"/>
    <s v="Handbag"/>
    <x v="3"/>
    <n v="77"/>
    <x v="7"/>
    <s v="L"/>
    <s v="Brown"/>
    <x v="3"/>
    <n v="4.0999999999999996"/>
    <s v="No"/>
    <s v="Credit Card"/>
    <s v="Express"/>
    <s v="No"/>
    <s v="No"/>
    <n v="12"/>
    <x v="0"/>
    <s v="Monthly"/>
    <n v="0"/>
    <x v="0"/>
  </r>
  <r>
    <n v="2620"/>
    <n v="68"/>
    <s v="Male"/>
    <s v="Pants"/>
    <x v="0"/>
    <n v="40"/>
    <x v="39"/>
    <s v="L"/>
    <s v="Indigo"/>
    <x v="0"/>
    <n v="3.9"/>
    <s v="No"/>
    <s v="Credit Card"/>
    <s v="Free Shipping"/>
    <s v="No"/>
    <s v="No"/>
    <n v="47"/>
    <x v="2"/>
    <s v="Weekly"/>
    <n v="0"/>
    <x v="0"/>
  </r>
  <r>
    <n v="2621"/>
    <n v="27"/>
    <s v="Male"/>
    <s v="Blouse"/>
    <x v="0"/>
    <n v="23"/>
    <x v="31"/>
    <s v="S"/>
    <s v="Lavender"/>
    <x v="0"/>
    <n v="3"/>
    <s v="No"/>
    <s v="Venmo"/>
    <s v="Standard"/>
    <s v="No"/>
    <s v="No"/>
    <n v="28"/>
    <x v="5"/>
    <s v="Annually"/>
    <n v="0"/>
    <x v="3"/>
  </r>
  <r>
    <n v="2622"/>
    <n v="48"/>
    <s v="Male"/>
    <s v="Shoes"/>
    <x v="1"/>
    <n v="46"/>
    <x v="1"/>
    <s v="M"/>
    <s v="Beige"/>
    <x v="0"/>
    <n v="3"/>
    <s v="No"/>
    <s v="PayPal"/>
    <s v="Express"/>
    <s v="No"/>
    <s v="No"/>
    <n v="21"/>
    <x v="4"/>
    <s v="Annually"/>
    <n v="0"/>
    <x v="0"/>
  </r>
  <r>
    <n v="2623"/>
    <n v="63"/>
    <s v="Male"/>
    <s v="Backpack"/>
    <x v="3"/>
    <n v="75"/>
    <x v="13"/>
    <s v="M"/>
    <s v="Yellow"/>
    <x v="1"/>
    <n v="4.9000000000000004"/>
    <s v="No"/>
    <s v="Venmo"/>
    <s v="2-Day Shipping"/>
    <s v="No"/>
    <s v="No"/>
    <n v="15"/>
    <x v="2"/>
    <s v="Annually"/>
    <n v="0"/>
    <x v="0"/>
  </r>
  <r>
    <n v="2624"/>
    <n v="49"/>
    <s v="Male"/>
    <s v="Shoes"/>
    <x v="1"/>
    <n v="76"/>
    <x v="2"/>
    <s v="M"/>
    <s v="Gold"/>
    <x v="3"/>
    <n v="4.8"/>
    <s v="No"/>
    <s v="Cash"/>
    <s v="Next Day Air"/>
    <s v="No"/>
    <s v="No"/>
    <n v="38"/>
    <x v="1"/>
    <s v="Annually"/>
    <n v="0"/>
    <x v="0"/>
  </r>
  <r>
    <n v="2625"/>
    <n v="19"/>
    <s v="Male"/>
    <s v="Dress"/>
    <x v="0"/>
    <n v="59"/>
    <x v="45"/>
    <s v="M"/>
    <s v="Indigo"/>
    <x v="2"/>
    <n v="3.3"/>
    <s v="No"/>
    <s v="Debit Card"/>
    <s v="Standard"/>
    <s v="No"/>
    <s v="No"/>
    <n v="19"/>
    <x v="2"/>
    <s v="Annually"/>
    <n v="0"/>
    <x v="1"/>
  </r>
  <r>
    <n v="2626"/>
    <n v="30"/>
    <s v="Male"/>
    <s v="Skirt"/>
    <x v="0"/>
    <n v="51"/>
    <x v="24"/>
    <s v="L"/>
    <s v="Cyan"/>
    <x v="2"/>
    <n v="2.7"/>
    <s v="No"/>
    <s v="Bank Transfer"/>
    <s v="Standard"/>
    <s v="No"/>
    <s v="No"/>
    <n v="31"/>
    <x v="2"/>
    <s v="Weekly"/>
    <n v="0"/>
    <x v="3"/>
  </r>
  <r>
    <n v="2627"/>
    <n v="50"/>
    <s v="Male"/>
    <s v="Jacket"/>
    <x v="2"/>
    <n v="46"/>
    <x v="3"/>
    <s v="XL"/>
    <s v="Silver"/>
    <x v="3"/>
    <n v="4.2"/>
    <s v="No"/>
    <s v="Bank Transfer"/>
    <s v="Express"/>
    <s v="No"/>
    <s v="No"/>
    <n v="30"/>
    <x v="2"/>
    <s v="Every 3 Months"/>
    <n v="0"/>
    <x v="0"/>
  </r>
  <r>
    <n v="2628"/>
    <n v="66"/>
    <s v="Male"/>
    <s v="Shirt"/>
    <x v="0"/>
    <n v="26"/>
    <x v="9"/>
    <s v="L"/>
    <s v="Silver"/>
    <x v="3"/>
    <n v="3.6"/>
    <s v="No"/>
    <s v="PayPal"/>
    <s v="Next Day Air"/>
    <s v="No"/>
    <s v="No"/>
    <n v="40"/>
    <x v="4"/>
    <s v="Quarterly"/>
    <n v="0"/>
    <x v="0"/>
  </r>
  <r>
    <n v="2629"/>
    <n v="25"/>
    <s v="Male"/>
    <s v="Hoodie"/>
    <x v="0"/>
    <n v="51"/>
    <x v="5"/>
    <s v="M"/>
    <s v="Silver"/>
    <x v="2"/>
    <n v="3.8"/>
    <s v="No"/>
    <s v="Venmo"/>
    <s v="Next Day Air"/>
    <s v="No"/>
    <s v="No"/>
    <n v="42"/>
    <x v="2"/>
    <s v="Bi-Weekly"/>
    <n v="0"/>
    <x v="1"/>
  </r>
  <r>
    <n v="2630"/>
    <n v="61"/>
    <s v="Male"/>
    <s v="Scarf"/>
    <x v="3"/>
    <n v="44"/>
    <x v="13"/>
    <s v="M"/>
    <s v="Peach"/>
    <x v="0"/>
    <n v="3.8"/>
    <s v="No"/>
    <s v="Venmo"/>
    <s v="Free Shipping"/>
    <s v="No"/>
    <s v="No"/>
    <n v="25"/>
    <x v="0"/>
    <s v="Annually"/>
    <n v="0"/>
    <x v="0"/>
  </r>
  <r>
    <n v="2631"/>
    <n v="29"/>
    <s v="Male"/>
    <s v="Skirt"/>
    <x v="0"/>
    <n v="82"/>
    <x v="1"/>
    <s v="S"/>
    <s v="Pink"/>
    <x v="1"/>
    <n v="4.2"/>
    <s v="No"/>
    <s v="Bank Transfer"/>
    <s v="Free Shipping"/>
    <s v="No"/>
    <s v="No"/>
    <n v="20"/>
    <x v="1"/>
    <s v="Quarterly"/>
    <n v="0"/>
    <x v="3"/>
  </r>
  <r>
    <n v="2632"/>
    <n v="53"/>
    <s v="Male"/>
    <s v="Skirt"/>
    <x v="0"/>
    <n v="44"/>
    <x v="39"/>
    <s v="S"/>
    <s v="Violet"/>
    <x v="2"/>
    <n v="2.7"/>
    <s v="No"/>
    <s v="PayPal"/>
    <s v="Express"/>
    <s v="No"/>
    <s v="No"/>
    <n v="3"/>
    <x v="1"/>
    <s v="Weekly"/>
    <n v="0"/>
    <x v="0"/>
  </r>
  <r>
    <n v="2633"/>
    <n v="24"/>
    <s v="Male"/>
    <s v="Scarf"/>
    <x v="3"/>
    <n v="27"/>
    <x v="29"/>
    <s v="M"/>
    <s v="Black"/>
    <x v="3"/>
    <n v="5"/>
    <s v="No"/>
    <s v="Venmo"/>
    <s v="Next Day Air"/>
    <s v="No"/>
    <s v="No"/>
    <n v="14"/>
    <x v="1"/>
    <s v="Annually"/>
    <n v="0"/>
    <x v="1"/>
  </r>
  <r>
    <n v="2634"/>
    <n v="51"/>
    <s v="Male"/>
    <s v="Sunglasses"/>
    <x v="3"/>
    <n v="90"/>
    <x v="29"/>
    <s v="M"/>
    <s v="Purple"/>
    <x v="3"/>
    <n v="4.7"/>
    <s v="No"/>
    <s v="PayPal"/>
    <s v="Next Day Air"/>
    <s v="No"/>
    <s v="No"/>
    <n v="32"/>
    <x v="2"/>
    <s v="Fortnightly"/>
    <n v="0"/>
    <x v="0"/>
  </r>
  <r>
    <n v="2635"/>
    <n v="26"/>
    <s v="Male"/>
    <s v="Sandals"/>
    <x v="1"/>
    <n v="58"/>
    <x v="17"/>
    <s v="S"/>
    <s v="Black"/>
    <x v="2"/>
    <n v="3.2"/>
    <s v="No"/>
    <s v="Cash"/>
    <s v="Store Pickup"/>
    <s v="No"/>
    <s v="No"/>
    <n v="20"/>
    <x v="3"/>
    <s v="Every 3 Months"/>
    <n v="0"/>
    <x v="3"/>
  </r>
  <r>
    <n v="2636"/>
    <n v="59"/>
    <s v="Male"/>
    <s v="Hoodie"/>
    <x v="0"/>
    <n v="80"/>
    <x v="24"/>
    <s v="XL"/>
    <s v="Peach"/>
    <x v="1"/>
    <n v="2.9"/>
    <s v="No"/>
    <s v="PayPal"/>
    <s v="2-Day Shipping"/>
    <s v="No"/>
    <s v="No"/>
    <n v="34"/>
    <x v="3"/>
    <s v="Fortnightly"/>
    <n v="0"/>
    <x v="0"/>
  </r>
  <r>
    <n v="2637"/>
    <n v="41"/>
    <s v="Male"/>
    <s v="Jacket"/>
    <x v="2"/>
    <n v="40"/>
    <x v="40"/>
    <s v="S"/>
    <s v="Magenta"/>
    <x v="0"/>
    <n v="4.2"/>
    <s v="No"/>
    <s v="PayPal"/>
    <s v="Store Pickup"/>
    <s v="No"/>
    <s v="No"/>
    <n v="6"/>
    <x v="0"/>
    <s v="Annually"/>
    <n v="0"/>
    <x v="2"/>
  </r>
  <r>
    <n v="2638"/>
    <n v="20"/>
    <s v="Male"/>
    <s v="Pants"/>
    <x v="0"/>
    <n v="23"/>
    <x v="15"/>
    <s v="M"/>
    <s v="Magenta"/>
    <x v="1"/>
    <n v="3.7"/>
    <s v="No"/>
    <s v="Credit Card"/>
    <s v="Store Pickup"/>
    <s v="No"/>
    <s v="No"/>
    <n v="2"/>
    <x v="3"/>
    <s v="Annually"/>
    <n v="0"/>
    <x v="1"/>
  </r>
  <r>
    <n v="2639"/>
    <n v="22"/>
    <s v="Male"/>
    <s v="Shirt"/>
    <x v="0"/>
    <n v="34"/>
    <x v="11"/>
    <s v="S"/>
    <s v="Black"/>
    <x v="1"/>
    <n v="4.2"/>
    <s v="No"/>
    <s v="PayPal"/>
    <s v="Store Pickup"/>
    <s v="No"/>
    <s v="No"/>
    <n v="35"/>
    <x v="2"/>
    <s v="Annually"/>
    <n v="0"/>
    <x v="1"/>
  </r>
  <r>
    <n v="2640"/>
    <n v="18"/>
    <s v="Male"/>
    <s v="Blouse"/>
    <x v="0"/>
    <n v="35"/>
    <x v="13"/>
    <s v="XL"/>
    <s v="Pink"/>
    <x v="0"/>
    <n v="2.6"/>
    <s v="No"/>
    <s v="Debit Card"/>
    <s v="Free Shipping"/>
    <s v="No"/>
    <s v="No"/>
    <n v="33"/>
    <x v="5"/>
    <s v="Quarterly"/>
    <n v="0"/>
    <x v="1"/>
  </r>
  <r>
    <n v="2641"/>
    <n v="30"/>
    <s v="Male"/>
    <s v="Skirt"/>
    <x v="0"/>
    <n v="75"/>
    <x v="27"/>
    <s v="L"/>
    <s v="Olive"/>
    <x v="2"/>
    <n v="4"/>
    <s v="No"/>
    <s v="Debit Card"/>
    <s v="Store Pickup"/>
    <s v="No"/>
    <s v="No"/>
    <n v="45"/>
    <x v="0"/>
    <s v="Bi-Weekly"/>
    <n v="0"/>
    <x v="3"/>
  </r>
  <r>
    <n v="2642"/>
    <n v="25"/>
    <s v="Male"/>
    <s v="Sunglasses"/>
    <x v="3"/>
    <n v="60"/>
    <x v="34"/>
    <s v="XL"/>
    <s v="Olive"/>
    <x v="0"/>
    <n v="2.7"/>
    <s v="No"/>
    <s v="Debit Card"/>
    <s v="Next Day Air"/>
    <s v="No"/>
    <s v="No"/>
    <n v="20"/>
    <x v="4"/>
    <s v="Every 3 Months"/>
    <n v="0"/>
    <x v="1"/>
  </r>
  <r>
    <n v="2643"/>
    <n v="39"/>
    <s v="Male"/>
    <s v="Belt"/>
    <x v="3"/>
    <n v="87"/>
    <x v="44"/>
    <s v="L"/>
    <s v="Peach"/>
    <x v="2"/>
    <n v="4"/>
    <s v="No"/>
    <s v="Debit Card"/>
    <s v="Store Pickup"/>
    <s v="No"/>
    <s v="No"/>
    <n v="48"/>
    <x v="4"/>
    <s v="Annually"/>
    <n v="0"/>
    <x v="2"/>
  </r>
  <r>
    <n v="2644"/>
    <n v="49"/>
    <s v="Male"/>
    <s v="Gloves"/>
    <x v="3"/>
    <n v="41"/>
    <x v="33"/>
    <s v="S"/>
    <s v="Silver"/>
    <x v="1"/>
    <n v="2.9"/>
    <s v="No"/>
    <s v="Credit Card"/>
    <s v="Next Day Air"/>
    <s v="No"/>
    <s v="No"/>
    <n v="37"/>
    <x v="1"/>
    <s v="Monthly"/>
    <n v="0"/>
    <x v="0"/>
  </r>
  <r>
    <n v="2645"/>
    <n v="25"/>
    <s v="Male"/>
    <s v="Pants"/>
    <x v="0"/>
    <n v="83"/>
    <x v="35"/>
    <s v="M"/>
    <s v="Turquoise"/>
    <x v="1"/>
    <n v="3.3"/>
    <s v="No"/>
    <s v="PayPal"/>
    <s v="Standard"/>
    <s v="No"/>
    <s v="No"/>
    <n v="4"/>
    <x v="4"/>
    <s v="Every 3 Months"/>
    <n v="0"/>
    <x v="1"/>
  </r>
  <r>
    <n v="2646"/>
    <n v="23"/>
    <s v="Male"/>
    <s v="Scarf"/>
    <x v="3"/>
    <n v="81"/>
    <x v="7"/>
    <s v="L"/>
    <s v="Olive"/>
    <x v="1"/>
    <n v="4"/>
    <s v="No"/>
    <s v="Bank Transfer"/>
    <s v="Store Pickup"/>
    <s v="No"/>
    <s v="No"/>
    <n v="24"/>
    <x v="4"/>
    <s v="Bi-Weekly"/>
    <n v="0"/>
    <x v="1"/>
  </r>
  <r>
    <n v="2647"/>
    <n v="33"/>
    <s v="Male"/>
    <s v="T-shirt"/>
    <x v="0"/>
    <n v="56"/>
    <x v="35"/>
    <s v="S"/>
    <s v="Lavender"/>
    <x v="2"/>
    <n v="3.9"/>
    <s v="No"/>
    <s v="Cash"/>
    <s v="Next Day Air"/>
    <s v="No"/>
    <s v="No"/>
    <n v="4"/>
    <x v="5"/>
    <s v="Every 3 Months"/>
    <n v="0"/>
    <x v="3"/>
  </r>
  <r>
    <n v="2648"/>
    <n v="60"/>
    <s v="Male"/>
    <s v="Shoes"/>
    <x v="1"/>
    <n v="58"/>
    <x v="36"/>
    <s v="M"/>
    <s v="Red"/>
    <x v="2"/>
    <n v="3.3"/>
    <s v="No"/>
    <s v="Debit Card"/>
    <s v="2-Day Shipping"/>
    <s v="No"/>
    <s v="No"/>
    <n v="25"/>
    <x v="5"/>
    <s v="Annually"/>
    <n v="0"/>
    <x v="0"/>
  </r>
  <r>
    <n v="2649"/>
    <n v="51"/>
    <s v="Male"/>
    <s v="Pants"/>
    <x v="0"/>
    <n v="84"/>
    <x v="26"/>
    <s v="M"/>
    <s v="Gray"/>
    <x v="1"/>
    <n v="3.9"/>
    <s v="No"/>
    <s v="Venmo"/>
    <s v="Next Day Air"/>
    <s v="No"/>
    <s v="No"/>
    <n v="14"/>
    <x v="3"/>
    <s v="Bi-Weekly"/>
    <n v="0"/>
    <x v="0"/>
  </r>
  <r>
    <n v="2650"/>
    <n v="23"/>
    <s v="Male"/>
    <s v="Gloves"/>
    <x v="3"/>
    <n v="21"/>
    <x v="46"/>
    <s v="M"/>
    <s v="Magenta"/>
    <x v="3"/>
    <n v="3.9"/>
    <s v="No"/>
    <s v="Credit Card"/>
    <s v="Store Pickup"/>
    <s v="No"/>
    <s v="No"/>
    <n v="14"/>
    <x v="4"/>
    <s v="Fortnightly"/>
    <n v="0"/>
    <x v="1"/>
  </r>
  <r>
    <n v="2651"/>
    <n v="20"/>
    <s v="Male"/>
    <s v="Socks"/>
    <x v="0"/>
    <n v="35"/>
    <x v="4"/>
    <s v="L"/>
    <s v="Maroon"/>
    <x v="2"/>
    <n v="4.2"/>
    <s v="No"/>
    <s v="PayPal"/>
    <s v="Standard"/>
    <s v="No"/>
    <s v="No"/>
    <n v="46"/>
    <x v="2"/>
    <s v="Every 3 Months"/>
    <n v="0"/>
    <x v="1"/>
  </r>
  <r>
    <n v="2652"/>
    <n v="51"/>
    <s v="Male"/>
    <s v="Sneakers"/>
    <x v="1"/>
    <n v="43"/>
    <x v="30"/>
    <s v="M"/>
    <s v="Cyan"/>
    <x v="2"/>
    <n v="4.5999999999999996"/>
    <s v="No"/>
    <s v="Venmo"/>
    <s v="Store Pickup"/>
    <s v="No"/>
    <s v="No"/>
    <n v="27"/>
    <x v="3"/>
    <s v="Quarterly"/>
    <n v="0"/>
    <x v="0"/>
  </r>
  <r>
    <n v="2653"/>
    <n v="23"/>
    <s v="Female"/>
    <s v="Shorts"/>
    <x v="0"/>
    <n v="20"/>
    <x v="33"/>
    <s v="L"/>
    <s v="Cyan"/>
    <x v="2"/>
    <n v="3.3"/>
    <s v="No"/>
    <s v="Debit Card"/>
    <s v="2-Day Shipping"/>
    <s v="No"/>
    <s v="No"/>
    <n v="46"/>
    <x v="2"/>
    <s v="Monthly"/>
    <n v="0"/>
    <x v="1"/>
  </r>
  <r>
    <n v="2654"/>
    <n v="67"/>
    <s v="Female"/>
    <s v="Blouse"/>
    <x v="0"/>
    <n v="36"/>
    <x v="48"/>
    <s v="L"/>
    <s v="Lavender"/>
    <x v="3"/>
    <n v="4.8"/>
    <s v="No"/>
    <s v="Credit Card"/>
    <s v="Express"/>
    <s v="No"/>
    <s v="No"/>
    <n v="24"/>
    <x v="0"/>
    <s v="Every 3 Months"/>
    <n v="0"/>
    <x v="0"/>
  </r>
  <r>
    <n v="2655"/>
    <n v="23"/>
    <s v="Female"/>
    <s v="Coat"/>
    <x v="2"/>
    <n v="70"/>
    <x v="37"/>
    <s v="S"/>
    <s v="Pink"/>
    <x v="3"/>
    <n v="4.0999999999999996"/>
    <s v="No"/>
    <s v="Debit Card"/>
    <s v="Next Day Air"/>
    <s v="No"/>
    <s v="No"/>
    <n v="4"/>
    <x v="3"/>
    <s v="Annually"/>
    <n v="0"/>
    <x v="1"/>
  </r>
  <r>
    <n v="2656"/>
    <n v="26"/>
    <s v="Female"/>
    <s v="Sunglasses"/>
    <x v="3"/>
    <n v="83"/>
    <x v="5"/>
    <s v="M"/>
    <s v="Gray"/>
    <x v="2"/>
    <n v="3.4"/>
    <s v="No"/>
    <s v="Credit Card"/>
    <s v="Standard"/>
    <s v="No"/>
    <s v="No"/>
    <n v="2"/>
    <x v="2"/>
    <s v="Fortnightly"/>
    <n v="0"/>
    <x v="3"/>
  </r>
  <r>
    <n v="2657"/>
    <n v="52"/>
    <s v="Female"/>
    <s v="Shorts"/>
    <x v="0"/>
    <n v="76"/>
    <x v="27"/>
    <s v="L"/>
    <s v="Yellow"/>
    <x v="0"/>
    <n v="3.6"/>
    <s v="No"/>
    <s v="Bank Transfer"/>
    <s v="Express"/>
    <s v="No"/>
    <s v="No"/>
    <n v="29"/>
    <x v="4"/>
    <s v="Fortnightly"/>
    <n v="0"/>
    <x v="0"/>
  </r>
  <r>
    <n v="2658"/>
    <n v="52"/>
    <s v="Female"/>
    <s v="Dress"/>
    <x v="0"/>
    <n v="81"/>
    <x v="21"/>
    <s v="M"/>
    <s v="Pink"/>
    <x v="2"/>
    <n v="2.7"/>
    <s v="No"/>
    <s v="PayPal"/>
    <s v="Express"/>
    <s v="No"/>
    <s v="No"/>
    <n v="7"/>
    <x v="2"/>
    <s v="Fortnightly"/>
    <n v="0"/>
    <x v="0"/>
  </r>
  <r>
    <n v="2659"/>
    <n v="52"/>
    <s v="Female"/>
    <s v="Handbag"/>
    <x v="3"/>
    <n v="47"/>
    <x v="31"/>
    <s v="XL"/>
    <s v="Indigo"/>
    <x v="2"/>
    <n v="3.2"/>
    <s v="No"/>
    <s v="Bank Transfer"/>
    <s v="Next Day Air"/>
    <s v="No"/>
    <s v="No"/>
    <n v="39"/>
    <x v="3"/>
    <s v="Monthly"/>
    <n v="0"/>
    <x v="0"/>
  </r>
  <r>
    <n v="2660"/>
    <n v="35"/>
    <s v="Female"/>
    <s v="Boots"/>
    <x v="1"/>
    <n v="35"/>
    <x v="23"/>
    <s v="L"/>
    <s v="Gray"/>
    <x v="2"/>
    <n v="4.4000000000000004"/>
    <s v="No"/>
    <s v="Bank Transfer"/>
    <s v="2-Day Shipping"/>
    <s v="No"/>
    <s v="No"/>
    <n v="46"/>
    <x v="2"/>
    <s v="Fortnightly"/>
    <n v="0"/>
    <x v="3"/>
  </r>
  <r>
    <n v="2661"/>
    <n v="24"/>
    <s v="Female"/>
    <s v="Pants"/>
    <x v="0"/>
    <n v="85"/>
    <x v="36"/>
    <s v="L"/>
    <s v="Yellow"/>
    <x v="1"/>
    <n v="4.9000000000000004"/>
    <s v="No"/>
    <s v="Debit Card"/>
    <s v="Express"/>
    <s v="No"/>
    <s v="No"/>
    <n v="44"/>
    <x v="0"/>
    <s v="Annually"/>
    <n v="0"/>
    <x v="1"/>
  </r>
  <r>
    <n v="2662"/>
    <n v="43"/>
    <s v="Female"/>
    <s v="Boots"/>
    <x v="1"/>
    <n v="96"/>
    <x v="49"/>
    <s v="XL"/>
    <s v="Olive"/>
    <x v="3"/>
    <n v="4.8"/>
    <s v="No"/>
    <s v="Debit Card"/>
    <s v="Express"/>
    <s v="No"/>
    <s v="No"/>
    <n v="20"/>
    <x v="4"/>
    <s v="Annually"/>
    <n v="0"/>
    <x v="2"/>
  </r>
  <r>
    <n v="2663"/>
    <n v="25"/>
    <s v="Female"/>
    <s v="Skirt"/>
    <x v="0"/>
    <n v="98"/>
    <x v="43"/>
    <s v="M"/>
    <s v="Cyan"/>
    <x v="2"/>
    <n v="2.8"/>
    <s v="No"/>
    <s v="PayPal"/>
    <s v="2-Day Shipping"/>
    <s v="No"/>
    <s v="No"/>
    <n v="44"/>
    <x v="3"/>
    <s v="Fortnightly"/>
    <n v="0"/>
    <x v="1"/>
  </r>
  <r>
    <n v="2664"/>
    <n v="46"/>
    <s v="Female"/>
    <s v="Sneakers"/>
    <x v="1"/>
    <n v="52"/>
    <x v="48"/>
    <s v="L"/>
    <s v="Silver"/>
    <x v="3"/>
    <n v="2.9"/>
    <s v="No"/>
    <s v="Credit Card"/>
    <s v="Free Shipping"/>
    <s v="No"/>
    <s v="No"/>
    <n v="23"/>
    <x v="4"/>
    <s v="Annually"/>
    <n v="0"/>
    <x v="0"/>
  </r>
  <r>
    <n v="2665"/>
    <n v="22"/>
    <s v="Female"/>
    <s v="Jewelry"/>
    <x v="3"/>
    <n v="84"/>
    <x v="26"/>
    <s v="L"/>
    <s v="Silver"/>
    <x v="0"/>
    <n v="3.2"/>
    <s v="No"/>
    <s v="Debit Card"/>
    <s v="Store Pickup"/>
    <s v="No"/>
    <s v="No"/>
    <n v="37"/>
    <x v="3"/>
    <s v="Weekly"/>
    <n v="0"/>
    <x v="1"/>
  </r>
  <r>
    <n v="2666"/>
    <n v="70"/>
    <s v="Female"/>
    <s v="T-shirt"/>
    <x v="0"/>
    <n v="71"/>
    <x v="7"/>
    <s v="L"/>
    <s v="Red"/>
    <x v="0"/>
    <n v="3.5"/>
    <s v="No"/>
    <s v="Venmo"/>
    <s v="Store Pickup"/>
    <s v="No"/>
    <s v="No"/>
    <n v="4"/>
    <x v="0"/>
    <s v="Weekly"/>
    <n v="0"/>
    <x v="0"/>
  </r>
  <r>
    <n v="2667"/>
    <n v="49"/>
    <s v="Female"/>
    <s v="Sandals"/>
    <x v="1"/>
    <n v="95"/>
    <x v="31"/>
    <s v="S"/>
    <s v="Brown"/>
    <x v="0"/>
    <n v="4.0999999999999996"/>
    <s v="No"/>
    <s v="Bank Transfer"/>
    <s v="Store Pickup"/>
    <s v="No"/>
    <s v="No"/>
    <n v="14"/>
    <x v="0"/>
    <s v="Fortnightly"/>
    <n v="0"/>
    <x v="0"/>
  </r>
  <r>
    <n v="2668"/>
    <n v="48"/>
    <s v="Female"/>
    <s v="Boots"/>
    <x v="1"/>
    <n v="47"/>
    <x v="33"/>
    <s v="M"/>
    <s v="Orange"/>
    <x v="2"/>
    <n v="4.0999999999999996"/>
    <s v="No"/>
    <s v="Venmo"/>
    <s v="Free Shipping"/>
    <s v="No"/>
    <s v="No"/>
    <n v="31"/>
    <x v="1"/>
    <s v="Fortnightly"/>
    <n v="0"/>
    <x v="0"/>
  </r>
  <r>
    <n v="2669"/>
    <n v="59"/>
    <s v="Female"/>
    <s v="Coat"/>
    <x v="2"/>
    <n v="75"/>
    <x v="21"/>
    <s v="M"/>
    <s v="Black"/>
    <x v="2"/>
    <n v="4.8"/>
    <s v="No"/>
    <s v="Venmo"/>
    <s v="Next Day Air"/>
    <s v="No"/>
    <s v="No"/>
    <n v="9"/>
    <x v="3"/>
    <s v="Quarterly"/>
    <n v="0"/>
    <x v="0"/>
  </r>
  <r>
    <n v="2670"/>
    <n v="39"/>
    <s v="Female"/>
    <s v="Belt"/>
    <x v="3"/>
    <n v="28"/>
    <x v="26"/>
    <s v="L"/>
    <s v="Teal"/>
    <x v="1"/>
    <n v="2.8"/>
    <s v="No"/>
    <s v="PayPal"/>
    <s v="Free Shipping"/>
    <s v="No"/>
    <s v="No"/>
    <n v="31"/>
    <x v="2"/>
    <s v="Weekly"/>
    <n v="0"/>
    <x v="2"/>
  </r>
  <r>
    <n v="2671"/>
    <n v="30"/>
    <s v="Female"/>
    <s v="Sunglasses"/>
    <x v="3"/>
    <n v="44"/>
    <x v="38"/>
    <s v="M"/>
    <s v="Yellow"/>
    <x v="3"/>
    <n v="4.7"/>
    <s v="No"/>
    <s v="Venmo"/>
    <s v="Express"/>
    <s v="No"/>
    <s v="No"/>
    <n v="26"/>
    <x v="4"/>
    <s v="Bi-Weekly"/>
    <n v="0"/>
    <x v="3"/>
  </r>
  <r>
    <n v="2672"/>
    <n v="37"/>
    <s v="Female"/>
    <s v="Sandals"/>
    <x v="1"/>
    <n v="64"/>
    <x v="15"/>
    <s v="XL"/>
    <s v="Gray"/>
    <x v="0"/>
    <n v="4.8"/>
    <s v="No"/>
    <s v="Cash"/>
    <s v="2-Day Shipping"/>
    <s v="No"/>
    <s v="No"/>
    <n v="41"/>
    <x v="3"/>
    <s v="Every 3 Months"/>
    <n v="0"/>
    <x v="2"/>
  </r>
  <r>
    <n v="2673"/>
    <n v="56"/>
    <s v="Female"/>
    <s v="Boots"/>
    <x v="1"/>
    <n v="28"/>
    <x v="8"/>
    <s v="M"/>
    <s v="Maroon"/>
    <x v="1"/>
    <n v="2.9"/>
    <s v="No"/>
    <s v="Debit Card"/>
    <s v="Standard"/>
    <s v="No"/>
    <s v="No"/>
    <n v="13"/>
    <x v="1"/>
    <s v="Annually"/>
    <n v="0"/>
    <x v="0"/>
  </r>
  <r>
    <n v="2674"/>
    <n v="67"/>
    <s v="Female"/>
    <s v="Hoodie"/>
    <x v="0"/>
    <n v="21"/>
    <x v="22"/>
    <s v="M"/>
    <s v="Olive"/>
    <x v="2"/>
    <n v="2.6"/>
    <s v="No"/>
    <s v="Cash"/>
    <s v="2-Day Shipping"/>
    <s v="No"/>
    <s v="No"/>
    <n v="4"/>
    <x v="1"/>
    <s v="Monthly"/>
    <n v="0"/>
    <x v="0"/>
  </r>
  <r>
    <n v="2675"/>
    <n v="40"/>
    <s v="Female"/>
    <s v="Hat"/>
    <x v="3"/>
    <n v="41"/>
    <x v="20"/>
    <s v="S"/>
    <s v="Charcoal"/>
    <x v="3"/>
    <n v="3.3"/>
    <s v="No"/>
    <s v="Debit Card"/>
    <s v="Express"/>
    <s v="No"/>
    <s v="No"/>
    <n v="15"/>
    <x v="1"/>
    <s v="Every 3 Months"/>
    <n v="0"/>
    <x v="2"/>
  </r>
  <r>
    <n v="2676"/>
    <n v="24"/>
    <s v="Female"/>
    <s v="Shorts"/>
    <x v="0"/>
    <n v="38"/>
    <x v="41"/>
    <s v="M"/>
    <s v="Peach"/>
    <x v="0"/>
    <n v="3.4"/>
    <s v="No"/>
    <s v="Cash"/>
    <s v="Free Shipping"/>
    <s v="No"/>
    <s v="No"/>
    <n v="38"/>
    <x v="1"/>
    <s v="Bi-Weekly"/>
    <n v="0"/>
    <x v="1"/>
  </r>
  <r>
    <n v="2677"/>
    <n v="43"/>
    <s v="Female"/>
    <s v="Backpack"/>
    <x v="3"/>
    <n v="77"/>
    <x v="0"/>
    <s v="M"/>
    <s v="Maroon"/>
    <x v="1"/>
    <n v="3.6"/>
    <s v="No"/>
    <s v="Venmo"/>
    <s v="Free Shipping"/>
    <s v="No"/>
    <s v="No"/>
    <n v="3"/>
    <x v="1"/>
    <s v="Fortnightly"/>
    <n v="0"/>
    <x v="2"/>
  </r>
  <r>
    <n v="2678"/>
    <n v="45"/>
    <s v="Female"/>
    <s v="Shorts"/>
    <x v="0"/>
    <n v="43"/>
    <x v="39"/>
    <s v="L"/>
    <s v="Olive"/>
    <x v="1"/>
    <n v="3.8"/>
    <s v="No"/>
    <s v="Debit Card"/>
    <s v="Next Day Air"/>
    <s v="No"/>
    <s v="No"/>
    <n v="6"/>
    <x v="3"/>
    <s v="Every 3 Months"/>
    <n v="0"/>
    <x v="2"/>
  </r>
  <r>
    <n v="2679"/>
    <n v="33"/>
    <s v="Female"/>
    <s v="Belt"/>
    <x v="3"/>
    <n v="91"/>
    <x v="6"/>
    <s v="M"/>
    <s v="Magenta"/>
    <x v="1"/>
    <n v="3.4"/>
    <s v="No"/>
    <s v="Cash"/>
    <s v="2-Day Shipping"/>
    <s v="No"/>
    <s v="No"/>
    <n v="34"/>
    <x v="2"/>
    <s v="Bi-Weekly"/>
    <n v="0"/>
    <x v="3"/>
  </r>
  <r>
    <n v="2680"/>
    <n v="53"/>
    <s v="Female"/>
    <s v="Shorts"/>
    <x v="0"/>
    <n v="68"/>
    <x v="6"/>
    <s v="S"/>
    <s v="Yellow"/>
    <x v="1"/>
    <n v="3.8"/>
    <s v="No"/>
    <s v="Debit Card"/>
    <s v="Express"/>
    <s v="No"/>
    <s v="No"/>
    <n v="7"/>
    <x v="5"/>
    <s v="Quarterly"/>
    <n v="0"/>
    <x v="0"/>
  </r>
  <r>
    <n v="2681"/>
    <n v="44"/>
    <s v="Female"/>
    <s v="Socks"/>
    <x v="0"/>
    <n v="37"/>
    <x v="43"/>
    <s v="L"/>
    <s v="Indigo"/>
    <x v="3"/>
    <n v="3.3"/>
    <s v="No"/>
    <s v="PayPal"/>
    <s v="Next Day Air"/>
    <s v="No"/>
    <s v="No"/>
    <n v="21"/>
    <x v="0"/>
    <s v="Annually"/>
    <n v="0"/>
    <x v="2"/>
  </r>
  <r>
    <n v="2682"/>
    <n v="23"/>
    <s v="Female"/>
    <s v="Shoes"/>
    <x v="1"/>
    <n v="23"/>
    <x v="2"/>
    <s v="L"/>
    <s v="Olive"/>
    <x v="2"/>
    <n v="4.8"/>
    <s v="No"/>
    <s v="Bank Transfer"/>
    <s v="Standard"/>
    <s v="No"/>
    <s v="No"/>
    <n v="17"/>
    <x v="5"/>
    <s v="Monthly"/>
    <n v="0"/>
    <x v="1"/>
  </r>
  <r>
    <n v="2683"/>
    <n v="59"/>
    <s v="Female"/>
    <s v="Sneakers"/>
    <x v="1"/>
    <n v="65"/>
    <x v="17"/>
    <s v="L"/>
    <s v="Maroon"/>
    <x v="0"/>
    <n v="3.9"/>
    <s v="No"/>
    <s v="Venmo"/>
    <s v="2-Day Shipping"/>
    <s v="No"/>
    <s v="No"/>
    <n v="5"/>
    <x v="0"/>
    <s v="Every 3 Months"/>
    <n v="0"/>
    <x v="0"/>
  </r>
  <r>
    <n v="2684"/>
    <n v="68"/>
    <s v="Female"/>
    <s v="Backpack"/>
    <x v="3"/>
    <n v="30"/>
    <x v="6"/>
    <s v="M"/>
    <s v="Indigo"/>
    <x v="2"/>
    <n v="4.2"/>
    <s v="No"/>
    <s v="Cash"/>
    <s v="Next Day Air"/>
    <s v="No"/>
    <s v="No"/>
    <n v="21"/>
    <x v="1"/>
    <s v="Fortnightly"/>
    <n v="0"/>
    <x v="0"/>
  </r>
  <r>
    <n v="2685"/>
    <n v="46"/>
    <s v="Female"/>
    <s v="Dress"/>
    <x v="0"/>
    <n v="45"/>
    <x v="47"/>
    <s v="M"/>
    <s v="Gray"/>
    <x v="2"/>
    <n v="4.7"/>
    <s v="No"/>
    <s v="Venmo"/>
    <s v="Free Shipping"/>
    <s v="No"/>
    <s v="No"/>
    <n v="42"/>
    <x v="2"/>
    <s v="Bi-Weekly"/>
    <n v="0"/>
    <x v="0"/>
  </r>
  <r>
    <n v="2686"/>
    <n v="56"/>
    <s v="Female"/>
    <s v="Boots"/>
    <x v="1"/>
    <n v="25"/>
    <x v="41"/>
    <s v="M"/>
    <s v="Gray"/>
    <x v="0"/>
    <n v="2.7"/>
    <s v="No"/>
    <s v="Venmo"/>
    <s v="Express"/>
    <s v="No"/>
    <s v="No"/>
    <n v="49"/>
    <x v="2"/>
    <s v="Quarterly"/>
    <n v="0"/>
    <x v="0"/>
  </r>
  <r>
    <n v="2687"/>
    <n v="40"/>
    <s v="Female"/>
    <s v="Socks"/>
    <x v="0"/>
    <n v="72"/>
    <x v="42"/>
    <s v="M"/>
    <s v="Black"/>
    <x v="0"/>
    <n v="3.8"/>
    <s v="No"/>
    <s v="Venmo"/>
    <s v="2-Day Shipping"/>
    <s v="No"/>
    <s v="No"/>
    <n v="33"/>
    <x v="1"/>
    <s v="Fortnightly"/>
    <n v="0"/>
    <x v="2"/>
  </r>
  <r>
    <n v="2688"/>
    <n v="61"/>
    <s v="Female"/>
    <s v="Dress"/>
    <x v="0"/>
    <n v="75"/>
    <x v="12"/>
    <s v="M"/>
    <s v="White"/>
    <x v="3"/>
    <n v="3.6"/>
    <s v="No"/>
    <s v="Cash"/>
    <s v="2-Day Shipping"/>
    <s v="No"/>
    <s v="No"/>
    <n v="12"/>
    <x v="5"/>
    <s v="Bi-Weekly"/>
    <n v="0"/>
    <x v="0"/>
  </r>
  <r>
    <n v="2689"/>
    <n v="53"/>
    <s v="Female"/>
    <s v="Handbag"/>
    <x v="3"/>
    <n v="63"/>
    <x v="8"/>
    <s v="XL"/>
    <s v="Turquoise"/>
    <x v="1"/>
    <n v="2.9"/>
    <s v="No"/>
    <s v="Cash"/>
    <s v="2-Day Shipping"/>
    <s v="No"/>
    <s v="No"/>
    <n v="18"/>
    <x v="2"/>
    <s v="Every 3 Months"/>
    <n v="0"/>
    <x v="0"/>
  </r>
  <r>
    <n v="2690"/>
    <n v="29"/>
    <s v="Female"/>
    <s v="Blouse"/>
    <x v="0"/>
    <n v="35"/>
    <x v="5"/>
    <s v="M"/>
    <s v="Orange"/>
    <x v="3"/>
    <n v="3.9"/>
    <s v="No"/>
    <s v="Credit Card"/>
    <s v="Standard"/>
    <s v="No"/>
    <s v="No"/>
    <n v="47"/>
    <x v="3"/>
    <s v="Quarterly"/>
    <n v="0"/>
    <x v="3"/>
  </r>
  <r>
    <n v="2691"/>
    <n v="44"/>
    <s v="Female"/>
    <s v="Belt"/>
    <x v="3"/>
    <n v="32"/>
    <x v="35"/>
    <s v="L"/>
    <s v="Yellow"/>
    <x v="2"/>
    <n v="4.7"/>
    <s v="No"/>
    <s v="Venmo"/>
    <s v="Free Shipping"/>
    <s v="No"/>
    <s v="No"/>
    <n v="18"/>
    <x v="4"/>
    <s v="Weekly"/>
    <n v="0"/>
    <x v="2"/>
  </r>
  <r>
    <n v="2692"/>
    <n v="43"/>
    <s v="Female"/>
    <s v="Pants"/>
    <x v="0"/>
    <n v="25"/>
    <x v="43"/>
    <s v="L"/>
    <s v="Blue"/>
    <x v="0"/>
    <n v="3.3"/>
    <s v="No"/>
    <s v="Bank Transfer"/>
    <s v="2-Day Shipping"/>
    <s v="No"/>
    <s v="No"/>
    <n v="48"/>
    <x v="1"/>
    <s v="Monthly"/>
    <n v="0"/>
    <x v="2"/>
  </r>
  <r>
    <n v="2693"/>
    <n v="40"/>
    <s v="Female"/>
    <s v="Sneakers"/>
    <x v="1"/>
    <n v="90"/>
    <x v="47"/>
    <s v="XL"/>
    <s v="Violet"/>
    <x v="1"/>
    <n v="4.2"/>
    <s v="No"/>
    <s v="Venmo"/>
    <s v="Free Shipping"/>
    <s v="No"/>
    <s v="No"/>
    <n v="18"/>
    <x v="5"/>
    <s v="Every 3 Months"/>
    <n v="0"/>
    <x v="2"/>
  </r>
  <r>
    <n v="2694"/>
    <n v="55"/>
    <s v="Female"/>
    <s v="Boots"/>
    <x v="1"/>
    <n v="70"/>
    <x v="11"/>
    <s v="L"/>
    <s v="Lavender"/>
    <x v="2"/>
    <n v="2.6"/>
    <s v="No"/>
    <s v="Debit Card"/>
    <s v="Standard"/>
    <s v="No"/>
    <s v="No"/>
    <n v="46"/>
    <x v="1"/>
    <s v="Quarterly"/>
    <n v="0"/>
    <x v="0"/>
  </r>
  <r>
    <n v="2695"/>
    <n v="66"/>
    <s v="Female"/>
    <s v="Sunglasses"/>
    <x v="3"/>
    <n v="27"/>
    <x v="7"/>
    <s v="M"/>
    <s v="Olive"/>
    <x v="1"/>
    <n v="4.9000000000000004"/>
    <s v="No"/>
    <s v="Venmo"/>
    <s v="Express"/>
    <s v="No"/>
    <s v="No"/>
    <n v="34"/>
    <x v="2"/>
    <s v="Every 3 Months"/>
    <n v="0"/>
    <x v="0"/>
  </r>
  <r>
    <n v="2696"/>
    <n v="50"/>
    <s v="Female"/>
    <s v="Hat"/>
    <x v="3"/>
    <n v="92"/>
    <x v="30"/>
    <s v="M"/>
    <s v="Orange"/>
    <x v="3"/>
    <n v="3.6"/>
    <s v="No"/>
    <s v="Debit Card"/>
    <s v="Standard"/>
    <s v="No"/>
    <s v="No"/>
    <n v="10"/>
    <x v="3"/>
    <s v="Bi-Weekly"/>
    <n v="0"/>
    <x v="0"/>
  </r>
  <r>
    <n v="2697"/>
    <n v="57"/>
    <s v="Female"/>
    <s v="Coat"/>
    <x v="2"/>
    <n v="20"/>
    <x v="45"/>
    <s v="M"/>
    <s v="White"/>
    <x v="1"/>
    <n v="4.7"/>
    <s v="No"/>
    <s v="Credit Card"/>
    <s v="Free Shipping"/>
    <s v="No"/>
    <s v="No"/>
    <n v="12"/>
    <x v="5"/>
    <s v="Monthly"/>
    <n v="0"/>
    <x v="0"/>
  </r>
  <r>
    <n v="2698"/>
    <n v="42"/>
    <s v="Female"/>
    <s v="Jacket"/>
    <x v="2"/>
    <n v="52"/>
    <x v="12"/>
    <s v="L"/>
    <s v="Red"/>
    <x v="0"/>
    <n v="3.2"/>
    <s v="No"/>
    <s v="Credit Card"/>
    <s v="Standard"/>
    <s v="No"/>
    <s v="No"/>
    <n v="36"/>
    <x v="4"/>
    <s v="Quarterly"/>
    <n v="0"/>
    <x v="2"/>
  </r>
  <r>
    <n v="2699"/>
    <n v="55"/>
    <s v="Female"/>
    <s v="Hoodie"/>
    <x v="0"/>
    <n v="57"/>
    <x v="41"/>
    <s v="M"/>
    <s v="Magenta"/>
    <x v="2"/>
    <n v="3.6"/>
    <s v="No"/>
    <s v="Venmo"/>
    <s v="Store Pickup"/>
    <s v="No"/>
    <s v="No"/>
    <n v="34"/>
    <x v="0"/>
    <s v="Quarterly"/>
    <n v="0"/>
    <x v="0"/>
  </r>
  <r>
    <n v="2700"/>
    <n v="25"/>
    <s v="Female"/>
    <s v="Boots"/>
    <x v="1"/>
    <n v="96"/>
    <x v="40"/>
    <s v="M"/>
    <s v="Violet"/>
    <x v="3"/>
    <n v="3.6"/>
    <s v="No"/>
    <s v="Venmo"/>
    <s v="2-Day Shipping"/>
    <s v="No"/>
    <s v="No"/>
    <n v="49"/>
    <x v="5"/>
    <s v="Annually"/>
    <n v="0"/>
    <x v="1"/>
  </r>
  <r>
    <n v="2701"/>
    <n v="22"/>
    <s v="Female"/>
    <s v="T-shirt"/>
    <x v="0"/>
    <n v="68"/>
    <x v="18"/>
    <s v="XL"/>
    <s v="Olive"/>
    <x v="0"/>
    <n v="3.2"/>
    <s v="No"/>
    <s v="Bank Transfer"/>
    <s v="Standard"/>
    <s v="No"/>
    <s v="No"/>
    <n v="36"/>
    <x v="1"/>
    <s v="Weekly"/>
    <n v="0"/>
    <x v="1"/>
  </r>
  <r>
    <n v="2702"/>
    <n v="49"/>
    <s v="Female"/>
    <s v="Sweater"/>
    <x v="0"/>
    <n v="30"/>
    <x v="37"/>
    <s v="L"/>
    <s v="Silver"/>
    <x v="2"/>
    <n v="2.8"/>
    <s v="No"/>
    <s v="Bank Transfer"/>
    <s v="Store Pickup"/>
    <s v="No"/>
    <s v="No"/>
    <n v="18"/>
    <x v="4"/>
    <s v="Fortnightly"/>
    <n v="0"/>
    <x v="0"/>
  </r>
  <r>
    <n v="2703"/>
    <n v="70"/>
    <s v="Female"/>
    <s v="Shoes"/>
    <x v="1"/>
    <n v="37"/>
    <x v="21"/>
    <s v="L"/>
    <s v="Gray"/>
    <x v="3"/>
    <n v="4"/>
    <s v="No"/>
    <s v="PayPal"/>
    <s v="Next Day Air"/>
    <s v="No"/>
    <s v="No"/>
    <n v="39"/>
    <x v="5"/>
    <s v="Fortnightly"/>
    <n v="0"/>
    <x v="0"/>
  </r>
  <r>
    <n v="2704"/>
    <n v="56"/>
    <s v="Female"/>
    <s v="Scarf"/>
    <x v="3"/>
    <n v="42"/>
    <x v="30"/>
    <s v="XL"/>
    <s v="Olive"/>
    <x v="0"/>
    <n v="4.4000000000000004"/>
    <s v="No"/>
    <s v="Bank Transfer"/>
    <s v="Free Shipping"/>
    <s v="No"/>
    <s v="No"/>
    <n v="34"/>
    <x v="3"/>
    <s v="Weekly"/>
    <n v="0"/>
    <x v="0"/>
  </r>
  <r>
    <n v="2705"/>
    <n v="52"/>
    <s v="Female"/>
    <s v="Dress"/>
    <x v="0"/>
    <n v="54"/>
    <x v="30"/>
    <s v="L"/>
    <s v="Beige"/>
    <x v="1"/>
    <n v="3.4"/>
    <s v="No"/>
    <s v="Credit Card"/>
    <s v="Next Day Air"/>
    <s v="No"/>
    <s v="No"/>
    <n v="35"/>
    <x v="5"/>
    <s v="Weekly"/>
    <n v="0"/>
    <x v="0"/>
  </r>
  <r>
    <n v="2706"/>
    <n v="65"/>
    <s v="Female"/>
    <s v="Jacket"/>
    <x v="2"/>
    <n v="81"/>
    <x v="47"/>
    <s v="S"/>
    <s v="Turquoise"/>
    <x v="1"/>
    <n v="5"/>
    <s v="No"/>
    <s v="Debit Card"/>
    <s v="Store Pickup"/>
    <s v="No"/>
    <s v="No"/>
    <n v="1"/>
    <x v="2"/>
    <s v="Bi-Weekly"/>
    <n v="0"/>
    <x v="0"/>
  </r>
  <r>
    <n v="2707"/>
    <n v="24"/>
    <s v="Female"/>
    <s v="Shoes"/>
    <x v="1"/>
    <n v="40"/>
    <x v="15"/>
    <s v="S"/>
    <s v="Blue"/>
    <x v="1"/>
    <n v="3.1"/>
    <s v="No"/>
    <s v="Bank Transfer"/>
    <s v="Express"/>
    <s v="No"/>
    <s v="No"/>
    <n v="48"/>
    <x v="5"/>
    <s v="Quarterly"/>
    <n v="0"/>
    <x v="1"/>
  </r>
  <r>
    <n v="2708"/>
    <n v="32"/>
    <s v="Female"/>
    <s v="Backpack"/>
    <x v="3"/>
    <n v="88"/>
    <x v="43"/>
    <s v="M"/>
    <s v="Pink"/>
    <x v="3"/>
    <n v="4.2"/>
    <s v="No"/>
    <s v="Cash"/>
    <s v="Standard"/>
    <s v="No"/>
    <s v="No"/>
    <n v="19"/>
    <x v="1"/>
    <s v="Weekly"/>
    <n v="0"/>
    <x v="3"/>
  </r>
  <r>
    <n v="2709"/>
    <n v="57"/>
    <s v="Female"/>
    <s v="Dress"/>
    <x v="0"/>
    <n v="94"/>
    <x v="15"/>
    <s v="M"/>
    <s v="Teal"/>
    <x v="2"/>
    <n v="3.3"/>
    <s v="No"/>
    <s v="Debit Card"/>
    <s v="Store Pickup"/>
    <s v="No"/>
    <s v="No"/>
    <n v="44"/>
    <x v="5"/>
    <s v="Weekly"/>
    <n v="0"/>
    <x v="0"/>
  </r>
  <r>
    <n v="2710"/>
    <n v="35"/>
    <s v="Female"/>
    <s v="Shirt"/>
    <x v="0"/>
    <n v="54"/>
    <x v="26"/>
    <s v="S"/>
    <s v="Cyan"/>
    <x v="0"/>
    <n v="2.9"/>
    <s v="No"/>
    <s v="Debit Card"/>
    <s v="Standard"/>
    <s v="No"/>
    <s v="No"/>
    <n v="9"/>
    <x v="2"/>
    <s v="Bi-Weekly"/>
    <n v="0"/>
    <x v="3"/>
  </r>
  <r>
    <n v="2711"/>
    <n v="69"/>
    <s v="Female"/>
    <s v="Jacket"/>
    <x v="2"/>
    <n v="51"/>
    <x v="48"/>
    <s v="L"/>
    <s v="Purple"/>
    <x v="2"/>
    <n v="4.7"/>
    <s v="No"/>
    <s v="Debit Card"/>
    <s v="Standard"/>
    <s v="No"/>
    <s v="No"/>
    <n v="3"/>
    <x v="4"/>
    <s v="Fortnightly"/>
    <n v="0"/>
    <x v="0"/>
  </r>
  <r>
    <n v="2712"/>
    <n v="30"/>
    <s v="Female"/>
    <s v="Sunglasses"/>
    <x v="3"/>
    <n v="22"/>
    <x v="43"/>
    <s v="L"/>
    <s v="Red"/>
    <x v="1"/>
    <n v="4"/>
    <s v="No"/>
    <s v="Credit Card"/>
    <s v="Standard"/>
    <s v="No"/>
    <s v="No"/>
    <n v="50"/>
    <x v="0"/>
    <s v="Monthly"/>
    <n v="0"/>
    <x v="3"/>
  </r>
  <r>
    <n v="2713"/>
    <n v="37"/>
    <s v="Female"/>
    <s v="Jacket"/>
    <x v="2"/>
    <n v="95"/>
    <x v="25"/>
    <s v="L"/>
    <s v="Brown"/>
    <x v="3"/>
    <n v="4.5999999999999996"/>
    <s v="No"/>
    <s v="Credit Card"/>
    <s v="Standard"/>
    <s v="No"/>
    <s v="No"/>
    <n v="7"/>
    <x v="5"/>
    <s v="Quarterly"/>
    <n v="0"/>
    <x v="2"/>
  </r>
  <r>
    <n v="2714"/>
    <n v="19"/>
    <s v="Female"/>
    <s v="Coat"/>
    <x v="2"/>
    <n v="57"/>
    <x v="16"/>
    <s v="M"/>
    <s v="Magenta"/>
    <x v="3"/>
    <n v="3.8"/>
    <s v="No"/>
    <s v="PayPal"/>
    <s v="2-Day Shipping"/>
    <s v="No"/>
    <s v="No"/>
    <n v="20"/>
    <x v="5"/>
    <s v="Annually"/>
    <n v="0"/>
    <x v="1"/>
  </r>
  <r>
    <n v="2715"/>
    <n v="53"/>
    <s v="Female"/>
    <s v="Sweater"/>
    <x v="0"/>
    <n v="45"/>
    <x v="44"/>
    <s v="S"/>
    <s v="Olive"/>
    <x v="0"/>
    <n v="3.6"/>
    <s v="No"/>
    <s v="Debit Card"/>
    <s v="Store Pickup"/>
    <s v="No"/>
    <s v="No"/>
    <n v="16"/>
    <x v="2"/>
    <s v="Bi-Weekly"/>
    <n v="0"/>
    <x v="0"/>
  </r>
  <r>
    <n v="2716"/>
    <n v="25"/>
    <s v="Female"/>
    <s v="Sneakers"/>
    <x v="1"/>
    <n v="92"/>
    <x v="16"/>
    <s v="XL"/>
    <s v="Pink"/>
    <x v="0"/>
    <n v="4.0999999999999996"/>
    <s v="No"/>
    <s v="Debit Card"/>
    <s v="Express"/>
    <s v="No"/>
    <s v="No"/>
    <n v="29"/>
    <x v="3"/>
    <s v="Fortnightly"/>
    <n v="0"/>
    <x v="1"/>
  </r>
  <r>
    <n v="2717"/>
    <n v="47"/>
    <s v="Female"/>
    <s v="Shoes"/>
    <x v="1"/>
    <n v="40"/>
    <x v="24"/>
    <s v="L"/>
    <s v="Black"/>
    <x v="1"/>
    <n v="2.7"/>
    <s v="No"/>
    <s v="Debit Card"/>
    <s v="Store Pickup"/>
    <s v="No"/>
    <s v="No"/>
    <n v="21"/>
    <x v="5"/>
    <s v="Weekly"/>
    <n v="0"/>
    <x v="0"/>
  </r>
  <r>
    <n v="2718"/>
    <n v="18"/>
    <s v="Female"/>
    <s v="Sunglasses"/>
    <x v="3"/>
    <n v="62"/>
    <x v="43"/>
    <s v="XL"/>
    <s v="Beige"/>
    <x v="0"/>
    <n v="4.3"/>
    <s v="No"/>
    <s v="Debit Card"/>
    <s v="Free Shipping"/>
    <s v="No"/>
    <s v="No"/>
    <n v="19"/>
    <x v="2"/>
    <s v="Every 3 Months"/>
    <n v="0"/>
    <x v="1"/>
  </r>
  <r>
    <n v="2719"/>
    <n v="22"/>
    <s v="Female"/>
    <s v="Shorts"/>
    <x v="0"/>
    <n v="90"/>
    <x v="41"/>
    <s v="M"/>
    <s v="Peach"/>
    <x v="0"/>
    <n v="4.9000000000000004"/>
    <s v="No"/>
    <s v="Credit Card"/>
    <s v="Next Day Air"/>
    <s v="No"/>
    <s v="No"/>
    <n v="10"/>
    <x v="0"/>
    <s v="Bi-Weekly"/>
    <n v="0"/>
    <x v="1"/>
  </r>
  <r>
    <n v="2720"/>
    <n v="69"/>
    <s v="Female"/>
    <s v="Hoodie"/>
    <x v="0"/>
    <n v="82"/>
    <x v="7"/>
    <s v="S"/>
    <s v="Peach"/>
    <x v="3"/>
    <n v="4.2"/>
    <s v="No"/>
    <s v="Venmo"/>
    <s v="Free Shipping"/>
    <s v="No"/>
    <s v="No"/>
    <n v="4"/>
    <x v="4"/>
    <s v="Monthly"/>
    <n v="0"/>
    <x v="0"/>
  </r>
  <r>
    <n v="2721"/>
    <n v="55"/>
    <s v="Female"/>
    <s v="Scarf"/>
    <x v="3"/>
    <n v="52"/>
    <x v="33"/>
    <s v="M"/>
    <s v="Peach"/>
    <x v="1"/>
    <n v="2.8"/>
    <s v="No"/>
    <s v="Debit Card"/>
    <s v="Store Pickup"/>
    <s v="No"/>
    <s v="No"/>
    <n v="45"/>
    <x v="4"/>
    <s v="Quarterly"/>
    <n v="0"/>
    <x v="0"/>
  </r>
  <r>
    <n v="2722"/>
    <n v="19"/>
    <s v="Female"/>
    <s v="Sandals"/>
    <x v="1"/>
    <n v="70"/>
    <x v="46"/>
    <s v="S"/>
    <s v="Teal"/>
    <x v="1"/>
    <n v="4.9000000000000004"/>
    <s v="No"/>
    <s v="Cash"/>
    <s v="Free Shipping"/>
    <s v="No"/>
    <s v="No"/>
    <n v="17"/>
    <x v="3"/>
    <s v="Fortnightly"/>
    <n v="0"/>
    <x v="1"/>
  </r>
  <r>
    <n v="2723"/>
    <n v="23"/>
    <s v="Female"/>
    <s v="Hat"/>
    <x v="3"/>
    <n v="83"/>
    <x v="1"/>
    <s v="M"/>
    <s v="Green"/>
    <x v="1"/>
    <n v="2.8"/>
    <s v="No"/>
    <s v="PayPal"/>
    <s v="2-Day Shipping"/>
    <s v="No"/>
    <s v="No"/>
    <n v="22"/>
    <x v="3"/>
    <s v="Fortnightly"/>
    <n v="0"/>
    <x v="1"/>
  </r>
  <r>
    <n v="2724"/>
    <n v="54"/>
    <s v="Female"/>
    <s v="Shoes"/>
    <x v="1"/>
    <n v="49"/>
    <x v="21"/>
    <s v="XL"/>
    <s v="Brown"/>
    <x v="2"/>
    <n v="2.9"/>
    <s v="No"/>
    <s v="Bank Transfer"/>
    <s v="Store Pickup"/>
    <s v="No"/>
    <s v="No"/>
    <n v="3"/>
    <x v="3"/>
    <s v="Every 3 Months"/>
    <n v="0"/>
    <x v="0"/>
  </r>
  <r>
    <n v="2725"/>
    <n v="52"/>
    <s v="Female"/>
    <s v="Sneakers"/>
    <x v="1"/>
    <n v="91"/>
    <x v="9"/>
    <s v="M"/>
    <s v="Brown"/>
    <x v="1"/>
    <n v="2.5"/>
    <s v="No"/>
    <s v="Bank Transfer"/>
    <s v="Next Day Air"/>
    <s v="No"/>
    <s v="No"/>
    <n v="11"/>
    <x v="5"/>
    <s v="Fortnightly"/>
    <n v="0"/>
    <x v="0"/>
  </r>
  <r>
    <n v="2726"/>
    <n v="64"/>
    <s v="Female"/>
    <s v="Backpack"/>
    <x v="3"/>
    <n v="99"/>
    <x v="16"/>
    <s v="S"/>
    <s v="Violet"/>
    <x v="2"/>
    <n v="2.7"/>
    <s v="No"/>
    <s v="Bank Transfer"/>
    <s v="Free Shipping"/>
    <s v="No"/>
    <s v="No"/>
    <n v="4"/>
    <x v="5"/>
    <s v="Annually"/>
    <n v="0"/>
    <x v="0"/>
  </r>
  <r>
    <n v="2727"/>
    <n v="33"/>
    <s v="Female"/>
    <s v="Belt"/>
    <x v="3"/>
    <n v="92"/>
    <x v="49"/>
    <s v="L"/>
    <s v="Blue"/>
    <x v="0"/>
    <n v="3.3"/>
    <s v="No"/>
    <s v="Debit Card"/>
    <s v="Free Shipping"/>
    <s v="No"/>
    <s v="No"/>
    <n v="11"/>
    <x v="3"/>
    <s v="Bi-Weekly"/>
    <n v="0"/>
    <x v="3"/>
  </r>
  <r>
    <n v="2728"/>
    <n v="40"/>
    <s v="Female"/>
    <s v="Shirt"/>
    <x v="0"/>
    <n v="87"/>
    <x v="24"/>
    <s v="L"/>
    <s v="Charcoal"/>
    <x v="0"/>
    <n v="3.7"/>
    <s v="No"/>
    <s v="Debit Card"/>
    <s v="2-Day Shipping"/>
    <s v="No"/>
    <s v="No"/>
    <n v="47"/>
    <x v="2"/>
    <s v="Fortnightly"/>
    <n v="0"/>
    <x v="2"/>
  </r>
  <r>
    <n v="2729"/>
    <n v="26"/>
    <s v="Female"/>
    <s v="Skirt"/>
    <x v="0"/>
    <n v="28"/>
    <x v="20"/>
    <s v="M"/>
    <s v="Pink"/>
    <x v="0"/>
    <n v="4"/>
    <s v="No"/>
    <s v="Credit Card"/>
    <s v="Express"/>
    <s v="No"/>
    <s v="No"/>
    <n v="17"/>
    <x v="5"/>
    <s v="Weekly"/>
    <n v="0"/>
    <x v="3"/>
  </r>
  <r>
    <n v="2730"/>
    <n v="31"/>
    <s v="Female"/>
    <s v="Gloves"/>
    <x v="3"/>
    <n v="71"/>
    <x v="6"/>
    <s v="S"/>
    <s v="Violet"/>
    <x v="2"/>
    <n v="4.0999999999999996"/>
    <s v="No"/>
    <s v="Debit Card"/>
    <s v="Free Shipping"/>
    <s v="No"/>
    <s v="No"/>
    <n v="32"/>
    <x v="2"/>
    <s v="Monthly"/>
    <n v="0"/>
    <x v="3"/>
  </r>
  <r>
    <n v="2731"/>
    <n v="23"/>
    <s v="Female"/>
    <s v="Gloves"/>
    <x v="3"/>
    <n v="32"/>
    <x v="48"/>
    <s v="M"/>
    <s v="Teal"/>
    <x v="0"/>
    <n v="4.0999999999999996"/>
    <s v="No"/>
    <s v="Bank Transfer"/>
    <s v="Store Pickup"/>
    <s v="No"/>
    <s v="No"/>
    <n v="37"/>
    <x v="4"/>
    <s v="Annually"/>
    <n v="0"/>
    <x v="1"/>
  </r>
  <r>
    <n v="2732"/>
    <n v="52"/>
    <s v="Female"/>
    <s v="Handbag"/>
    <x v="3"/>
    <n v="33"/>
    <x v="48"/>
    <s v="M"/>
    <s v="Red"/>
    <x v="2"/>
    <n v="2.5"/>
    <s v="No"/>
    <s v="PayPal"/>
    <s v="2-Day Shipping"/>
    <s v="No"/>
    <s v="No"/>
    <n v="44"/>
    <x v="4"/>
    <s v="Quarterly"/>
    <n v="0"/>
    <x v="0"/>
  </r>
  <r>
    <n v="2733"/>
    <n v="21"/>
    <s v="Female"/>
    <s v="Socks"/>
    <x v="0"/>
    <n v="75"/>
    <x v="12"/>
    <s v="L"/>
    <s v="Orange"/>
    <x v="0"/>
    <n v="4.2"/>
    <s v="No"/>
    <s v="Credit Card"/>
    <s v="Store Pickup"/>
    <s v="No"/>
    <s v="No"/>
    <n v="27"/>
    <x v="5"/>
    <s v="Every 3 Months"/>
    <n v="0"/>
    <x v="1"/>
  </r>
  <r>
    <n v="2734"/>
    <n v="31"/>
    <s v="Female"/>
    <s v="Backpack"/>
    <x v="3"/>
    <n v="83"/>
    <x v="17"/>
    <s v="M"/>
    <s v="Magenta"/>
    <x v="2"/>
    <n v="4.7"/>
    <s v="No"/>
    <s v="Cash"/>
    <s v="Express"/>
    <s v="No"/>
    <s v="No"/>
    <n v="46"/>
    <x v="3"/>
    <s v="Annually"/>
    <n v="0"/>
    <x v="3"/>
  </r>
  <r>
    <n v="2735"/>
    <n v="63"/>
    <s v="Female"/>
    <s v="Jeans"/>
    <x v="0"/>
    <n v="93"/>
    <x v="14"/>
    <s v="XL"/>
    <s v="Yellow"/>
    <x v="2"/>
    <n v="2.7"/>
    <s v="No"/>
    <s v="Venmo"/>
    <s v="2-Day Shipping"/>
    <s v="No"/>
    <s v="No"/>
    <n v="13"/>
    <x v="1"/>
    <s v="Bi-Weekly"/>
    <n v="0"/>
    <x v="0"/>
  </r>
  <r>
    <n v="2736"/>
    <n v="46"/>
    <s v="Female"/>
    <s v="Skirt"/>
    <x v="0"/>
    <n v="29"/>
    <x v="18"/>
    <s v="M"/>
    <s v="Yellow"/>
    <x v="1"/>
    <n v="3"/>
    <s v="No"/>
    <s v="Bank Transfer"/>
    <s v="Express"/>
    <s v="No"/>
    <s v="No"/>
    <n v="2"/>
    <x v="3"/>
    <s v="Bi-Weekly"/>
    <n v="0"/>
    <x v="0"/>
  </r>
  <r>
    <n v="2737"/>
    <n v="44"/>
    <s v="Female"/>
    <s v="Hoodie"/>
    <x v="0"/>
    <n v="25"/>
    <x v="6"/>
    <s v="M"/>
    <s v="Pink"/>
    <x v="1"/>
    <n v="4.8"/>
    <s v="No"/>
    <s v="PayPal"/>
    <s v="Store Pickup"/>
    <s v="No"/>
    <s v="No"/>
    <n v="45"/>
    <x v="2"/>
    <s v="Annually"/>
    <n v="0"/>
    <x v="2"/>
  </r>
  <r>
    <n v="2738"/>
    <n v="57"/>
    <s v="Female"/>
    <s v="Jewelry"/>
    <x v="3"/>
    <n v="76"/>
    <x v="17"/>
    <s v="S"/>
    <s v="Indigo"/>
    <x v="1"/>
    <n v="4.4000000000000004"/>
    <s v="No"/>
    <s v="Venmo"/>
    <s v="Free Shipping"/>
    <s v="No"/>
    <s v="No"/>
    <n v="35"/>
    <x v="1"/>
    <s v="Every 3 Months"/>
    <n v="0"/>
    <x v="0"/>
  </r>
  <r>
    <n v="2739"/>
    <n v="50"/>
    <s v="Female"/>
    <s v="Sneakers"/>
    <x v="1"/>
    <n v="81"/>
    <x v="31"/>
    <s v="M"/>
    <s v="Charcoal"/>
    <x v="2"/>
    <n v="4.3"/>
    <s v="No"/>
    <s v="Bank Transfer"/>
    <s v="2-Day Shipping"/>
    <s v="No"/>
    <s v="No"/>
    <n v="39"/>
    <x v="0"/>
    <s v="Every 3 Months"/>
    <n v="0"/>
    <x v="0"/>
  </r>
  <r>
    <n v="2740"/>
    <n v="33"/>
    <s v="Female"/>
    <s v="Shirt"/>
    <x v="0"/>
    <n v="80"/>
    <x v="29"/>
    <s v="XL"/>
    <s v="Blue"/>
    <x v="0"/>
    <n v="2.5"/>
    <s v="No"/>
    <s v="Venmo"/>
    <s v="Store Pickup"/>
    <s v="No"/>
    <s v="No"/>
    <n v="39"/>
    <x v="2"/>
    <s v="Every 3 Months"/>
    <n v="0"/>
    <x v="3"/>
  </r>
  <r>
    <n v="2741"/>
    <n v="19"/>
    <s v="Female"/>
    <s v="Sunglasses"/>
    <x v="3"/>
    <n v="70"/>
    <x v="38"/>
    <s v="M"/>
    <s v="Lavender"/>
    <x v="2"/>
    <n v="4.9000000000000004"/>
    <s v="No"/>
    <s v="Credit Card"/>
    <s v="Free Shipping"/>
    <s v="No"/>
    <s v="No"/>
    <n v="34"/>
    <x v="4"/>
    <s v="Fortnightly"/>
    <n v="0"/>
    <x v="1"/>
  </r>
  <r>
    <n v="2742"/>
    <n v="68"/>
    <s v="Female"/>
    <s v="Dress"/>
    <x v="0"/>
    <n v="81"/>
    <x v="1"/>
    <s v="L"/>
    <s v="Yellow"/>
    <x v="3"/>
    <n v="4.9000000000000004"/>
    <s v="No"/>
    <s v="PayPal"/>
    <s v="2-Day Shipping"/>
    <s v="No"/>
    <s v="No"/>
    <n v="41"/>
    <x v="0"/>
    <s v="Monthly"/>
    <n v="0"/>
    <x v="0"/>
  </r>
  <r>
    <n v="2743"/>
    <n v="27"/>
    <s v="Female"/>
    <s v="Shoes"/>
    <x v="1"/>
    <n v="86"/>
    <x v="21"/>
    <s v="M"/>
    <s v="Black"/>
    <x v="1"/>
    <n v="3.9"/>
    <s v="No"/>
    <s v="PayPal"/>
    <s v="Free Shipping"/>
    <s v="No"/>
    <s v="No"/>
    <n v="47"/>
    <x v="5"/>
    <s v="Annually"/>
    <n v="0"/>
    <x v="3"/>
  </r>
  <r>
    <n v="2744"/>
    <n v="61"/>
    <s v="Female"/>
    <s v="Belt"/>
    <x v="3"/>
    <n v="94"/>
    <x v="32"/>
    <s v="S"/>
    <s v="Beige"/>
    <x v="3"/>
    <n v="4.0999999999999996"/>
    <s v="No"/>
    <s v="Debit Card"/>
    <s v="2-Day Shipping"/>
    <s v="No"/>
    <s v="No"/>
    <n v="17"/>
    <x v="0"/>
    <s v="Quarterly"/>
    <n v="0"/>
    <x v="0"/>
  </r>
  <r>
    <n v="2745"/>
    <n v="38"/>
    <s v="Female"/>
    <s v="Shirt"/>
    <x v="0"/>
    <n v="66"/>
    <x v="5"/>
    <s v="M"/>
    <s v="Silver"/>
    <x v="0"/>
    <n v="3.3"/>
    <s v="No"/>
    <s v="Cash"/>
    <s v="Store Pickup"/>
    <s v="No"/>
    <s v="No"/>
    <n v="40"/>
    <x v="2"/>
    <s v="Monthly"/>
    <n v="0"/>
    <x v="2"/>
  </r>
  <r>
    <n v="2746"/>
    <n v="28"/>
    <s v="Female"/>
    <s v="Boots"/>
    <x v="1"/>
    <n v="98"/>
    <x v="49"/>
    <s v="M"/>
    <s v="Magenta"/>
    <x v="2"/>
    <n v="4.0999999999999996"/>
    <s v="No"/>
    <s v="Bank Transfer"/>
    <s v="Standard"/>
    <s v="No"/>
    <s v="No"/>
    <n v="44"/>
    <x v="3"/>
    <s v="Bi-Weekly"/>
    <n v="0"/>
    <x v="3"/>
  </r>
  <r>
    <n v="2747"/>
    <n v="39"/>
    <s v="Female"/>
    <s v="Hoodie"/>
    <x v="0"/>
    <n v="25"/>
    <x v="31"/>
    <s v="M"/>
    <s v="Orange"/>
    <x v="3"/>
    <n v="3.7"/>
    <s v="No"/>
    <s v="Bank Transfer"/>
    <s v="Standard"/>
    <s v="No"/>
    <s v="No"/>
    <n v="21"/>
    <x v="3"/>
    <s v="Every 3 Months"/>
    <n v="0"/>
    <x v="2"/>
  </r>
  <r>
    <n v="2748"/>
    <n v="18"/>
    <s v="Female"/>
    <s v="Jeans"/>
    <x v="0"/>
    <n v="62"/>
    <x v="8"/>
    <s v="M"/>
    <s v="Teal"/>
    <x v="0"/>
    <n v="3.1"/>
    <s v="No"/>
    <s v="Debit Card"/>
    <s v="Free Shipping"/>
    <s v="No"/>
    <s v="No"/>
    <n v="21"/>
    <x v="2"/>
    <s v="Every 3 Months"/>
    <n v="0"/>
    <x v="1"/>
  </r>
  <r>
    <n v="2749"/>
    <n v="24"/>
    <s v="Female"/>
    <s v="Jacket"/>
    <x v="2"/>
    <n v="98"/>
    <x v="41"/>
    <s v="L"/>
    <s v="Turquoise"/>
    <x v="1"/>
    <n v="3"/>
    <s v="No"/>
    <s v="Cash"/>
    <s v="Free Shipping"/>
    <s v="No"/>
    <s v="No"/>
    <n v="16"/>
    <x v="0"/>
    <s v="Annually"/>
    <n v="0"/>
    <x v="1"/>
  </r>
  <r>
    <n v="2750"/>
    <n v="64"/>
    <s v="Female"/>
    <s v="Jacket"/>
    <x v="2"/>
    <n v="53"/>
    <x v="34"/>
    <s v="M"/>
    <s v="Cyan"/>
    <x v="1"/>
    <n v="3.4"/>
    <s v="No"/>
    <s v="Venmo"/>
    <s v="Standard"/>
    <s v="No"/>
    <s v="No"/>
    <n v="15"/>
    <x v="4"/>
    <s v="Annually"/>
    <n v="0"/>
    <x v="0"/>
  </r>
  <r>
    <n v="2751"/>
    <n v="51"/>
    <s v="Female"/>
    <s v="Sandals"/>
    <x v="1"/>
    <n v="66"/>
    <x v="29"/>
    <s v="L"/>
    <s v="Pink"/>
    <x v="1"/>
    <n v="2.7"/>
    <s v="No"/>
    <s v="Cash"/>
    <s v="2-Day Shipping"/>
    <s v="No"/>
    <s v="No"/>
    <n v="26"/>
    <x v="3"/>
    <s v="Every 3 Months"/>
    <n v="0"/>
    <x v="0"/>
  </r>
  <r>
    <n v="2752"/>
    <n v="27"/>
    <s v="Female"/>
    <s v="Dress"/>
    <x v="0"/>
    <n v="52"/>
    <x v="46"/>
    <s v="S"/>
    <s v="Indigo"/>
    <x v="3"/>
    <n v="3.1"/>
    <s v="No"/>
    <s v="Venmo"/>
    <s v="Free Shipping"/>
    <s v="No"/>
    <s v="No"/>
    <n v="50"/>
    <x v="0"/>
    <s v="Monthly"/>
    <n v="0"/>
    <x v="3"/>
  </r>
  <r>
    <n v="2753"/>
    <n v="48"/>
    <s v="Female"/>
    <s v="Sweater"/>
    <x v="0"/>
    <n v="64"/>
    <x v="24"/>
    <s v="S"/>
    <s v="Peach"/>
    <x v="0"/>
    <n v="4"/>
    <s v="No"/>
    <s v="Cash"/>
    <s v="Free Shipping"/>
    <s v="No"/>
    <s v="No"/>
    <n v="30"/>
    <x v="0"/>
    <s v="Bi-Weekly"/>
    <n v="0"/>
    <x v="0"/>
  </r>
  <r>
    <n v="2754"/>
    <n v="69"/>
    <s v="Female"/>
    <s v="Gloves"/>
    <x v="3"/>
    <n v="59"/>
    <x v="3"/>
    <s v="M"/>
    <s v="Beige"/>
    <x v="1"/>
    <n v="3.6"/>
    <s v="No"/>
    <s v="Bank Transfer"/>
    <s v="Next Day Air"/>
    <s v="No"/>
    <s v="No"/>
    <n v="48"/>
    <x v="3"/>
    <s v="Quarterly"/>
    <n v="0"/>
    <x v="0"/>
  </r>
  <r>
    <n v="2755"/>
    <n v="59"/>
    <s v="Female"/>
    <s v="Sunglasses"/>
    <x v="3"/>
    <n v="61"/>
    <x v="32"/>
    <s v="L"/>
    <s v="Gold"/>
    <x v="2"/>
    <n v="3.6"/>
    <s v="No"/>
    <s v="PayPal"/>
    <s v="Free Shipping"/>
    <s v="No"/>
    <s v="No"/>
    <n v="21"/>
    <x v="0"/>
    <s v="Bi-Weekly"/>
    <n v="0"/>
    <x v="0"/>
  </r>
  <r>
    <n v="2756"/>
    <n v="59"/>
    <s v="Female"/>
    <s v="Belt"/>
    <x v="3"/>
    <n v="97"/>
    <x v="22"/>
    <s v="M"/>
    <s v="Indigo"/>
    <x v="0"/>
    <n v="3.3"/>
    <s v="No"/>
    <s v="Venmo"/>
    <s v="Store Pickup"/>
    <s v="No"/>
    <s v="No"/>
    <n v="18"/>
    <x v="2"/>
    <s v="Annually"/>
    <n v="0"/>
    <x v="0"/>
  </r>
  <r>
    <n v="2757"/>
    <n v="42"/>
    <s v="Female"/>
    <s v="Hat"/>
    <x v="3"/>
    <n v="23"/>
    <x v="46"/>
    <s v="L"/>
    <s v="Violet"/>
    <x v="0"/>
    <n v="4.0999999999999996"/>
    <s v="No"/>
    <s v="Bank Transfer"/>
    <s v="Free Shipping"/>
    <s v="No"/>
    <s v="No"/>
    <n v="41"/>
    <x v="3"/>
    <s v="Monthly"/>
    <n v="0"/>
    <x v="2"/>
  </r>
  <r>
    <n v="2758"/>
    <n v="39"/>
    <s v="Female"/>
    <s v="Hat"/>
    <x v="3"/>
    <n v="98"/>
    <x v="12"/>
    <s v="XL"/>
    <s v="Brown"/>
    <x v="3"/>
    <n v="4.3"/>
    <s v="No"/>
    <s v="Cash"/>
    <s v="Next Day Air"/>
    <s v="No"/>
    <s v="No"/>
    <n v="11"/>
    <x v="0"/>
    <s v="Monthly"/>
    <n v="0"/>
    <x v="2"/>
  </r>
  <r>
    <n v="2759"/>
    <n v="32"/>
    <s v="Female"/>
    <s v="Blouse"/>
    <x v="0"/>
    <n v="98"/>
    <x v="26"/>
    <s v="M"/>
    <s v="Purple"/>
    <x v="2"/>
    <n v="3.2"/>
    <s v="No"/>
    <s v="Debit Card"/>
    <s v="Standard"/>
    <s v="No"/>
    <s v="No"/>
    <n v="8"/>
    <x v="4"/>
    <s v="Bi-Weekly"/>
    <n v="0"/>
    <x v="3"/>
  </r>
  <r>
    <n v="2760"/>
    <n v="68"/>
    <s v="Female"/>
    <s v="Shoes"/>
    <x v="1"/>
    <n v="59"/>
    <x v="47"/>
    <s v="M"/>
    <s v="Turquoise"/>
    <x v="2"/>
    <n v="3.9"/>
    <s v="No"/>
    <s v="Credit Card"/>
    <s v="Free Shipping"/>
    <s v="No"/>
    <s v="No"/>
    <n v="42"/>
    <x v="1"/>
    <s v="Every 3 Months"/>
    <n v="0"/>
    <x v="0"/>
  </r>
  <r>
    <n v="2761"/>
    <n v="41"/>
    <s v="Female"/>
    <s v="Skirt"/>
    <x v="0"/>
    <n v="82"/>
    <x v="29"/>
    <s v="S"/>
    <s v="Violet"/>
    <x v="3"/>
    <n v="5"/>
    <s v="No"/>
    <s v="Bank Transfer"/>
    <s v="Next Day Air"/>
    <s v="No"/>
    <s v="No"/>
    <n v="41"/>
    <x v="2"/>
    <s v="Bi-Weekly"/>
    <n v="0"/>
    <x v="2"/>
  </r>
  <r>
    <n v="2762"/>
    <n v="31"/>
    <s v="Female"/>
    <s v="Sneakers"/>
    <x v="1"/>
    <n v="82"/>
    <x v="49"/>
    <s v="M"/>
    <s v="Purple"/>
    <x v="3"/>
    <n v="3.4"/>
    <s v="No"/>
    <s v="Venmo"/>
    <s v="Next Day Air"/>
    <s v="No"/>
    <s v="No"/>
    <n v="3"/>
    <x v="2"/>
    <s v="Every 3 Months"/>
    <n v="0"/>
    <x v="3"/>
  </r>
  <r>
    <n v="2763"/>
    <n v="58"/>
    <s v="Female"/>
    <s v="T-shirt"/>
    <x v="0"/>
    <n v="41"/>
    <x v="42"/>
    <s v="M"/>
    <s v="Charcoal"/>
    <x v="3"/>
    <n v="3.8"/>
    <s v="No"/>
    <s v="Bank Transfer"/>
    <s v="Store Pickup"/>
    <s v="No"/>
    <s v="No"/>
    <n v="10"/>
    <x v="5"/>
    <s v="Every 3 Months"/>
    <n v="0"/>
    <x v="0"/>
  </r>
  <r>
    <n v="2764"/>
    <n v="28"/>
    <s v="Female"/>
    <s v="Handbag"/>
    <x v="3"/>
    <n v="52"/>
    <x v="8"/>
    <s v="M"/>
    <s v="Green"/>
    <x v="3"/>
    <n v="2.9"/>
    <s v="No"/>
    <s v="Venmo"/>
    <s v="2-Day Shipping"/>
    <s v="No"/>
    <s v="No"/>
    <n v="35"/>
    <x v="0"/>
    <s v="Quarterly"/>
    <n v="0"/>
    <x v="3"/>
  </r>
  <r>
    <n v="2765"/>
    <n v="63"/>
    <s v="Female"/>
    <s v="Sweater"/>
    <x v="0"/>
    <n v="41"/>
    <x v="28"/>
    <s v="XL"/>
    <s v="White"/>
    <x v="1"/>
    <n v="2.6"/>
    <s v="No"/>
    <s v="Credit Card"/>
    <s v="Next Day Air"/>
    <s v="No"/>
    <s v="No"/>
    <n v="2"/>
    <x v="5"/>
    <s v="Weekly"/>
    <n v="0"/>
    <x v="0"/>
  </r>
  <r>
    <n v="2766"/>
    <n v="64"/>
    <s v="Female"/>
    <s v="Gloves"/>
    <x v="3"/>
    <n v="70"/>
    <x v="24"/>
    <s v="M"/>
    <s v="Purple"/>
    <x v="2"/>
    <n v="4.3"/>
    <s v="No"/>
    <s v="Cash"/>
    <s v="2-Day Shipping"/>
    <s v="No"/>
    <s v="No"/>
    <n v="24"/>
    <x v="2"/>
    <s v="Quarterly"/>
    <n v="0"/>
    <x v="0"/>
  </r>
  <r>
    <n v="2767"/>
    <n v="66"/>
    <s v="Female"/>
    <s v="Dress"/>
    <x v="0"/>
    <n v="91"/>
    <x v="30"/>
    <s v="M"/>
    <s v="Cyan"/>
    <x v="0"/>
    <n v="2.8"/>
    <s v="No"/>
    <s v="Venmo"/>
    <s v="Standard"/>
    <s v="No"/>
    <s v="No"/>
    <n v="47"/>
    <x v="2"/>
    <s v="Monthly"/>
    <n v="0"/>
    <x v="0"/>
  </r>
  <r>
    <n v="2768"/>
    <n v="31"/>
    <s v="Female"/>
    <s v="Dress"/>
    <x v="0"/>
    <n v="95"/>
    <x v="44"/>
    <s v="M"/>
    <s v="Green"/>
    <x v="1"/>
    <n v="4.5"/>
    <s v="No"/>
    <s v="Credit Card"/>
    <s v="Free Shipping"/>
    <s v="No"/>
    <s v="No"/>
    <n v="31"/>
    <x v="1"/>
    <s v="Monthly"/>
    <n v="0"/>
    <x v="3"/>
  </r>
  <r>
    <n v="2769"/>
    <n v="55"/>
    <s v="Female"/>
    <s v="Blouse"/>
    <x v="0"/>
    <n v="25"/>
    <x v="23"/>
    <s v="M"/>
    <s v="Beige"/>
    <x v="1"/>
    <n v="3.8"/>
    <s v="No"/>
    <s v="Venmo"/>
    <s v="2-Day Shipping"/>
    <s v="No"/>
    <s v="No"/>
    <n v="28"/>
    <x v="3"/>
    <s v="Bi-Weekly"/>
    <n v="0"/>
    <x v="0"/>
  </r>
  <r>
    <n v="2770"/>
    <n v="32"/>
    <s v="Female"/>
    <s v="Shirt"/>
    <x v="0"/>
    <n v="89"/>
    <x v="19"/>
    <s v="L"/>
    <s v="Lavender"/>
    <x v="3"/>
    <n v="3"/>
    <s v="No"/>
    <s v="PayPal"/>
    <s v="Standard"/>
    <s v="No"/>
    <s v="No"/>
    <n v="13"/>
    <x v="1"/>
    <s v="Weekly"/>
    <n v="0"/>
    <x v="3"/>
  </r>
  <r>
    <n v="2771"/>
    <n v="50"/>
    <s v="Female"/>
    <s v="Boots"/>
    <x v="1"/>
    <n v="44"/>
    <x v="43"/>
    <s v="S"/>
    <s v="Blue"/>
    <x v="3"/>
    <n v="3.3"/>
    <s v="No"/>
    <s v="PayPal"/>
    <s v="Express"/>
    <s v="No"/>
    <s v="No"/>
    <n v="22"/>
    <x v="4"/>
    <s v="Quarterly"/>
    <n v="0"/>
    <x v="0"/>
  </r>
  <r>
    <n v="2772"/>
    <n v="58"/>
    <s v="Female"/>
    <s v="Jacket"/>
    <x v="2"/>
    <n v="52"/>
    <x v="33"/>
    <s v="S"/>
    <s v="Beige"/>
    <x v="2"/>
    <n v="3.1"/>
    <s v="No"/>
    <s v="Cash"/>
    <s v="2-Day Shipping"/>
    <s v="No"/>
    <s v="No"/>
    <n v="12"/>
    <x v="4"/>
    <s v="Fortnightly"/>
    <n v="0"/>
    <x v="0"/>
  </r>
  <r>
    <n v="2773"/>
    <n v="18"/>
    <s v="Female"/>
    <s v="Backpack"/>
    <x v="3"/>
    <n v="94"/>
    <x v="38"/>
    <s v="L"/>
    <s v="Blue"/>
    <x v="1"/>
    <n v="3.5"/>
    <s v="No"/>
    <s v="Credit Card"/>
    <s v="Store Pickup"/>
    <s v="No"/>
    <s v="No"/>
    <n v="10"/>
    <x v="4"/>
    <s v="Every 3 Months"/>
    <n v="0"/>
    <x v="1"/>
  </r>
  <r>
    <n v="2774"/>
    <n v="39"/>
    <s v="Female"/>
    <s v="Pants"/>
    <x v="0"/>
    <n v="98"/>
    <x v="28"/>
    <s v="S"/>
    <s v="Maroon"/>
    <x v="1"/>
    <n v="4.5999999999999996"/>
    <s v="No"/>
    <s v="Credit Card"/>
    <s v="Express"/>
    <s v="No"/>
    <s v="No"/>
    <n v="45"/>
    <x v="4"/>
    <s v="Quarterly"/>
    <n v="0"/>
    <x v="2"/>
  </r>
  <r>
    <n v="2775"/>
    <n v="56"/>
    <s v="Female"/>
    <s v="Boots"/>
    <x v="1"/>
    <n v="40"/>
    <x v="19"/>
    <s v="L"/>
    <s v="Yellow"/>
    <x v="3"/>
    <n v="4.0999999999999996"/>
    <s v="No"/>
    <s v="Bank Transfer"/>
    <s v="Standard"/>
    <s v="No"/>
    <s v="No"/>
    <n v="42"/>
    <x v="2"/>
    <s v="Quarterly"/>
    <n v="0"/>
    <x v="0"/>
  </r>
  <r>
    <n v="2776"/>
    <n v="37"/>
    <s v="Female"/>
    <s v="Socks"/>
    <x v="0"/>
    <n v="25"/>
    <x v="6"/>
    <s v="L"/>
    <s v="Red"/>
    <x v="3"/>
    <n v="3.6"/>
    <s v="No"/>
    <s v="Venmo"/>
    <s v="Free Shipping"/>
    <s v="No"/>
    <s v="No"/>
    <n v="16"/>
    <x v="5"/>
    <s v="Weekly"/>
    <n v="0"/>
    <x v="2"/>
  </r>
  <r>
    <n v="2777"/>
    <n v="46"/>
    <s v="Female"/>
    <s v="Scarf"/>
    <x v="3"/>
    <n v="62"/>
    <x v="5"/>
    <s v="L"/>
    <s v="Green"/>
    <x v="3"/>
    <n v="2.9"/>
    <s v="No"/>
    <s v="Debit Card"/>
    <s v="Free Shipping"/>
    <s v="No"/>
    <s v="No"/>
    <n v="6"/>
    <x v="4"/>
    <s v="Annually"/>
    <n v="0"/>
    <x v="0"/>
  </r>
  <r>
    <n v="2778"/>
    <n v="52"/>
    <s v="Female"/>
    <s v="Blouse"/>
    <x v="0"/>
    <n v="24"/>
    <x v="37"/>
    <s v="M"/>
    <s v="Magenta"/>
    <x v="3"/>
    <n v="4.8"/>
    <s v="No"/>
    <s v="Debit Card"/>
    <s v="Standard"/>
    <s v="No"/>
    <s v="No"/>
    <n v="28"/>
    <x v="2"/>
    <s v="Every 3 Months"/>
    <n v="0"/>
    <x v="0"/>
  </r>
  <r>
    <n v="2779"/>
    <n v="70"/>
    <s v="Female"/>
    <s v="Belt"/>
    <x v="3"/>
    <n v="57"/>
    <x v="38"/>
    <s v="L"/>
    <s v="Yellow"/>
    <x v="1"/>
    <n v="3.2"/>
    <s v="No"/>
    <s v="Cash"/>
    <s v="Standard"/>
    <s v="No"/>
    <s v="No"/>
    <n v="24"/>
    <x v="2"/>
    <s v="Bi-Weekly"/>
    <n v="0"/>
    <x v="0"/>
  </r>
  <r>
    <n v="2780"/>
    <n v="61"/>
    <s v="Female"/>
    <s v="Sunglasses"/>
    <x v="3"/>
    <n v="66"/>
    <x v="6"/>
    <s v="L"/>
    <s v="Blue"/>
    <x v="0"/>
    <n v="4.3"/>
    <s v="No"/>
    <s v="Bank Transfer"/>
    <s v="Express"/>
    <s v="No"/>
    <s v="No"/>
    <n v="14"/>
    <x v="2"/>
    <s v="Fortnightly"/>
    <n v="0"/>
    <x v="0"/>
  </r>
  <r>
    <n v="2781"/>
    <n v="33"/>
    <s v="Female"/>
    <s v="Boots"/>
    <x v="1"/>
    <n v="70"/>
    <x v="31"/>
    <s v="M"/>
    <s v="Charcoal"/>
    <x v="0"/>
    <n v="4.0999999999999996"/>
    <s v="No"/>
    <s v="Bank Transfer"/>
    <s v="Next Day Air"/>
    <s v="No"/>
    <s v="No"/>
    <n v="29"/>
    <x v="3"/>
    <s v="Fortnightly"/>
    <n v="0"/>
    <x v="3"/>
  </r>
  <r>
    <n v="2782"/>
    <n v="65"/>
    <s v="Female"/>
    <s v="Sandals"/>
    <x v="1"/>
    <n v="39"/>
    <x v="16"/>
    <s v="M"/>
    <s v="Blue"/>
    <x v="1"/>
    <n v="4.5999999999999996"/>
    <s v="No"/>
    <s v="Venmo"/>
    <s v="Standard"/>
    <s v="No"/>
    <s v="No"/>
    <n v="33"/>
    <x v="3"/>
    <s v="Weekly"/>
    <n v="0"/>
    <x v="0"/>
  </r>
  <r>
    <n v="2783"/>
    <n v="41"/>
    <s v="Female"/>
    <s v="Gloves"/>
    <x v="3"/>
    <n v="34"/>
    <x v="37"/>
    <s v="S"/>
    <s v="Cyan"/>
    <x v="1"/>
    <n v="3.8"/>
    <s v="No"/>
    <s v="PayPal"/>
    <s v="Free Shipping"/>
    <s v="No"/>
    <s v="No"/>
    <n v="30"/>
    <x v="3"/>
    <s v="Annually"/>
    <n v="0"/>
    <x v="2"/>
  </r>
  <r>
    <n v="2784"/>
    <n v="19"/>
    <s v="Female"/>
    <s v="Skirt"/>
    <x v="0"/>
    <n v="38"/>
    <x v="41"/>
    <s v="M"/>
    <s v="Silver"/>
    <x v="1"/>
    <n v="4.5"/>
    <s v="No"/>
    <s v="Credit Card"/>
    <s v="Next Day Air"/>
    <s v="No"/>
    <s v="No"/>
    <n v="26"/>
    <x v="2"/>
    <s v="Quarterly"/>
    <n v="0"/>
    <x v="1"/>
  </r>
  <r>
    <n v="2785"/>
    <n v="33"/>
    <s v="Female"/>
    <s v="Skirt"/>
    <x v="0"/>
    <n v="70"/>
    <x v="37"/>
    <s v="M"/>
    <s v="Black"/>
    <x v="0"/>
    <n v="3.1"/>
    <s v="No"/>
    <s v="Bank Transfer"/>
    <s v="Express"/>
    <s v="No"/>
    <s v="No"/>
    <n v="12"/>
    <x v="3"/>
    <s v="Every 3 Months"/>
    <n v="0"/>
    <x v="3"/>
  </r>
  <r>
    <n v="2786"/>
    <n v="53"/>
    <s v="Female"/>
    <s v="Blouse"/>
    <x v="0"/>
    <n v="80"/>
    <x v="7"/>
    <s v="S"/>
    <s v="Green"/>
    <x v="2"/>
    <n v="2.9"/>
    <s v="No"/>
    <s v="Credit Card"/>
    <s v="Next Day Air"/>
    <s v="No"/>
    <s v="No"/>
    <n v="13"/>
    <x v="4"/>
    <s v="Monthly"/>
    <n v="0"/>
    <x v="0"/>
  </r>
  <r>
    <n v="2787"/>
    <n v="54"/>
    <s v="Female"/>
    <s v="Handbag"/>
    <x v="3"/>
    <n v="51"/>
    <x v="24"/>
    <s v="M"/>
    <s v="Violet"/>
    <x v="1"/>
    <n v="3.8"/>
    <s v="No"/>
    <s v="PayPal"/>
    <s v="Next Day Air"/>
    <s v="No"/>
    <s v="No"/>
    <n v="41"/>
    <x v="5"/>
    <s v="Every 3 Months"/>
    <n v="0"/>
    <x v="0"/>
  </r>
  <r>
    <n v="2788"/>
    <n v="36"/>
    <s v="Female"/>
    <s v="Boots"/>
    <x v="1"/>
    <n v="79"/>
    <x v="8"/>
    <s v="XL"/>
    <s v="Pink"/>
    <x v="1"/>
    <n v="4.0999999999999996"/>
    <s v="No"/>
    <s v="Cash"/>
    <s v="Next Day Air"/>
    <s v="No"/>
    <s v="No"/>
    <n v="4"/>
    <x v="0"/>
    <s v="Fortnightly"/>
    <n v="0"/>
    <x v="2"/>
  </r>
  <r>
    <n v="2789"/>
    <n v="56"/>
    <s v="Female"/>
    <s v="Boots"/>
    <x v="1"/>
    <n v="92"/>
    <x v="3"/>
    <s v="M"/>
    <s v="Olive"/>
    <x v="2"/>
    <n v="3.1"/>
    <s v="No"/>
    <s v="Cash"/>
    <s v="Free Shipping"/>
    <s v="No"/>
    <s v="No"/>
    <n v="2"/>
    <x v="2"/>
    <s v="Annually"/>
    <n v="0"/>
    <x v="0"/>
  </r>
  <r>
    <n v="2790"/>
    <n v="28"/>
    <s v="Female"/>
    <s v="Sweater"/>
    <x v="0"/>
    <n v="85"/>
    <x v="17"/>
    <s v="L"/>
    <s v="Orange"/>
    <x v="3"/>
    <n v="5"/>
    <s v="No"/>
    <s v="Cash"/>
    <s v="Express"/>
    <s v="No"/>
    <s v="No"/>
    <n v="28"/>
    <x v="2"/>
    <s v="Bi-Weekly"/>
    <n v="0"/>
    <x v="3"/>
  </r>
  <r>
    <n v="2791"/>
    <n v="34"/>
    <s v="Female"/>
    <s v="Socks"/>
    <x v="0"/>
    <n v="63"/>
    <x v="1"/>
    <s v="M"/>
    <s v="Black"/>
    <x v="1"/>
    <n v="4.5"/>
    <s v="No"/>
    <s v="Cash"/>
    <s v="Free Shipping"/>
    <s v="No"/>
    <s v="No"/>
    <n v="24"/>
    <x v="5"/>
    <s v="Annually"/>
    <n v="0"/>
    <x v="3"/>
  </r>
  <r>
    <n v="2792"/>
    <n v="43"/>
    <s v="Female"/>
    <s v="Gloves"/>
    <x v="3"/>
    <n v="60"/>
    <x v="44"/>
    <s v="M"/>
    <s v="Yellow"/>
    <x v="3"/>
    <n v="2.8"/>
    <s v="No"/>
    <s v="Credit Card"/>
    <s v="Express"/>
    <s v="No"/>
    <s v="No"/>
    <n v="14"/>
    <x v="0"/>
    <s v="Fortnightly"/>
    <n v="0"/>
    <x v="2"/>
  </r>
  <r>
    <n v="2793"/>
    <n v="54"/>
    <s v="Female"/>
    <s v="Shorts"/>
    <x v="0"/>
    <n v="44"/>
    <x v="0"/>
    <s v="L"/>
    <s v="Violet"/>
    <x v="0"/>
    <n v="3.2"/>
    <s v="No"/>
    <s v="Debit Card"/>
    <s v="Express"/>
    <s v="No"/>
    <s v="No"/>
    <n v="11"/>
    <x v="2"/>
    <s v="Weekly"/>
    <n v="0"/>
    <x v="0"/>
  </r>
  <r>
    <n v="2794"/>
    <n v="37"/>
    <s v="Female"/>
    <s v="Boots"/>
    <x v="1"/>
    <n v="57"/>
    <x v="2"/>
    <s v="M"/>
    <s v="Silver"/>
    <x v="1"/>
    <n v="3.1"/>
    <s v="No"/>
    <s v="Bank Transfer"/>
    <s v="Standard"/>
    <s v="No"/>
    <s v="No"/>
    <n v="27"/>
    <x v="5"/>
    <s v="Bi-Weekly"/>
    <n v="0"/>
    <x v="2"/>
  </r>
  <r>
    <n v="2795"/>
    <n v="33"/>
    <s v="Female"/>
    <s v="Jacket"/>
    <x v="2"/>
    <n v="24"/>
    <x v="14"/>
    <s v="M"/>
    <s v="Gold"/>
    <x v="3"/>
    <n v="3.3"/>
    <s v="No"/>
    <s v="PayPal"/>
    <s v="Standard"/>
    <s v="No"/>
    <s v="No"/>
    <n v="7"/>
    <x v="1"/>
    <s v="Fortnightly"/>
    <n v="0"/>
    <x v="3"/>
  </r>
  <r>
    <n v="2796"/>
    <n v="33"/>
    <s v="Female"/>
    <s v="Scarf"/>
    <x v="3"/>
    <n v="35"/>
    <x v="43"/>
    <s v="M"/>
    <s v="Magenta"/>
    <x v="0"/>
    <n v="3.4"/>
    <s v="No"/>
    <s v="Bank Transfer"/>
    <s v="Store Pickup"/>
    <s v="No"/>
    <s v="No"/>
    <n v="49"/>
    <x v="3"/>
    <s v="Annually"/>
    <n v="0"/>
    <x v="3"/>
  </r>
  <r>
    <n v="2797"/>
    <n v="55"/>
    <s v="Female"/>
    <s v="Jacket"/>
    <x v="2"/>
    <n v="73"/>
    <x v="19"/>
    <s v="M"/>
    <s v="Red"/>
    <x v="0"/>
    <n v="3.8"/>
    <s v="No"/>
    <s v="Cash"/>
    <s v="Store Pickup"/>
    <s v="No"/>
    <s v="No"/>
    <n v="21"/>
    <x v="1"/>
    <s v="Annually"/>
    <n v="0"/>
    <x v="0"/>
  </r>
  <r>
    <n v="2798"/>
    <n v="63"/>
    <s v="Female"/>
    <s v="Jewelry"/>
    <x v="3"/>
    <n v="42"/>
    <x v="19"/>
    <s v="M"/>
    <s v="Green"/>
    <x v="0"/>
    <n v="3.5"/>
    <s v="No"/>
    <s v="PayPal"/>
    <s v="Express"/>
    <s v="No"/>
    <s v="No"/>
    <n v="10"/>
    <x v="0"/>
    <s v="Every 3 Months"/>
    <n v="0"/>
    <x v="0"/>
  </r>
  <r>
    <n v="2799"/>
    <n v="52"/>
    <s v="Female"/>
    <s v="Hoodie"/>
    <x v="0"/>
    <n v="20"/>
    <x v="3"/>
    <s v="XL"/>
    <s v="Red"/>
    <x v="0"/>
    <n v="4.8"/>
    <s v="No"/>
    <s v="Credit Card"/>
    <s v="Store Pickup"/>
    <s v="No"/>
    <s v="No"/>
    <n v="37"/>
    <x v="3"/>
    <s v="Weekly"/>
    <n v="0"/>
    <x v="0"/>
  </r>
  <r>
    <n v="2800"/>
    <n v="23"/>
    <s v="Female"/>
    <s v="T-shirt"/>
    <x v="0"/>
    <n v="89"/>
    <x v="1"/>
    <s v="L"/>
    <s v="Pink"/>
    <x v="1"/>
    <n v="3.9"/>
    <s v="No"/>
    <s v="Credit Card"/>
    <s v="Free Shipping"/>
    <s v="No"/>
    <s v="No"/>
    <n v="9"/>
    <x v="4"/>
    <s v="Every 3 Months"/>
    <n v="0"/>
    <x v="1"/>
  </r>
  <r>
    <n v="2801"/>
    <n v="70"/>
    <s v="Female"/>
    <s v="Shirt"/>
    <x v="0"/>
    <n v="76"/>
    <x v="10"/>
    <s v="L"/>
    <s v="Violet"/>
    <x v="3"/>
    <n v="3.4"/>
    <s v="No"/>
    <s v="PayPal"/>
    <s v="Free Shipping"/>
    <s v="No"/>
    <s v="No"/>
    <n v="14"/>
    <x v="1"/>
    <s v="Bi-Weekly"/>
    <n v="0"/>
    <x v="0"/>
  </r>
  <r>
    <n v="2802"/>
    <n v="64"/>
    <s v="Female"/>
    <s v="Shirt"/>
    <x v="0"/>
    <n v="56"/>
    <x v="35"/>
    <s v="M"/>
    <s v="Indigo"/>
    <x v="0"/>
    <n v="2.6"/>
    <s v="No"/>
    <s v="Cash"/>
    <s v="Express"/>
    <s v="No"/>
    <s v="No"/>
    <n v="30"/>
    <x v="3"/>
    <s v="Annually"/>
    <n v="0"/>
    <x v="0"/>
  </r>
  <r>
    <n v="2803"/>
    <n v="22"/>
    <s v="Female"/>
    <s v="Coat"/>
    <x v="2"/>
    <n v="100"/>
    <x v="11"/>
    <s v="L"/>
    <s v="Red"/>
    <x v="3"/>
    <n v="3.1"/>
    <s v="No"/>
    <s v="Bank Transfer"/>
    <s v="Store Pickup"/>
    <s v="No"/>
    <s v="No"/>
    <n v="42"/>
    <x v="2"/>
    <s v="Fortnightly"/>
    <n v="0"/>
    <x v="1"/>
  </r>
  <r>
    <n v="2804"/>
    <n v="46"/>
    <s v="Female"/>
    <s v="T-shirt"/>
    <x v="0"/>
    <n v="44"/>
    <x v="37"/>
    <s v="M"/>
    <s v="Violet"/>
    <x v="0"/>
    <n v="3.3"/>
    <s v="No"/>
    <s v="Credit Card"/>
    <s v="Free Shipping"/>
    <s v="No"/>
    <s v="No"/>
    <n v="31"/>
    <x v="4"/>
    <s v="Monthly"/>
    <n v="0"/>
    <x v="0"/>
  </r>
  <r>
    <n v="2805"/>
    <n v="65"/>
    <s v="Female"/>
    <s v="Hoodie"/>
    <x v="0"/>
    <n v="76"/>
    <x v="36"/>
    <s v="M"/>
    <s v="Cyan"/>
    <x v="1"/>
    <n v="2.8"/>
    <s v="No"/>
    <s v="Credit Card"/>
    <s v="Standard"/>
    <s v="No"/>
    <s v="No"/>
    <n v="48"/>
    <x v="4"/>
    <s v="Every 3 Months"/>
    <n v="0"/>
    <x v="0"/>
  </r>
  <r>
    <n v="2806"/>
    <n v="18"/>
    <s v="Female"/>
    <s v="Sunglasses"/>
    <x v="3"/>
    <n v="97"/>
    <x v="22"/>
    <s v="S"/>
    <s v="Black"/>
    <x v="3"/>
    <n v="4.3"/>
    <s v="No"/>
    <s v="Cash"/>
    <s v="Standard"/>
    <s v="No"/>
    <s v="No"/>
    <n v="48"/>
    <x v="1"/>
    <s v="Quarterly"/>
    <n v="0"/>
    <x v="1"/>
  </r>
  <r>
    <n v="2807"/>
    <n v="45"/>
    <s v="Female"/>
    <s v="Blouse"/>
    <x v="0"/>
    <n v="39"/>
    <x v="36"/>
    <s v="L"/>
    <s v="Purple"/>
    <x v="1"/>
    <n v="2.7"/>
    <s v="No"/>
    <s v="PayPal"/>
    <s v="Standard"/>
    <s v="No"/>
    <s v="No"/>
    <n v="50"/>
    <x v="2"/>
    <s v="Annually"/>
    <n v="0"/>
    <x v="2"/>
  </r>
  <r>
    <n v="2808"/>
    <n v="56"/>
    <s v="Female"/>
    <s v="Hoodie"/>
    <x v="0"/>
    <n v="100"/>
    <x v="33"/>
    <s v="M"/>
    <s v="Charcoal"/>
    <x v="1"/>
    <n v="4.4000000000000004"/>
    <s v="No"/>
    <s v="Debit Card"/>
    <s v="2-Day Shipping"/>
    <s v="No"/>
    <s v="No"/>
    <n v="10"/>
    <x v="5"/>
    <s v="Fortnightly"/>
    <n v="0"/>
    <x v="0"/>
  </r>
  <r>
    <n v="2809"/>
    <n v="49"/>
    <s v="Female"/>
    <s v="Skirt"/>
    <x v="0"/>
    <n v="62"/>
    <x v="30"/>
    <s v="M"/>
    <s v="Beige"/>
    <x v="1"/>
    <n v="3.9"/>
    <s v="No"/>
    <s v="Credit Card"/>
    <s v="Free Shipping"/>
    <s v="No"/>
    <s v="No"/>
    <n v="45"/>
    <x v="3"/>
    <s v="Every 3 Months"/>
    <n v="0"/>
    <x v="0"/>
  </r>
  <r>
    <n v="2810"/>
    <n v="66"/>
    <s v="Female"/>
    <s v="Shorts"/>
    <x v="0"/>
    <n v="98"/>
    <x v="10"/>
    <s v="XL"/>
    <s v="Teal"/>
    <x v="2"/>
    <n v="3"/>
    <s v="No"/>
    <s v="Debit Card"/>
    <s v="Standard"/>
    <s v="No"/>
    <s v="No"/>
    <n v="27"/>
    <x v="5"/>
    <s v="Quarterly"/>
    <n v="0"/>
    <x v="0"/>
  </r>
  <r>
    <n v="2811"/>
    <n v="27"/>
    <s v="Female"/>
    <s v="Jeans"/>
    <x v="0"/>
    <n v="31"/>
    <x v="28"/>
    <s v="M"/>
    <s v="Purple"/>
    <x v="2"/>
    <n v="4"/>
    <s v="No"/>
    <s v="Credit Card"/>
    <s v="Standard"/>
    <s v="No"/>
    <s v="No"/>
    <n v="10"/>
    <x v="5"/>
    <s v="Fortnightly"/>
    <n v="0"/>
    <x v="3"/>
  </r>
  <r>
    <n v="2812"/>
    <n v="69"/>
    <s v="Female"/>
    <s v="Jacket"/>
    <x v="2"/>
    <n v="89"/>
    <x v="31"/>
    <s v="M"/>
    <s v="Blue"/>
    <x v="3"/>
    <n v="3.7"/>
    <s v="No"/>
    <s v="PayPal"/>
    <s v="Store Pickup"/>
    <s v="No"/>
    <s v="No"/>
    <n v="19"/>
    <x v="2"/>
    <s v="Quarterly"/>
    <n v="0"/>
    <x v="0"/>
  </r>
  <r>
    <n v="2813"/>
    <n v="66"/>
    <s v="Female"/>
    <s v="Hoodie"/>
    <x v="0"/>
    <n v="91"/>
    <x v="25"/>
    <s v="XL"/>
    <s v="Magenta"/>
    <x v="3"/>
    <n v="3.8"/>
    <s v="No"/>
    <s v="Debit Card"/>
    <s v="Store Pickup"/>
    <s v="No"/>
    <s v="No"/>
    <n v="1"/>
    <x v="2"/>
    <s v="Every 3 Months"/>
    <n v="0"/>
    <x v="0"/>
  </r>
  <r>
    <n v="2814"/>
    <n v="45"/>
    <s v="Female"/>
    <s v="Shirt"/>
    <x v="0"/>
    <n v="50"/>
    <x v="34"/>
    <s v="S"/>
    <s v="Maroon"/>
    <x v="2"/>
    <n v="3.3"/>
    <s v="No"/>
    <s v="Debit Card"/>
    <s v="2-Day Shipping"/>
    <s v="No"/>
    <s v="No"/>
    <n v="39"/>
    <x v="5"/>
    <s v="Quarterly"/>
    <n v="0"/>
    <x v="2"/>
  </r>
  <r>
    <n v="2815"/>
    <n v="31"/>
    <s v="Female"/>
    <s v="T-shirt"/>
    <x v="0"/>
    <n v="32"/>
    <x v="46"/>
    <s v="L"/>
    <s v="Gold"/>
    <x v="0"/>
    <n v="3.6"/>
    <s v="No"/>
    <s v="Venmo"/>
    <s v="Standard"/>
    <s v="No"/>
    <s v="No"/>
    <n v="14"/>
    <x v="4"/>
    <s v="Monthly"/>
    <n v="0"/>
    <x v="3"/>
  </r>
  <r>
    <n v="2816"/>
    <n v="33"/>
    <s v="Female"/>
    <s v="Blouse"/>
    <x v="0"/>
    <n v="67"/>
    <x v="37"/>
    <s v="L"/>
    <s v="Black"/>
    <x v="3"/>
    <n v="3.9"/>
    <s v="No"/>
    <s v="Cash"/>
    <s v="Free Shipping"/>
    <s v="No"/>
    <s v="No"/>
    <n v="40"/>
    <x v="0"/>
    <s v="Every 3 Months"/>
    <n v="0"/>
    <x v="3"/>
  </r>
  <r>
    <n v="2817"/>
    <n v="43"/>
    <s v="Female"/>
    <s v="Skirt"/>
    <x v="0"/>
    <n v="28"/>
    <x v="33"/>
    <s v="M"/>
    <s v="Black"/>
    <x v="1"/>
    <n v="3.5"/>
    <s v="No"/>
    <s v="Bank Transfer"/>
    <s v="Free Shipping"/>
    <s v="No"/>
    <s v="No"/>
    <n v="45"/>
    <x v="0"/>
    <s v="Weekly"/>
    <n v="0"/>
    <x v="2"/>
  </r>
  <r>
    <n v="2818"/>
    <n v="25"/>
    <s v="Female"/>
    <s v="Backpack"/>
    <x v="3"/>
    <n v="65"/>
    <x v="36"/>
    <s v="XL"/>
    <s v="Yellow"/>
    <x v="0"/>
    <n v="3.4"/>
    <s v="No"/>
    <s v="Credit Card"/>
    <s v="Standard"/>
    <s v="No"/>
    <s v="No"/>
    <n v="6"/>
    <x v="0"/>
    <s v="Weekly"/>
    <n v="0"/>
    <x v="1"/>
  </r>
  <r>
    <n v="2819"/>
    <n v="46"/>
    <s v="Female"/>
    <s v="Shorts"/>
    <x v="0"/>
    <n v="73"/>
    <x v="18"/>
    <s v="M"/>
    <s v="Turquoise"/>
    <x v="3"/>
    <n v="4.7"/>
    <s v="No"/>
    <s v="Venmo"/>
    <s v="Next Day Air"/>
    <s v="No"/>
    <s v="No"/>
    <n v="12"/>
    <x v="5"/>
    <s v="Annually"/>
    <n v="0"/>
    <x v="0"/>
  </r>
  <r>
    <n v="2820"/>
    <n v="67"/>
    <s v="Female"/>
    <s v="Shirt"/>
    <x v="0"/>
    <n v="27"/>
    <x v="42"/>
    <s v="L"/>
    <s v="Lavender"/>
    <x v="1"/>
    <n v="3"/>
    <s v="No"/>
    <s v="Credit Card"/>
    <s v="Free Shipping"/>
    <s v="No"/>
    <s v="No"/>
    <n v="19"/>
    <x v="1"/>
    <s v="Monthly"/>
    <n v="0"/>
    <x v="0"/>
  </r>
  <r>
    <n v="2821"/>
    <n v="26"/>
    <s v="Female"/>
    <s v="Backpack"/>
    <x v="3"/>
    <n v="89"/>
    <x v="34"/>
    <s v="L"/>
    <s v="Yellow"/>
    <x v="2"/>
    <n v="3.9"/>
    <s v="No"/>
    <s v="Venmo"/>
    <s v="Free Shipping"/>
    <s v="No"/>
    <s v="No"/>
    <n v="5"/>
    <x v="1"/>
    <s v="Bi-Weekly"/>
    <n v="0"/>
    <x v="3"/>
  </r>
  <r>
    <n v="2822"/>
    <n v="35"/>
    <s v="Female"/>
    <s v="Shoes"/>
    <x v="1"/>
    <n v="72"/>
    <x v="42"/>
    <s v="L"/>
    <s v="Olive"/>
    <x v="2"/>
    <n v="4.5"/>
    <s v="No"/>
    <s v="Credit Card"/>
    <s v="Standard"/>
    <s v="No"/>
    <s v="No"/>
    <n v="37"/>
    <x v="0"/>
    <s v="Monthly"/>
    <n v="0"/>
    <x v="3"/>
  </r>
  <r>
    <n v="2823"/>
    <n v="61"/>
    <s v="Female"/>
    <s v="Skirt"/>
    <x v="0"/>
    <n v="37"/>
    <x v="32"/>
    <s v="S"/>
    <s v="Brown"/>
    <x v="3"/>
    <n v="4.0999999999999996"/>
    <s v="No"/>
    <s v="PayPal"/>
    <s v="Standard"/>
    <s v="No"/>
    <s v="No"/>
    <n v="33"/>
    <x v="3"/>
    <s v="Quarterly"/>
    <n v="0"/>
    <x v="0"/>
  </r>
  <r>
    <n v="2824"/>
    <n v="26"/>
    <s v="Female"/>
    <s v="Dress"/>
    <x v="0"/>
    <n v="63"/>
    <x v="40"/>
    <s v="M"/>
    <s v="Olive"/>
    <x v="2"/>
    <n v="4.5"/>
    <s v="No"/>
    <s v="Venmo"/>
    <s v="Standard"/>
    <s v="No"/>
    <s v="No"/>
    <n v="47"/>
    <x v="5"/>
    <s v="Bi-Weekly"/>
    <n v="0"/>
    <x v="3"/>
  </r>
  <r>
    <n v="2825"/>
    <n v="39"/>
    <s v="Female"/>
    <s v="Hat"/>
    <x v="3"/>
    <n v="90"/>
    <x v="40"/>
    <s v="M"/>
    <s v="Purple"/>
    <x v="3"/>
    <n v="4"/>
    <s v="No"/>
    <s v="Debit Card"/>
    <s v="Free Shipping"/>
    <s v="No"/>
    <s v="No"/>
    <n v="49"/>
    <x v="5"/>
    <s v="Quarterly"/>
    <n v="0"/>
    <x v="2"/>
  </r>
  <r>
    <n v="2826"/>
    <n v="69"/>
    <s v="Female"/>
    <s v="Handbag"/>
    <x v="3"/>
    <n v="62"/>
    <x v="17"/>
    <s v="M"/>
    <s v="Yellow"/>
    <x v="0"/>
    <n v="4.3"/>
    <s v="No"/>
    <s v="Cash"/>
    <s v="2-Day Shipping"/>
    <s v="No"/>
    <s v="No"/>
    <n v="28"/>
    <x v="4"/>
    <s v="Annually"/>
    <n v="0"/>
    <x v="0"/>
  </r>
  <r>
    <n v="2827"/>
    <n v="32"/>
    <s v="Female"/>
    <s v="Handbag"/>
    <x v="3"/>
    <n v="43"/>
    <x v="20"/>
    <s v="L"/>
    <s v="Brown"/>
    <x v="3"/>
    <n v="3.6"/>
    <s v="No"/>
    <s v="Debit Card"/>
    <s v="Express"/>
    <s v="No"/>
    <s v="No"/>
    <n v="23"/>
    <x v="0"/>
    <s v="Annually"/>
    <n v="0"/>
    <x v="3"/>
  </r>
  <r>
    <n v="2828"/>
    <n v="20"/>
    <s v="Female"/>
    <s v="Blouse"/>
    <x v="0"/>
    <n v="96"/>
    <x v="48"/>
    <s v="M"/>
    <s v="Magenta"/>
    <x v="3"/>
    <n v="3.1"/>
    <s v="No"/>
    <s v="Credit Card"/>
    <s v="Next Day Air"/>
    <s v="No"/>
    <s v="No"/>
    <n v="11"/>
    <x v="4"/>
    <s v="Bi-Weekly"/>
    <n v="0"/>
    <x v="1"/>
  </r>
  <r>
    <n v="2829"/>
    <n v="25"/>
    <s v="Female"/>
    <s v="Scarf"/>
    <x v="3"/>
    <n v="83"/>
    <x v="30"/>
    <s v="L"/>
    <s v="Lavender"/>
    <x v="3"/>
    <n v="2.6"/>
    <s v="No"/>
    <s v="Credit Card"/>
    <s v="Standard"/>
    <s v="No"/>
    <s v="No"/>
    <n v="33"/>
    <x v="3"/>
    <s v="Quarterly"/>
    <n v="0"/>
    <x v="1"/>
  </r>
  <r>
    <n v="2830"/>
    <n v="56"/>
    <s v="Female"/>
    <s v="Jewelry"/>
    <x v="3"/>
    <n v="67"/>
    <x v="28"/>
    <s v="XL"/>
    <s v="Teal"/>
    <x v="3"/>
    <n v="3.4"/>
    <s v="No"/>
    <s v="PayPal"/>
    <s v="Next Day Air"/>
    <s v="No"/>
    <s v="No"/>
    <n v="47"/>
    <x v="1"/>
    <s v="Weekly"/>
    <n v="0"/>
    <x v="0"/>
  </r>
  <r>
    <n v="2831"/>
    <n v="63"/>
    <s v="Female"/>
    <s v="Skirt"/>
    <x v="0"/>
    <n v="90"/>
    <x v="4"/>
    <s v="L"/>
    <s v="Cyan"/>
    <x v="1"/>
    <n v="2.9"/>
    <s v="No"/>
    <s v="Credit Card"/>
    <s v="Store Pickup"/>
    <s v="No"/>
    <s v="No"/>
    <n v="13"/>
    <x v="0"/>
    <s v="Every 3 Months"/>
    <n v="0"/>
    <x v="0"/>
  </r>
  <r>
    <n v="2832"/>
    <n v="34"/>
    <s v="Female"/>
    <s v="Hoodie"/>
    <x v="0"/>
    <n v="53"/>
    <x v="41"/>
    <s v="L"/>
    <s v="Pink"/>
    <x v="0"/>
    <n v="5"/>
    <s v="No"/>
    <s v="Cash"/>
    <s v="Express"/>
    <s v="No"/>
    <s v="No"/>
    <n v="4"/>
    <x v="2"/>
    <s v="Weekly"/>
    <n v="0"/>
    <x v="3"/>
  </r>
  <r>
    <n v="2833"/>
    <n v="29"/>
    <s v="Female"/>
    <s v="Scarf"/>
    <x v="3"/>
    <n v="37"/>
    <x v="33"/>
    <s v="M"/>
    <s v="Magenta"/>
    <x v="2"/>
    <n v="4.5999999999999996"/>
    <s v="No"/>
    <s v="Cash"/>
    <s v="Standard"/>
    <s v="No"/>
    <s v="No"/>
    <n v="40"/>
    <x v="3"/>
    <s v="Quarterly"/>
    <n v="0"/>
    <x v="3"/>
  </r>
  <r>
    <n v="2834"/>
    <n v="43"/>
    <s v="Female"/>
    <s v="Jeans"/>
    <x v="0"/>
    <n v="56"/>
    <x v="10"/>
    <s v="M"/>
    <s v="Teal"/>
    <x v="3"/>
    <n v="3.3"/>
    <s v="No"/>
    <s v="PayPal"/>
    <s v="Free Shipping"/>
    <s v="No"/>
    <s v="No"/>
    <n v="19"/>
    <x v="1"/>
    <s v="Monthly"/>
    <n v="0"/>
    <x v="2"/>
  </r>
  <r>
    <n v="2835"/>
    <n v="39"/>
    <s v="Female"/>
    <s v="Jacket"/>
    <x v="2"/>
    <n v="43"/>
    <x v="21"/>
    <s v="M"/>
    <s v="Indigo"/>
    <x v="3"/>
    <n v="2.9"/>
    <s v="No"/>
    <s v="Credit Card"/>
    <s v="2-Day Shipping"/>
    <s v="No"/>
    <s v="No"/>
    <n v="17"/>
    <x v="2"/>
    <s v="Weekly"/>
    <n v="0"/>
    <x v="2"/>
  </r>
  <r>
    <n v="2836"/>
    <n v="33"/>
    <s v="Female"/>
    <s v="T-shirt"/>
    <x v="0"/>
    <n v="84"/>
    <x v="34"/>
    <s v="S"/>
    <s v="Pink"/>
    <x v="0"/>
    <n v="4.9000000000000004"/>
    <s v="No"/>
    <s v="Credit Card"/>
    <s v="Free Shipping"/>
    <s v="No"/>
    <s v="No"/>
    <n v="7"/>
    <x v="0"/>
    <s v="Annually"/>
    <n v="0"/>
    <x v="3"/>
  </r>
  <r>
    <n v="2837"/>
    <n v="51"/>
    <s v="Female"/>
    <s v="Pants"/>
    <x v="0"/>
    <n v="50"/>
    <x v="5"/>
    <s v="M"/>
    <s v="Charcoal"/>
    <x v="0"/>
    <n v="5"/>
    <s v="No"/>
    <s v="Venmo"/>
    <s v="2-Day Shipping"/>
    <s v="No"/>
    <s v="No"/>
    <n v="21"/>
    <x v="1"/>
    <s v="Bi-Weekly"/>
    <n v="0"/>
    <x v="0"/>
  </r>
  <r>
    <n v="2838"/>
    <n v="65"/>
    <s v="Female"/>
    <s v="Shoes"/>
    <x v="1"/>
    <n v="88"/>
    <x v="15"/>
    <s v="M"/>
    <s v="Brown"/>
    <x v="2"/>
    <n v="4.5"/>
    <s v="No"/>
    <s v="Venmo"/>
    <s v="Express"/>
    <s v="No"/>
    <s v="No"/>
    <n v="44"/>
    <x v="3"/>
    <s v="Weekly"/>
    <n v="0"/>
    <x v="0"/>
  </r>
  <r>
    <n v="2839"/>
    <n v="51"/>
    <s v="Female"/>
    <s v="Jacket"/>
    <x v="2"/>
    <n v="50"/>
    <x v="1"/>
    <s v="M"/>
    <s v="Blue"/>
    <x v="3"/>
    <n v="3.7"/>
    <s v="No"/>
    <s v="Venmo"/>
    <s v="Free Shipping"/>
    <s v="No"/>
    <s v="No"/>
    <n v="2"/>
    <x v="4"/>
    <s v="Weekly"/>
    <n v="0"/>
    <x v="0"/>
  </r>
  <r>
    <n v="2840"/>
    <n v="70"/>
    <s v="Female"/>
    <s v="Scarf"/>
    <x v="3"/>
    <n v="80"/>
    <x v="45"/>
    <s v="L"/>
    <s v="Teal"/>
    <x v="2"/>
    <n v="2.8"/>
    <s v="No"/>
    <s v="Cash"/>
    <s v="Store Pickup"/>
    <s v="No"/>
    <s v="No"/>
    <n v="30"/>
    <x v="4"/>
    <s v="Monthly"/>
    <n v="0"/>
    <x v="0"/>
  </r>
  <r>
    <n v="2841"/>
    <n v="40"/>
    <s v="Female"/>
    <s v="T-shirt"/>
    <x v="0"/>
    <n v="47"/>
    <x v="8"/>
    <s v="L"/>
    <s v="Pink"/>
    <x v="1"/>
    <n v="3.5"/>
    <s v="No"/>
    <s v="Bank Transfer"/>
    <s v="Store Pickup"/>
    <s v="No"/>
    <s v="No"/>
    <n v="41"/>
    <x v="1"/>
    <s v="Annually"/>
    <n v="0"/>
    <x v="2"/>
  </r>
  <r>
    <n v="2842"/>
    <n v="19"/>
    <s v="Female"/>
    <s v="Dress"/>
    <x v="0"/>
    <n v="33"/>
    <x v="31"/>
    <s v="XL"/>
    <s v="Magenta"/>
    <x v="0"/>
    <n v="3"/>
    <s v="No"/>
    <s v="Credit Card"/>
    <s v="2-Day Shipping"/>
    <s v="No"/>
    <s v="No"/>
    <n v="31"/>
    <x v="1"/>
    <s v="Weekly"/>
    <n v="0"/>
    <x v="1"/>
  </r>
  <r>
    <n v="2843"/>
    <n v="28"/>
    <s v="Female"/>
    <s v="Coat"/>
    <x v="2"/>
    <n v="100"/>
    <x v="28"/>
    <s v="L"/>
    <s v="Green"/>
    <x v="3"/>
    <n v="4.3"/>
    <s v="No"/>
    <s v="Cash"/>
    <s v="Standard"/>
    <s v="No"/>
    <s v="No"/>
    <n v="48"/>
    <x v="5"/>
    <s v="Quarterly"/>
    <n v="0"/>
    <x v="3"/>
  </r>
  <r>
    <n v="2844"/>
    <n v="51"/>
    <s v="Female"/>
    <s v="Sweater"/>
    <x v="0"/>
    <n v="26"/>
    <x v="31"/>
    <s v="M"/>
    <s v="White"/>
    <x v="2"/>
    <n v="3.6"/>
    <s v="No"/>
    <s v="Cash"/>
    <s v="Store Pickup"/>
    <s v="No"/>
    <s v="No"/>
    <n v="41"/>
    <x v="0"/>
    <s v="Weekly"/>
    <n v="0"/>
    <x v="0"/>
  </r>
  <r>
    <n v="2845"/>
    <n v="32"/>
    <s v="Female"/>
    <s v="Hat"/>
    <x v="3"/>
    <n v="79"/>
    <x v="35"/>
    <s v="M"/>
    <s v="Indigo"/>
    <x v="2"/>
    <n v="4.4000000000000004"/>
    <s v="No"/>
    <s v="Venmo"/>
    <s v="Standard"/>
    <s v="No"/>
    <s v="No"/>
    <n v="42"/>
    <x v="0"/>
    <s v="Annually"/>
    <n v="0"/>
    <x v="3"/>
  </r>
  <r>
    <n v="2846"/>
    <n v="26"/>
    <s v="Female"/>
    <s v="Backpack"/>
    <x v="3"/>
    <n v="77"/>
    <x v="45"/>
    <s v="L"/>
    <s v="Lavender"/>
    <x v="2"/>
    <n v="4.0999999999999996"/>
    <s v="No"/>
    <s v="Cash"/>
    <s v="Express"/>
    <s v="No"/>
    <s v="No"/>
    <n v="39"/>
    <x v="5"/>
    <s v="Every 3 Months"/>
    <n v="0"/>
    <x v="3"/>
  </r>
  <r>
    <n v="2847"/>
    <n v="50"/>
    <s v="Female"/>
    <s v="Socks"/>
    <x v="0"/>
    <n v="36"/>
    <x v="19"/>
    <s v="XL"/>
    <s v="Black"/>
    <x v="3"/>
    <n v="2.8"/>
    <s v="No"/>
    <s v="Cash"/>
    <s v="Next Day Air"/>
    <s v="No"/>
    <s v="No"/>
    <n v="15"/>
    <x v="3"/>
    <s v="Bi-Weekly"/>
    <n v="0"/>
    <x v="0"/>
  </r>
  <r>
    <n v="2848"/>
    <n v="68"/>
    <s v="Female"/>
    <s v="Jewelry"/>
    <x v="3"/>
    <n v="21"/>
    <x v="39"/>
    <s v="L"/>
    <s v="Charcoal"/>
    <x v="0"/>
    <n v="2.8"/>
    <s v="No"/>
    <s v="Venmo"/>
    <s v="Free Shipping"/>
    <s v="No"/>
    <s v="No"/>
    <n v="3"/>
    <x v="3"/>
    <s v="Every 3 Months"/>
    <n v="0"/>
    <x v="0"/>
  </r>
  <r>
    <n v="2849"/>
    <n v="33"/>
    <s v="Female"/>
    <s v="Boots"/>
    <x v="1"/>
    <n v="72"/>
    <x v="48"/>
    <s v="L"/>
    <s v="Gray"/>
    <x v="3"/>
    <n v="4.9000000000000004"/>
    <s v="No"/>
    <s v="Debit Card"/>
    <s v="Store Pickup"/>
    <s v="No"/>
    <s v="No"/>
    <n v="28"/>
    <x v="4"/>
    <s v="Quarterly"/>
    <n v="0"/>
    <x v="3"/>
  </r>
  <r>
    <n v="2850"/>
    <n v="56"/>
    <s v="Female"/>
    <s v="Coat"/>
    <x v="2"/>
    <n v="25"/>
    <x v="13"/>
    <s v="M"/>
    <s v="Gold"/>
    <x v="1"/>
    <n v="4.0999999999999996"/>
    <s v="No"/>
    <s v="Credit Card"/>
    <s v="Express"/>
    <s v="No"/>
    <s v="No"/>
    <n v="27"/>
    <x v="3"/>
    <s v="Bi-Weekly"/>
    <n v="0"/>
    <x v="0"/>
  </r>
  <r>
    <n v="2851"/>
    <n v="57"/>
    <s v="Female"/>
    <s v="Sweater"/>
    <x v="0"/>
    <n v="79"/>
    <x v="43"/>
    <s v="M"/>
    <s v="Silver"/>
    <x v="1"/>
    <n v="3"/>
    <s v="No"/>
    <s v="Credit Card"/>
    <s v="Store Pickup"/>
    <s v="No"/>
    <s v="No"/>
    <n v="36"/>
    <x v="5"/>
    <s v="Annually"/>
    <n v="0"/>
    <x v="0"/>
  </r>
  <r>
    <n v="2852"/>
    <n v="58"/>
    <s v="Female"/>
    <s v="Blouse"/>
    <x v="0"/>
    <n v="73"/>
    <x v="22"/>
    <s v="L"/>
    <s v="Teal"/>
    <x v="2"/>
    <n v="3"/>
    <s v="No"/>
    <s v="Bank Transfer"/>
    <s v="Store Pickup"/>
    <s v="No"/>
    <s v="No"/>
    <n v="42"/>
    <x v="5"/>
    <s v="Monthly"/>
    <n v="0"/>
    <x v="0"/>
  </r>
  <r>
    <n v="2853"/>
    <n v="40"/>
    <s v="Female"/>
    <s v="Belt"/>
    <x v="3"/>
    <n v="71"/>
    <x v="14"/>
    <s v="M"/>
    <s v="Magenta"/>
    <x v="1"/>
    <n v="3"/>
    <s v="No"/>
    <s v="Credit Card"/>
    <s v="Store Pickup"/>
    <s v="No"/>
    <s v="No"/>
    <n v="30"/>
    <x v="0"/>
    <s v="Weekly"/>
    <n v="0"/>
    <x v="2"/>
  </r>
  <r>
    <n v="2854"/>
    <n v="37"/>
    <s v="Female"/>
    <s v="Hat"/>
    <x v="3"/>
    <n v="48"/>
    <x v="38"/>
    <s v="M"/>
    <s v="Magenta"/>
    <x v="0"/>
    <n v="3.2"/>
    <s v="No"/>
    <s v="Cash"/>
    <s v="Next Day Air"/>
    <s v="No"/>
    <s v="No"/>
    <n v="9"/>
    <x v="3"/>
    <s v="Weekly"/>
    <n v="0"/>
    <x v="2"/>
  </r>
  <r>
    <n v="2855"/>
    <n v="36"/>
    <s v="Female"/>
    <s v="Sandals"/>
    <x v="1"/>
    <n v="28"/>
    <x v="12"/>
    <s v="M"/>
    <s v="Beige"/>
    <x v="3"/>
    <n v="2.7"/>
    <s v="No"/>
    <s v="Debit Card"/>
    <s v="Store Pickup"/>
    <s v="No"/>
    <s v="No"/>
    <n v="25"/>
    <x v="0"/>
    <s v="Monthly"/>
    <n v="0"/>
    <x v="2"/>
  </r>
  <r>
    <n v="2856"/>
    <n v="29"/>
    <s v="Female"/>
    <s v="Boots"/>
    <x v="1"/>
    <n v="95"/>
    <x v="16"/>
    <s v="S"/>
    <s v="Maroon"/>
    <x v="0"/>
    <n v="3.8"/>
    <s v="No"/>
    <s v="Debit Card"/>
    <s v="2-Day Shipping"/>
    <s v="No"/>
    <s v="No"/>
    <n v="33"/>
    <x v="3"/>
    <s v="Quarterly"/>
    <n v="0"/>
    <x v="3"/>
  </r>
  <r>
    <n v="2857"/>
    <n v="65"/>
    <s v="Female"/>
    <s v="Jacket"/>
    <x v="2"/>
    <n v="48"/>
    <x v="44"/>
    <s v="M"/>
    <s v="Indigo"/>
    <x v="0"/>
    <n v="3.5"/>
    <s v="No"/>
    <s v="Debit Card"/>
    <s v="2-Day Shipping"/>
    <s v="No"/>
    <s v="No"/>
    <n v="31"/>
    <x v="2"/>
    <s v="Monthly"/>
    <n v="0"/>
    <x v="0"/>
  </r>
  <r>
    <n v="2858"/>
    <n v="44"/>
    <s v="Female"/>
    <s v="Dress"/>
    <x v="0"/>
    <n v="93"/>
    <x v="40"/>
    <s v="S"/>
    <s v="Maroon"/>
    <x v="1"/>
    <n v="3.8"/>
    <s v="No"/>
    <s v="Venmo"/>
    <s v="Next Day Air"/>
    <s v="No"/>
    <s v="No"/>
    <n v="35"/>
    <x v="5"/>
    <s v="Monthly"/>
    <n v="0"/>
    <x v="2"/>
  </r>
  <r>
    <n v="2859"/>
    <n v="34"/>
    <s v="Female"/>
    <s v="Jeans"/>
    <x v="0"/>
    <n v="87"/>
    <x v="33"/>
    <s v="L"/>
    <s v="Teal"/>
    <x v="2"/>
    <n v="3.8"/>
    <s v="No"/>
    <s v="Cash"/>
    <s v="2-Day Shipping"/>
    <s v="No"/>
    <s v="No"/>
    <n v="46"/>
    <x v="4"/>
    <s v="Monthly"/>
    <n v="0"/>
    <x v="3"/>
  </r>
  <r>
    <n v="2860"/>
    <n v="31"/>
    <s v="Female"/>
    <s v="Shorts"/>
    <x v="0"/>
    <n v="32"/>
    <x v="40"/>
    <s v="L"/>
    <s v="Yellow"/>
    <x v="3"/>
    <n v="3.4"/>
    <s v="No"/>
    <s v="Venmo"/>
    <s v="Express"/>
    <s v="No"/>
    <s v="No"/>
    <n v="29"/>
    <x v="4"/>
    <s v="Annually"/>
    <n v="0"/>
    <x v="3"/>
  </r>
  <r>
    <n v="2861"/>
    <n v="28"/>
    <s v="Female"/>
    <s v="Shirt"/>
    <x v="0"/>
    <n v="38"/>
    <x v="3"/>
    <s v="M"/>
    <s v="Gold"/>
    <x v="1"/>
    <n v="2.9"/>
    <s v="No"/>
    <s v="PayPal"/>
    <s v="Next Day Air"/>
    <s v="No"/>
    <s v="No"/>
    <n v="49"/>
    <x v="4"/>
    <s v="Weekly"/>
    <n v="0"/>
    <x v="3"/>
  </r>
  <r>
    <n v="2862"/>
    <n v="66"/>
    <s v="Female"/>
    <s v="Coat"/>
    <x v="2"/>
    <n v="54"/>
    <x v="33"/>
    <s v="M"/>
    <s v="Teal"/>
    <x v="3"/>
    <n v="3.4"/>
    <s v="No"/>
    <s v="Debit Card"/>
    <s v="Free Shipping"/>
    <s v="No"/>
    <s v="No"/>
    <n v="27"/>
    <x v="2"/>
    <s v="Monthly"/>
    <n v="0"/>
    <x v="0"/>
  </r>
  <r>
    <n v="2863"/>
    <n v="68"/>
    <s v="Female"/>
    <s v="Coat"/>
    <x v="2"/>
    <n v="75"/>
    <x v="11"/>
    <s v="S"/>
    <s v="Violet"/>
    <x v="2"/>
    <n v="4.7"/>
    <s v="No"/>
    <s v="Bank Transfer"/>
    <s v="Store Pickup"/>
    <s v="No"/>
    <s v="No"/>
    <n v="5"/>
    <x v="4"/>
    <s v="Every 3 Months"/>
    <n v="0"/>
    <x v="0"/>
  </r>
  <r>
    <n v="2864"/>
    <n v="37"/>
    <s v="Female"/>
    <s v="T-shirt"/>
    <x v="0"/>
    <n v="56"/>
    <x v="39"/>
    <s v="M"/>
    <s v="Yellow"/>
    <x v="3"/>
    <n v="3.9"/>
    <s v="No"/>
    <s v="Debit Card"/>
    <s v="2-Day Shipping"/>
    <s v="No"/>
    <s v="No"/>
    <n v="18"/>
    <x v="0"/>
    <s v="Monthly"/>
    <n v="0"/>
    <x v="2"/>
  </r>
  <r>
    <n v="2865"/>
    <n v="58"/>
    <s v="Female"/>
    <s v="Sweater"/>
    <x v="0"/>
    <n v="43"/>
    <x v="26"/>
    <s v="S"/>
    <s v="Maroon"/>
    <x v="3"/>
    <n v="3.6"/>
    <s v="No"/>
    <s v="Debit Card"/>
    <s v="Store Pickup"/>
    <s v="No"/>
    <s v="No"/>
    <n v="31"/>
    <x v="0"/>
    <s v="Weekly"/>
    <n v="0"/>
    <x v="0"/>
  </r>
  <r>
    <n v="2866"/>
    <n v="28"/>
    <s v="Female"/>
    <s v="Skirt"/>
    <x v="0"/>
    <n v="97"/>
    <x v="18"/>
    <s v="M"/>
    <s v="Silver"/>
    <x v="3"/>
    <n v="3.7"/>
    <s v="No"/>
    <s v="Cash"/>
    <s v="Free Shipping"/>
    <s v="No"/>
    <s v="No"/>
    <n v="27"/>
    <x v="1"/>
    <s v="Fortnightly"/>
    <n v="0"/>
    <x v="3"/>
  </r>
  <r>
    <n v="2867"/>
    <n v="54"/>
    <s v="Female"/>
    <s v="Blouse"/>
    <x v="0"/>
    <n v="75"/>
    <x v="39"/>
    <s v="S"/>
    <s v="Violet"/>
    <x v="2"/>
    <n v="3.1"/>
    <s v="No"/>
    <s v="Venmo"/>
    <s v="Free Shipping"/>
    <s v="No"/>
    <s v="No"/>
    <n v="19"/>
    <x v="1"/>
    <s v="Annually"/>
    <n v="0"/>
    <x v="0"/>
  </r>
  <r>
    <n v="2868"/>
    <n v="21"/>
    <s v="Female"/>
    <s v="Sneakers"/>
    <x v="1"/>
    <n v="55"/>
    <x v="24"/>
    <s v="L"/>
    <s v="White"/>
    <x v="2"/>
    <n v="4.9000000000000004"/>
    <s v="No"/>
    <s v="Venmo"/>
    <s v="Next Day Air"/>
    <s v="No"/>
    <s v="No"/>
    <n v="33"/>
    <x v="1"/>
    <s v="Fortnightly"/>
    <n v="0"/>
    <x v="1"/>
  </r>
  <r>
    <n v="2869"/>
    <n v="45"/>
    <s v="Female"/>
    <s v="Backpack"/>
    <x v="3"/>
    <n v="49"/>
    <x v="24"/>
    <s v="M"/>
    <s v="Black"/>
    <x v="0"/>
    <n v="2.6"/>
    <s v="No"/>
    <s v="Debit Card"/>
    <s v="Next Day Air"/>
    <s v="No"/>
    <s v="No"/>
    <n v="42"/>
    <x v="3"/>
    <s v="Every 3 Months"/>
    <n v="0"/>
    <x v="2"/>
  </r>
  <r>
    <n v="2870"/>
    <n v="57"/>
    <s v="Female"/>
    <s v="Socks"/>
    <x v="0"/>
    <n v="58"/>
    <x v="42"/>
    <s v="M"/>
    <s v="White"/>
    <x v="2"/>
    <n v="4.2"/>
    <s v="No"/>
    <s v="Cash"/>
    <s v="Standard"/>
    <s v="No"/>
    <s v="No"/>
    <n v="16"/>
    <x v="4"/>
    <s v="Weekly"/>
    <n v="0"/>
    <x v="0"/>
  </r>
  <r>
    <n v="2871"/>
    <n v="47"/>
    <s v="Female"/>
    <s v="Jewelry"/>
    <x v="3"/>
    <n v="34"/>
    <x v="25"/>
    <s v="M"/>
    <s v="Blue"/>
    <x v="0"/>
    <n v="4.8"/>
    <s v="No"/>
    <s v="Debit Card"/>
    <s v="Free Shipping"/>
    <s v="No"/>
    <s v="No"/>
    <n v="49"/>
    <x v="5"/>
    <s v="Every 3 Months"/>
    <n v="0"/>
    <x v="0"/>
  </r>
  <r>
    <n v="2872"/>
    <n v="46"/>
    <s v="Female"/>
    <s v="Shorts"/>
    <x v="0"/>
    <n v="43"/>
    <x v="37"/>
    <s v="S"/>
    <s v="Black"/>
    <x v="2"/>
    <n v="2.7"/>
    <s v="No"/>
    <s v="Cash"/>
    <s v="2-Day Shipping"/>
    <s v="No"/>
    <s v="No"/>
    <n v="40"/>
    <x v="0"/>
    <s v="Bi-Weekly"/>
    <n v="0"/>
    <x v="0"/>
  </r>
  <r>
    <n v="2873"/>
    <n v="63"/>
    <s v="Female"/>
    <s v="Jewelry"/>
    <x v="3"/>
    <n v="48"/>
    <x v="39"/>
    <s v="L"/>
    <s v="Olive"/>
    <x v="3"/>
    <n v="2.6"/>
    <s v="No"/>
    <s v="Venmo"/>
    <s v="Next Day Air"/>
    <s v="No"/>
    <s v="No"/>
    <n v="5"/>
    <x v="1"/>
    <s v="Annually"/>
    <n v="0"/>
    <x v="0"/>
  </r>
  <r>
    <n v="2874"/>
    <n v="44"/>
    <s v="Female"/>
    <s v="Sweater"/>
    <x v="0"/>
    <n v="40"/>
    <x v="6"/>
    <s v="M"/>
    <s v="Teal"/>
    <x v="1"/>
    <n v="2.6"/>
    <s v="No"/>
    <s v="PayPal"/>
    <s v="Free Shipping"/>
    <s v="No"/>
    <s v="No"/>
    <n v="8"/>
    <x v="4"/>
    <s v="Monthly"/>
    <n v="0"/>
    <x v="2"/>
  </r>
  <r>
    <n v="2875"/>
    <n v="36"/>
    <s v="Female"/>
    <s v="Shirt"/>
    <x v="0"/>
    <n v="29"/>
    <x v="24"/>
    <s v="L"/>
    <s v="Silver"/>
    <x v="2"/>
    <n v="3.1"/>
    <s v="No"/>
    <s v="Debit Card"/>
    <s v="Standard"/>
    <s v="No"/>
    <s v="No"/>
    <n v="2"/>
    <x v="5"/>
    <s v="Annually"/>
    <n v="0"/>
    <x v="2"/>
  </r>
  <r>
    <n v="2876"/>
    <n v="24"/>
    <s v="Female"/>
    <s v="Pants"/>
    <x v="0"/>
    <n v="81"/>
    <x v="0"/>
    <s v="M"/>
    <s v="Pink"/>
    <x v="3"/>
    <n v="2.6"/>
    <s v="No"/>
    <s v="Credit Card"/>
    <s v="Free Shipping"/>
    <s v="No"/>
    <s v="No"/>
    <n v="14"/>
    <x v="5"/>
    <s v="Weekly"/>
    <n v="0"/>
    <x v="1"/>
  </r>
  <r>
    <n v="2877"/>
    <n v="65"/>
    <s v="Female"/>
    <s v="Hoodie"/>
    <x v="0"/>
    <n v="84"/>
    <x v="35"/>
    <s v="M"/>
    <s v="Charcoal"/>
    <x v="1"/>
    <n v="3.4"/>
    <s v="No"/>
    <s v="Credit Card"/>
    <s v="2-Day Shipping"/>
    <s v="No"/>
    <s v="No"/>
    <n v="5"/>
    <x v="4"/>
    <s v="Fortnightly"/>
    <n v="0"/>
    <x v="0"/>
  </r>
  <r>
    <n v="2878"/>
    <n v="32"/>
    <s v="Female"/>
    <s v="Socks"/>
    <x v="0"/>
    <n v="46"/>
    <x v="32"/>
    <s v="M"/>
    <s v="Silver"/>
    <x v="2"/>
    <n v="3.6"/>
    <s v="No"/>
    <s v="PayPal"/>
    <s v="Standard"/>
    <s v="No"/>
    <s v="No"/>
    <n v="34"/>
    <x v="0"/>
    <s v="Monthly"/>
    <n v="0"/>
    <x v="3"/>
  </r>
  <r>
    <n v="2879"/>
    <n v="63"/>
    <s v="Female"/>
    <s v="Dress"/>
    <x v="0"/>
    <n v="86"/>
    <x v="18"/>
    <s v="L"/>
    <s v="Turquoise"/>
    <x v="2"/>
    <n v="4.3"/>
    <s v="No"/>
    <s v="Venmo"/>
    <s v="Next Day Air"/>
    <s v="No"/>
    <s v="No"/>
    <n v="13"/>
    <x v="4"/>
    <s v="Annually"/>
    <n v="0"/>
    <x v="0"/>
  </r>
  <r>
    <n v="2880"/>
    <n v="62"/>
    <s v="Female"/>
    <s v="Blouse"/>
    <x v="0"/>
    <n v="57"/>
    <x v="25"/>
    <s v="XL"/>
    <s v="Turquoise"/>
    <x v="0"/>
    <n v="4.9000000000000004"/>
    <s v="No"/>
    <s v="Credit Card"/>
    <s v="Free Shipping"/>
    <s v="No"/>
    <s v="No"/>
    <n v="31"/>
    <x v="0"/>
    <s v="Annually"/>
    <n v="0"/>
    <x v="0"/>
  </r>
  <r>
    <n v="2881"/>
    <n v="19"/>
    <s v="Female"/>
    <s v="Skirt"/>
    <x v="0"/>
    <n v="61"/>
    <x v="20"/>
    <s v="L"/>
    <s v="Beige"/>
    <x v="0"/>
    <n v="4.8"/>
    <s v="No"/>
    <s v="Debit Card"/>
    <s v="Store Pickup"/>
    <s v="No"/>
    <s v="No"/>
    <n v="43"/>
    <x v="3"/>
    <s v="Quarterly"/>
    <n v="0"/>
    <x v="1"/>
  </r>
  <r>
    <n v="2882"/>
    <n v="38"/>
    <s v="Female"/>
    <s v="Backpack"/>
    <x v="3"/>
    <n v="90"/>
    <x v="21"/>
    <s v="M"/>
    <s v="Cyan"/>
    <x v="0"/>
    <n v="4.2"/>
    <s v="No"/>
    <s v="Credit Card"/>
    <s v="Free Shipping"/>
    <s v="No"/>
    <s v="No"/>
    <n v="6"/>
    <x v="4"/>
    <s v="Annually"/>
    <n v="0"/>
    <x v="2"/>
  </r>
  <r>
    <n v="2883"/>
    <n v="59"/>
    <s v="Female"/>
    <s v="Blouse"/>
    <x v="0"/>
    <n v="51"/>
    <x v="19"/>
    <s v="L"/>
    <s v="Gold"/>
    <x v="0"/>
    <n v="2.6"/>
    <s v="No"/>
    <s v="Credit Card"/>
    <s v="Store Pickup"/>
    <s v="No"/>
    <s v="No"/>
    <n v="23"/>
    <x v="2"/>
    <s v="Bi-Weekly"/>
    <n v="0"/>
    <x v="0"/>
  </r>
  <r>
    <n v="2884"/>
    <n v="22"/>
    <s v="Female"/>
    <s v="Socks"/>
    <x v="0"/>
    <n v="48"/>
    <x v="3"/>
    <s v="XL"/>
    <s v="Silver"/>
    <x v="1"/>
    <n v="3.2"/>
    <s v="No"/>
    <s v="Debit Card"/>
    <s v="Standard"/>
    <s v="No"/>
    <s v="No"/>
    <n v="10"/>
    <x v="3"/>
    <s v="Weekly"/>
    <n v="0"/>
    <x v="1"/>
  </r>
  <r>
    <n v="2885"/>
    <n v="55"/>
    <s v="Female"/>
    <s v="Boots"/>
    <x v="1"/>
    <n v="50"/>
    <x v="10"/>
    <s v="M"/>
    <s v="Purple"/>
    <x v="2"/>
    <n v="3.4"/>
    <s v="No"/>
    <s v="Bank Transfer"/>
    <s v="2-Day Shipping"/>
    <s v="No"/>
    <s v="No"/>
    <n v="47"/>
    <x v="2"/>
    <s v="Every 3 Months"/>
    <n v="0"/>
    <x v="0"/>
  </r>
  <r>
    <n v="2886"/>
    <n v="29"/>
    <s v="Female"/>
    <s v="Backpack"/>
    <x v="3"/>
    <n v="82"/>
    <x v="22"/>
    <s v="M"/>
    <s v="Yellow"/>
    <x v="2"/>
    <n v="3.5"/>
    <s v="No"/>
    <s v="Bank Transfer"/>
    <s v="Next Day Air"/>
    <s v="No"/>
    <s v="No"/>
    <n v="14"/>
    <x v="2"/>
    <s v="Bi-Weekly"/>
    <n v="0"/>
    <x v="3"/>
  </r>
  <r>
    <n v="2887"/>
    <n v="42"/>
    <s v="Female"/>
    <s v="Hat"/>
    <x v="3"/>
    <n v="33"/>
    <x v="40"/>
    <s v="L"/>
    <s v="Blue"/>
    <x v="1"/>
    <n v="4.2"/>
    <s v="No"/>
    <s v="Credit Card"/>
    <s v="Free Shipping"/>
    <s v="No"/>
    <s v="No"/>
    <n v="29"/>
    <x v="3"/>
    <s v="Weekly"/>
    <n v="0"/>
    <x v="2"/>
  </r>
  <r>
    <n v="2888"/>
    <n v="23"/>
    <s v="Female"/>
    <s v="Sandals"/>
    <x v="1"/>
    <n v="28"/>
    <x v="0"/>
    <s v="L"/>
    <s v="Blue"/>
    <x v="0"/>
    <n v="2.8"/>
    <s v="No"/>
    <s v="Debit Card"/>
    <s v="Express"/>
    <s v="No"/>
    <s v="No"/>
    <n v="12"/>
    <x v="1"/>
    <s v="Bi-Weekly"/>
    <n v="0"/>
    <x v="1"/>
  </r>
  <r>
    <n v="2889"/>
    <n v="70"/>
    <s v="Female"/>
    <s v="Hoodie"/>
    <x v="0"/>
    <n v="42"/>
    <x v="48"/>
    <s v="L"/>
    <s v="Green"/>
    <x v="1"/>
    <n v="5"/>
    <s v="No"/>
    <s v="Venmo"/>
    <s v="2-Day Shipping"/>
    <s v="No"/>
    <s v="No"/>
    <n v="25"/>
    <x v="5"/>
    <s v="Quarterly"/>
    <n v="0"/>
    <x v="0"/>
  </r>
  <r>
    <n v="2890"/>
    <n v="64"/>
    <s v="Female"/>
    <s v="Sunglasses"/>
    <x v="3"/>
    <n v="43"/>
    <x v="46"/>
    <s v="M"/>
    <s v="Charcoal"/>
    <x v="3"/>
    <n v="3.3"/>
    <s v="No"/>
    <s v="Credit Card"/>
    <s v="Store Pickup"/>
    <s v="No"/>
    <s v="No"/>
    <n v="21"/>
    <x v="0"/>
    <s v="Annually"/>
    <n v="0"/>
    <x v="0"/>
  </r>
  <r>
    <n v="2891"/>
    <n v="39"/>
    <s v="Female"/>
    <s v="Jeans"/>
    <x v="0"/>
    <n v="55"/>
    <x v="25"/>
    <s v="M"/>
    <s v="Violet"/>
    <x v="0"/>
    <n v="3.7"/>
    <s v="No"/>
    <s v="PayPal"/>
    <s v="Free Shipping"/>
    <s v="No"/>
    <s v="No"/>
    <n v="23"/>
    <x v="2"/>
    <s v="Monthly"/>
    <n v="0"/>
    <x v="2"/>
  </r>
  <r>
    <n v="2892"/>
    <n v="47"/>
    <s v="Female"/>
    <s v="T-shirt"/>
    <x v="0"/>
    <n v="73"/>
    <x v="31"/>
    <s v="XL"/>
    <s v="Black"/>
    <x v="0"/>
    <n v="2.5"/>
    <s v="No"/>
    <s v="Venmo"/>
    <s v="Free Shipping"/>
    <s v="No"/>
    <s v="No"/>
    <n v="10"/>
    <x v="3"/>
    <s v="Monthly"/>
    <n v="0"/>
    <x v="0"/>
  </r>
  <r>
    <n v="2893"/>
    <n v="22"/>
    <s v="Female"/>
    <s v="Dress"/>
    <x v="0"/>
    <n v="39"/>
    <x v="22"/>
    <s v="M"/>
    <s v="Teal"/>
    <x v="1"/>
    <n v="3.2"/>
    <s v="No"/>
    <s v="Bank Transfer"/>
    <s v="Standard"/>
    <s v="No"/>
    <s v="No"/>
    <n v="47"/>
    <x v="2"/>
    <s v="Monthly"/>
    <n v="0"/>
    <x v="1"/>
  </r>
  <r>
    <n v="2894"/>
    <n v="69"/>
    <s v="Female"/>
    <s v="Belt"/>
    <x v="3"/>
    <n v="20"/>
    <x v="0"/>
    <s v="S"/>
    <s v="Orange"/>
    <x v="1"/>
    <n v="3.1"/>
    <s v="No"/>
    <s v="Credit Card"/>
    <s v="Free Shipping"/>
    <s v="No"/>
    <s v="No"/>
    <n v="44"/>
    <x v="5"/>
    <s v="Every 3 Months"/>
    <n v="0"/>
    <x v="0"/>
  </r>
  <r>
    <n v="2895"/>
    <n v="35"/>
    <s v="Female"/>
    <s v="Jewelry"/>
    <x v="3"/>
    <n v="32"/>
    <x v="0"/>
    <s v="S"/>
    <s v="Brown"/>
    <x v="1"/>
    <n v="3.5"/>
    <s v="No"/>
    <s v="Cash"/>
    <s v="Standard"/>
    <s v="No"/>
    <s v="No"/>
    <n v="41"/>
    <x v="0"/>
    <s v="Annually"/>
    <n v="0"/>
    <x v="3"/>
  </r>
  <r>
    <n v="2896"/>
    <n v="56"/>
    <s v="Female"/>
    <s v="Hoodie"/>
    <x v="0"/>
    <n v="86"/>
    <x v="6"/>
    <s v="L"/>
    <s v="Green"/>
    <x v="2"/>
    <n v="4.5999999999999996"/>
    <s v="No"/>
    <s v="Debit Card"/>
    <s v="Standard"/>
    <s v="No"/>
    <s v="No"/>
    <n v="29"/>
    <x v="4"/>
    <s v="Monthly"/>
    <n v="0"/>
    <x v="0"/>
  </r>
  <r>
    <n v="2897"/>
    <n v="30"/>
    <s v="Female"/>
    <s v="Blouse"/>
    <x v="0"/>
    <n v="91"/>
    <x v="12"/>
    <s v="M"/>
    <s v="Silver"/>
    <x v="2"/>
    <n v="3.3"/>
    <s v="No"/>
    <s v="Credit Card"/>
    <s v="Free Shipping"/>
    <s v="No"/>
    <s v="No"/>
    <n v="2"/>
    <x v="0"/>
    <s v="Every 3 Months"/>
    <n v="0"/>
    <x v="3"/>
  </r>
  <r>
    <n v="2898"/>
    <n v="43"/>
    <s v="Female"/>
    <s v="Jacket"/>
    <x v="2"/>
    <n v="59"/>
    <x v="6"/>
    <s v="L"/>
    <s v="Violet"/>
    <x v="3"/>
    <n v="2.5"/>
    <s v="No"/>
    <s v="Credit Card"/>
    <s v="Free Shipping"/>
    <s v="No"/>
    <s v="No"/>
    <n v="2"/>
    <x v="1"/>
    <s v="Fortnightly"/>
    <n v="0"/>
    <x v="2"/>
  </r>
  <r>
    <n v="2899"/>
    <n v="23"/>
    <s v="Female"/>
    <s v="Sneakers"/>
    <x v="1"/>
    <n v="33"/>
    <x v="32"/>
    <s v="XL"/>
    <s v="Peach"/>
    <x v="2"/>
    <n v="4.5999999999999996"/>
    <s v="No"/>
    <s v="Credit Card"/>
    <s v="Express"/>
    <s v="No"/>
    <s v="No"/>
    <n v="29"/>
    <x v="2"/>
    <s v="Annually"/>
    <n v="0"/>
    <x v="1"/>
  </r>
  <r>
    <n v="2900"/>
    <n v="50"/>
    <s v="Female"/>
    <s v="Boots"/>
    <x v="1"/>
    <n v="64"/>
    <x v="43"/>
    <s v="M"/>
    <s v="Gold"/>
    <x v="1"/>
    <n v="4.2"/>
    <s v="No"/>
    <s v="PayPal"/>
    <s v="2-Day Shipping"/>
    <s v="No"/>
    <s v="No"/>
    <n v="22"/>
    <x v="4"/>
    <s v="Fortnightly"/>
    <n v="0"/>
    <x v="0"/>
  </r>
  <r>
    <n v="2901"/>
    <n v="41"/>
    <s v="Female"/>
    <s v="Blouse"/>
    <x v="0"/>
    <n v="67"/>
    <x v="33"/>
    <s v="XL"/>
    <s v="Violet"/>
    <x v="0"/>
    <n v="4"/>
    <s v="No"/>
    <s v="Bank Transfer"/>
    <s v="Standard"/>
    <s v="No"/>
    <s v="No"/>
    <n v="23"/>
    <x v="1"/>
    <s v="Bi-Weekly"/>
    <n v="0"/>
    <x v="2"/>
  </r>
  <r>
    <n v="2902"/>
    <n v="41"/>
    <s v="Female"/>
    <s v="Blouse"/>
    <x v="0"/>
    <n v="43"/>
    <x v="15"/>
    <s v="L"/>
    <s v="Olive"/>
    <x v="0"/>
    <n v="2.6"/>
    <s v="No"/>
    <s v="Credit Card"/>
    <s v="Free Shipping"/>
    <s v="No"/>
    <s v="No"/>
    <n v="46"/>
    <x v="2"/>
    <s v="Quarterly"/>
    <n v="0"/>
    <x v="2"/>
  </r>
  <r>
    <n v="2903"/>
    <n v="27"/>
    <s v="Female"/>
    <s v="Boots"/>
    <x v="1"/>
    <n v="32"/>
    <x v="17"/>
    <s v="S"/>
    <s v="Orange"/>
    <x v="1"/>
    <n v="4.5999999999999996"/>
    <s v="No"/>
    <s v="Debit Card"/>
    <s v="Standard"/>
    <s v="No"/>
    <s v="No"/>
    <n v="19"/>
    <x v="3"/>
    <s v="Bi-Weekly"/>
    <n v="0"/>
    <x v="3"/>
  </r>
  <r>
    <n v="2904"/>
    <n v="38"/>
    <s v="Female"/>
    <s v="Scarf"/>
    <x v="3"/>
    <n v="39"/>
    <x v="12"/>
    <s v="S"/>
    <s v="Teal"/>
    <x v="1"/>
    <n v="3.5"/>
    <s v="No"/>
    <s v="Venmo"/>
    <s v="2-Day Shipping"/>
    <s v="No"/>
    <s v="No"/>
    <n v="24"/>
    <x v="2"/>
    <s v="Every 3 Months"/>
    <n v="0"/>
    <x v="2"/>
  </r>
  <r>
    <n v="2905"/>
    <n v="41"/>
    <s v="Female"/>
    <s v="Sandals"/>
    <x v="1"/>
    <n v="41"/>
    <x v="44"/>
    <s v="M"/>
    <s v="Gray"/>
    <x v="1"/>
    <n v="4"/>
    <s v="No"/>
    <s v="Bank Transfer"/>
    <s v="2-Day Shipping"/>
    <s v="No"/>
    <s v="No"/>
    <n v="43"/>
    <x v="0"/>
    <s v="Monthly"/>
    <n v="0"/>
    <x v="2"/>
  </r>
  <r>
    <n v="2906"/>
    <n v="58"/>
    <s v="Female"/>
    <s v="Sunglasses"/>
    <x v="3"/>
    <n v="53"/>
    <x v="14"/>
    <s v="L"/>
    <s v="Black"/>
    <x v="0"/>
    <n v="4.8"/>
    <s v="No"/>
    <s v="PayPal"/>
    <s v="Standard"/>
    <s v="No"/>
    <s v="No"/>
    <n v="14"/>
    <x v="5"/>
    <s v="Fortnightly"/>
    <n v="0"/>
    <x v="0"/>
  </r>
  <r>
    <n v="2907"/>
    <n v="58"/>
    <s v="Female"/>
    <s v="Coat"/>
    <x v="2"/>
    <n v="27"/>
    <x v="41"/>
    <s v="M"/>
    <s v="Indigo"/>
    <x v="1"/>
    <n v="3.9"/>
    <s v="No"/>
    <s v="PayPal"/>
    <s v="Standard"/>
    <s v="No"/>
    <s v="No"/>
    <n v="7"/>
    <x v="0"/>
    <s v="Annually"/>
    <n v="0"/>
    <x v="0"/>
  </r>
  <r>
    <n v="2908"/>
    <n v="19"/>
    <s v="Female"/>
    <s v="Sunglasses"/>
    <x v="3"/>
    <n v="82"/>
    <x v="33"/>
    <s v="XL"/>
    <s v="Lavender"/>
    <x v="2"/>
    <n v="3.7"/>
    <s v="No"/>
    <s v="Cash"/>
    <s v="Next Day Air"/>
    <s v="No"/>
    <s v="No"/>
    <n v="50"/>
    <x v="3"/>
    <s v="Bi-Weekly"/>
    <n v="0"/>
    <x v="1"/>
  </r>
  <r>
    <n v="2909"/>
    <n v="43"/>
    <s v="Female"/>
    <s v="Blouse"/>
    <x v="0"/>
    <n v="87"/>
    <x v="21"/>
    <s v="M"/>
    <s v="Beige"/>
    <x v="0"/>
    <n v="3.1"/>
    <s v="No"/>
    <s v="Debit Card"/>
    <s v="Store Pickup"/>
    <s v="No"/>
    <s v="No"/>
    <n v="15"/>
    <x v="5"/>
    <s v="Every 3 Months"/>
    <n v="0"/>
    <x v="2"/>
  </r>
  <r>
    <n v="2910"/>
    <n v="27"/>
    <s v="Female"/>
    <s v="Backpack"/>
    <x v="3"/>
    <n v="78"/>
    <x v="7"/>
    <s v="M"/>
    <s v="Indigo"/>
    <x v="0"/>
    <n v="3"/>
    <s v="No"/>
    <s v="Bank Transfer"/>
    <s v="Next Day Air"/>
    <s v="No"/>
    <s v="No"/>
    <n v="40"/>
    <x v="2"/>
    <s v="Every 3 Months"/>
    <n v="0"/>
    <x v="3"/>
  </r>
  <r>
    <n v="2911"/>
    <n v="32"/>
    <s v="Female"/>
    <s v="Belt"/>
    <x v="3"/>
    <n v="32"/>
    <x v="16"/>
    <s v="M"/>
    <s v="Blue"/>
    <x v="2"/>
    <n v="2.9"/>
    <s v="No"/>
    <s v="Bank Transfer"/>
    <s v="Store Pickup"/>
    <s v="No"/>
    <s v="No"/>
    <n v="41"/>
    <x v="2"/>
    <s v="Monthly"/>
    <n v="0"/>
    <x v="3"/>
  </r>
  <r>
    <n v="2912"/>
    <n v="28"/>
    <s v="Female"/>
    <s v="Socks"/>
    <x v="0"/>
    <n v="38"/>
    <x v="31"/>
    <s v="XL"/>
    <s v="Orange"/>
    <x v="3"/>
    <n v="2.9"/>
    <s v="No"/>
    <s v="Debit Card"/>
    <s v="Next Day Air"/>
    <s v="No"/>
    <s v="No"/>
    <n v="34"/>
    <x v="0"/>
    <s v="Quarterly"/>
    <n v="0"/>
    <x v="3"/>
  </r>
  <r>
    <n v="2913"/>
    <n v="48"/>
    <s v="Female"/>
    <s v="Shoes"/>
    <x v="1"/>
    <n v="37"/>
    <x v="4"/>
    <s v="M"/>
    <s v="Yellow"/>
    <x v="0"/>
    <n v="4"/>
    <s v="No"/>
    <s v="Cash"/>
    <s v="Standard"/>
    <s v="No"/>
    <s v="No"/>
    <n v="27"/>
    <x v="1"/>
    <s v="Bi-Weekly"/>
    <n v="0"/>
    <x v="0"/>
  </r>
  <r>
    <n v="2914"/>
    <n v="43"/>
    <s v="Female"/>
    <s v="Coat"/>
    <x v="2"/>
    <n v="83"/>
    <x v="5"/>
    <s v="L"/>
    <s v="Cyan"/>
    <x v="0"/>
    <n v="3.5"/>
    <s v="No"/>
    <s v="Debit Card"/>
    <s v="Express"/>
    <s v="No"/>
    <s v="No"/>
    <n v="12"/>
    <x v="1"/>
    <s v="Every 3 Months"/>
    <n v="0"/>
    <x v="2"/>
  </r>
  <r>
    <n v="2915"/>
    <n v="45"/>
    <s v="Female"/>
    <s v="Sweater"/>
    <x v="0"/>
    <n v="72"/>
    <x v="38"/>
    <s v="M"/>
    <s v="Yellow"/>
    <x v="3"/>
    <n v="3.8"/>
    <s v="No"/>
    <s v="PayPal"/>
    <s v="Express"/>
    <s v="No"/>
    <s v="No"/>
    <n v="1"/>
    <x v="5"/>
    <s v="Bi-Weekly"/>
    <n v="0"/>
    <x v="2"/>
  </r>
  <r>
    <n v="2916"/>
    <n v="26"/>
    <s v="Female"/>
    <s v="Shirt"/>
    <x v="0"/>
    <n v="30"/>
    <x v="4"/>
    <s v="M"/>
    <s v="Cyan"/>
    <x v="3"/>
    <n v="4.5"/>
    <s v="No"/>
    <s v="Credit Card"/>
    <s v="Express"/>
    <s v="No"/>
    <s v="No"/>
    <n v="39"/>
    <x v="5"/>
    <s v="Bi-Weekly"/>
    <n v="0"/>
    <x v="3"/>
  </r>
  <r>
    <n v="2917"/>
    <n v="62"/>
    <s v="Female"/>
    <s v="Shorts"/>
    <x v="0"/>
    <n v="66"/>
    <x v="19"/>
    <s v="M"/>
    <s v="Green"/>
    <x v="0"/>
    <n v="2.7"/>
    <s v="No"/>
    <s v="Credit Card"/>
    <s v="Express"/>
    <s v="No"/>
    <s v="No"/>
    <n v="13"/>
    <x v="2"/>
    <s v="Bi-Weekly"/>
    <n v="0"/>
    <x v="0"/>
  </r>
  <r>
    <n v="2918"/>
    <n v="58"/>
    <s v="Female"/>
    <s v="Shirt"/>
    <x v="0"/>
    <n v="45"/>
    <x v="24"/>
    <s v="XL"/>
    <s v="White"/>
    <x v="0"/>
    <n v="2.9"/>
    <s v="No"/>
    <s v="Cash"/>
    <s v="Store Pickup"/>
    <s v="No"/>
    <s v="No"/>
    <n v="50"/>
    <x v="0"/>
    <s v="Annually"/>
    <n v="0"/>
    <x v="0"/>
  </r>
  <r>
    <n v="2919"/>
    <n v="19"/>
    <s v="Female"/>
    <s v="Sunglasses"/>
    <x v="3"/>
    <n v="73"/>
    <x v="14"/>
    <s v="S"/>
    <s v="Black"/>
    <x v="3"/>
    <n v="4.9000000000000004"/>
    <s v="No"/>
    <s v="Credit Card"/>
    <s v="Free Shipping"/>
    <s v="No"/>
    <s v="No"/>
    <n v="36"/>
    <x v="1"/>
    <s v="Weekly"/>
    <n v="0"/>
    <x v="1"/>
  </r>
  <r>
    <n v="2920"/>
    <n v="64"/>
    <s v="Female"/>
    <s v="Shoes"/>
    <x v="1"/>
    <n v="67"/>
    <x v="46"/>
    <s v="L"/>
    <s v="Charcoal"/>
    <x v="0"/>
    <n v="3.8"/>
    <s v="No"/>
    <s v="Bank Transfer"/>
    <s v="Standard"/>
    <s v="No"/>
    <s v="No"/>
    <n v="31"/>
    <x v="5"/>
    <s v="Monthly"/>
    <n v="0"/>
    <x v="0"/>
  </r>
  <r>
    <n v="2921"/>
    <n v="33"/>
    <s v="Female"/>
    <s v="Sunglasses"/>
    <x v="3"/>
    <n v="72"/>
    <x v="21"/>
    <s v="XL"/>
    <s v="Brown"/>
    <x v="1"/>
    <n v="4.9000000000000004"/>
    <s v="No"/>
    <s v="Venmo"/>
    <s v="Free Shipping"/>
    <s v="No"/>
    <s v="No"/>
    <n v="3"/>
    <x v="5"/>
    <s v="Bi-Weekly"/>
    <n v="0"/>
    <x v="3"/>
  </r>
  <r>
    <n v="2922"/>
    <n v="20"/>
    <s v="Female"/>
    <s v="Handbag"/>
    <x v="3"/>
    <n v="24"/>
    <x v="48"/>
    <s v="M"/>
    <s v="Cyan"/>
    <x v="3"/>
    <n v="4.5999999999999996"/>
    <s v="No"/>
    <s v="Venmo"/>
    <s v="Standard"/>
    <s v="No"/>
    <s v="No"/>
    <n v="11"/>
    <x v="1"/>
    <s v="Fortnightly"/>
    <n v="0"/>
    <x v="1"/>
  </r>
  <r>
    <n v="2923"/>
    <n v="45"/>
    <s v="Female"/>
    <s v="Sunglasses"/>
    <x v="3"/>
    <n v="68"/>
    <x v="0"/>
    <s v="L"/>
    <s v="Beige"/>
    <x v="0"/>
    <n v="3.5"/>
    <s v="No"/>
    <s v="Venmo"/>
    <s v="Express"/>
    <s v="No"/>
    <s v="No"/>
    <n v="16"/>
    <x v="3"/>
    <s v="Quarterly"/>
    <n v="0"/>
    <x v="2"/>
  </r>
  <r>
    <n v="2924"/>
    <n v="28"/>
    <s v="Female"/>
    <s v="Shirt"/>
    <x v="0"/>
    <n v="70"/>
    <x v="38"/>
    <s v="M"/>
    <s v="Magenta"/>
    <x v="1"/>
    <n v="4.2"/>
    <s v="No"/>
    <s v="Bank Transfer"/>
    <s v="2-Day Shipping"/>
    <s v="No"/>
    <s v="No"/>
    <n v="12"/>
    <x v="1"/>
    <s v="Quarterly"/>
    <n v="0"/>
    <x v="3"/>
  </r>
  <r>
    <n v="2925"/>
    <n v="47"/>
    <s v="Female"/>
    <s v="Shirt"/>
    <x v="0"/>
    <n v="64"/>
    <x v="3"/>
    <s v="L"/>
    <s v="Indigo"/>
    <x v="0"/>
    <n v="3.7"/>
    <s v="No"/>
    <s v="Bank Transfer"/>
    <s v="Free Shipping"/>
    <s v="No"/>
    <s v="No"/>
    <n v="37"/>
    <x v="5"/>
    <s v="Every 3 Months"/>
    <n v="0"/>
    <x v="0"/>
  </r>
  <r>
    <n v="2926"/>
    <n v="54"/>
    <s v="Female"/>
    <s v="Sweater"/>
    <x v="0"/>
    <n v="91"/>
    <x v="26"/>
    <s v="M"/>
    <s v="Maroon"/>
    <x v="1"/>
    <n v="2.8"/>
    <s v="No"/>
    <s v="Cash"/>
    <s v="Store Pickup"/>
    <s v="No"/>
    <s v="No"/>
    <n v="43"/>
    <x v="2"/>
    <s v="Every 3 Months"/>
    <n v="0"/>
    <x v="0"/>
  </r>
  <r>
    <n v="2927"/>
    <n v="64"/>
    <s v="Female"/>
    <s v="Handbag"/>
    <x v="3"/>
    <n v="82"/>
    <x v="33"/>
    <s v="M"/>
    <s v="Gray"/>
    <x v="0"/>
    <n v="4.8"/>
    <s v="No"/>
    <s v="Debit Card"/>
    <s v="2-Day Shipping"/>
    <s v="No"/>
    <s v="No"/>
    <n v="9"/>
    <x v="1"/>
    <s v="Weekly"/>
    <n v="0"/>
    <x v="0"/>
  </r>
  <r>
    <n v="2928"/>
    <n v="45"/>
    <s v="Female"/>
    <s v="Shirt"/>
    <x v="0"/>
    <n v="24"/>
    <x v="9"/>
    <s v="M"/>
    <s v="Black"/>
    <x v="2"/>
    <n v="2.7"/>
    <s v="No"/>
    <s v="Debit Card"/>
    <s v="Express"/>
    <s v="No"/>
    <s v="No"/>
    <n v="15"/>
    <x v="0"/>
    <s v="Bi-Weekly"/>
    <n v="0"/>
    <x v="2"/>
  </r>
  <r>
    <n v="2929"/>
    <n v="40"/>
    <s v="Female"/>
    <s v="Jewelry"/>
    <x v="3"/>
    <n v="80"/>
    <x v="15"/>
    <s v="L"/>
    <s v="Yellow"/>
    <x v="1"/>
    <n v="3.6"/>
    <s v="No"/>
    <s v="Venmo"/>
    <s v="Store Pickup"/>
    <s v="No"/>
    <s v="No"/>
    <n v="17"/>
    <x v="2"/>
    <s v="Weekly"/>
    <n v="0"/>
    <x v="2"/>
  </r>
  <r>
    <n v="2930"/>
    <n v="31"/>
    <s v="Female"/>
    <s v="Socks"/>
    <x v="0"/>
    <n v="53"/>
    <x v="1"/>
    <s v="XL"/>
    <s v="White"/>
    <x v="0"/>
    <n v="4.5"/>
    <s v="No"/>
    <s v="Debit Card"/>
    <s v="Next Day Air"/>
    <s v="No"/>
    <s v="No"/>
    <n v="42"/>
    <x v="0"/>
    <s v="Fortnightly"/>
    <n v="0"/>
    <x v="3"/>
  </r>
  <r>
    <n v="2931"/>
    <n v="38"/>
    <s v="Female"/>
    <s v="T-shirt"/>
    <x v="0"/>
    <n v="50"/>
    <x v="16"/>
    <s v="M"/>
    <s v="Orange"/>
    <x v="1"/>
    <n v="4"/>
    <s v="No"/>
    <s v="Credit Card"/>
    <s v="Free Shipping"/>
    <s v="No"/>
    <s v="No"/>
    <n v="14"/>
    <x v="0"/>
    <s v="Monthly"/>
    <n v="0"/>
    <x v="2"/>
  </r>
  <r>
    <n v="2932"/>
    <n v="36"/>
    <s v="Female"/>
    <s v="Jewelry"/>
    <x v="3"/>
    <n v="31"/>
    <x v="15"/>
    <s v="M"/>
    <s v="Magenta"/>
    <x v="3"/>
    <n v="4.5"/>
    <s v="No"/>
    <s v="Cash"/>
    <s v="2-Day Shipping"/>
    <s v="No"/>
    <s v="No"/>
    <n v="49"/>
    <x v="2"/>
    <s v="Bi-Weekly"/>
    <n v="0"/>
    <x v="2"/>
  </r>
  <r>
    <n v="2933"/>
    <n v="65"/>
    <s v="Female"/>
    <s v="Backpack"/>
    <x v="3"/>
    <n v="88"/>
    <x v="29"/>
    <s v="L"/>
    <s v="Black"/>
    <x v="1"/>
    <n v="3.9"/>
    <s v="No"/>
    <s v="Credit Card"/>
    <s v="Express"/>
    <s v="No"/>
    <s v="No"/>
    <n v="3"/>
    <x v="3"/>
    <s v="Quarterly"/>
    <n v="0"/>
    <x v="0"/>
  </r>
  <r>
    <n v="2934"/>
    <n v="27"/>
    <s v="Female"/>
    <s v="Hat"/>
    <x v="3"/>
    <n v="52"/>
    <x v="26"/>
    <s v="M"/>
    <s v="Brown"/>
    <x v="2"/>
    <n v="3.8"/>
    <s v="No"/>
    <s v="Credit Card"/>
    <s v="Standard"/>
    <s v="No"/>
    <s v="No"/>
    <n v="28"/>
    <x v="0"/>
    <s v="Monthly"/>
    <n v="0"/>
    <x v="3"/>
  </r>
  <r>
    <n v="2935"/>
    <n v="38"/>
    <s v="Female"/>
    <s v="Gloves"/>
    <x v="3"/>
    <n v="22"/>
    <x v="37"/>
    <s v="M"/>
    <s v="Orange"/>
    <x v="3"/>
    <n v="4.7"/>
    <s v="No"/>
    <s v="Bank Transfer"/>
    <s v="Next Day Air"/>
    <s v="No"/>
    <s v="No"/>
    <n v="41"/>
    <x v="4"/>
    <s v="Quarterly"/>
    <n v="0"/>
    <x v="2"/>
  </r>
  <r>
    <n v="2936"/>
    <n v="58"/>
    <s v="Female"/>
    <s v="Sneakers"/>
    <x v="1"/>
    <n v="27"/>
    <x v="17"/>
    <s v="XL"/>
    <s v="Gray"/>
    <x v="1"/>
    <n v="4.5999999999999996"/>
    <s v="No"/>
    <s v="Debit Card"/>
    <s v="Standard"/>
    <s v="No"/>
    <s v="No"/>
    <n v="11"/>
    <x v="0"/>
    <s v="Weekly"/>
    <n v="0"/>
    <x v="0"/>
  </r>
  <r>
    <n v="2937"/>
    <n v="31"/>
    <s v="Female"/>
    <s v="Skirt"/>
    <x v="0"/>
    <n v="34"/>
    <x v="47"/>
    <s v="M"/>
    <s v="White"/>
    <x v="1"/>
    <n v="3.6"/>
    <s v="No"/>
    <s v="Debit Card"/>
    <s v="Express"/>
    <s v="No"/>
    <s v="No"/>
    <n v="46"/>
    <x v="3"/>
    <s v="Weekly"/>
    <n v="0"/>
    <x v="3"/>
  </r>
  <r>
    <n v="2938"/>
    <n v="28"/>
    <s v="Female"/>
    <s v="Handbag"/>
    <x v="3"/>
    <n v="39"/>
    <x v="8"/>
    <s v="M"/>
    <s v="White"/>
    <x v="1"/>
    <n v="4.3"/>
    <s v="No"/>
    <s v="Debit Card"/>
    <s v="2-Day Shipping"/>
    <s v="No"/>
    <s v="No"/>
    <n v="15"/>
    <x v="2"/>
    <s v="Weekly"/>
    <n v="0"/>
    <x v="3"/>
  </r>
  <r>
    <n v="2939"/>
    <n v="28"/>
    <s v="Female"/>
    <s v="Sunglasses"/>
    <x v="3"/>
    <n v="53"/>
    <x v="1"/>
    <s v="M"/>
    <s v="Violet"/>
    <x v="3"/>
    <n v="3"/>
    <s v="No"/>
    <s v="Cash"/>
    <s v="Standard"/>
    <s v="No"/>
    <s v="No"/>
    <n v="15"/>
    <x v="1"/>
    <s v="Monthly"/>
    <n v="0"/>
    <x v="3"/>
  </r>
  <r>
    <n v="2940"/>
    <n v="32"/>
    <s v="Female"/>
    <s v="Sweater"/>
    <x v="0"/>
    <n v="46"/>
    <x v="0"/>
    <s v="M"/>
    <s v="Beige"/>
    <x v="0"/>
    <n v="4.3"/>
    <s v="No"/>
    <s v="PayPal"/>
    <s v="Express"/>
    <s v="No"/>
    <s v="No"/>
    <n v="34"/>
    <x v="0"/>
    <s v="Weekly"/>
    <n v="0"/>
    <x v="3"/>
  </r>
  <r>
    <n v="2941"/>
    <n v="61"/>
    <s v="Female"/>
    <s v="Handbag"/>
    <x v="3"/>
    <n v="85"/>
    <x v="2"/>
    <s v="L"/>
    <s v="Beige"/>
    <x v="2"/>
    <n v="4.8"/>
    <s v="No"/>
    <s v="Venmo"/>
    <s v="Next Day Air"/>
    <s v="No"/>
    <s v="No"/>
    <n v="13"/>
    <x v="1"/>
    <s v="Monthly"/>
    <n v="0"/>
    <x v="0"/>
  </r>
  <r>
    <n v="2942"/>
    <n v="38"/>
    <s v="Female"/>
    <s v="Skirt"/>
    <x v="0"/>
    <n v="86"/>
    <x v="38"/>
    <s v="L"/>
    <s v="Purple"/>
    <x v="1"/>
    <n v="3.7"/>
    <s v="No"/>
    <s v="Bank Transfer"/>
    <s v="Free Shipping"/>
    <s v="No"/>
    <s v="No"/>
    <n v="27"/>
    <x v="3"/>
    <s v="Monthly"/>
    <n v="0"/>
    <x v="2"/>
  </r>
  <r>
    <n v="2943"/>
    <n v="54"/>
    <s v="Female"/>
    <s v="Socks"/>
    <x v="0"/>
    <n v="63"/>
    <x v="11"/>
    <s v="M"/>
    <s v="Brown"/>
    <x v="2"/>
    <n v="2.6"/>
    <s v="No"/>
    <s v="Cash"/>
    <s v="Free Shipping"/>
    <s v="No"/>
    <s v="No"/>
    <n v="37"/>
    <x v="4"/>
    <s v="Weekly"/>
    <n v="0"/>
    <x v="0"/>
  </r>
  <r>
    <n v="2944"/>
    <n v="29"/>
    <s v="Female"/>
    <s v="Shirt"/>
    <x v="0"/>
    <n v="44"/>
    <x v="41"/>
    <s v="M"/>
    <s v="Orange"/>
    <x v="1"/>
    <n v="3.4"/>
    <s v="No"/>
    <s v="Debit Card"/>
    <s v="Standard"/>
    <s v="No"/>
    <s v="No"/>
    <n v="37"/>
    <x v="2"/>
    <s v="Monthly"/>
    <n v="0"/>
    <x v="3"/>
  </r>
  <r>
    <n v="2945"/>
    <n v="50"/>
    <s v="Female"/>
    <s v="Sneakers"/>
    <x v="1"/>
    <n v="95"/>
    <x v="14"/>
    <s v="XL"/>
    <s v="Cyan"/>
    <x v="2"/>
    <n v="3.9"/>
    <s v="No"/>
    <s v="Cash"/>
    <s v="Free Shipping"/>
    <s v="No"/>
    <s v="No"/>
    <n v="4"/>
    <x v="0"/>
    <s v="Every 3 Months"/>
    <n v="0"/>
    <x v="0"/>
  </r>
  <r>
    <n v="2946"/>
    <n v="32"/>
    <s v="Female"/>
    <s v="Belt"/>
    <x v="3"/>
    <n v="49"/>
    <x v="12"/>
    <s v="M"/>
    <s v="Charcoal"/>
    <x v="2"/>
    <n v="4.8"/>
    <s v="No"/>
    <s v="Venmo"/>
    <s v="Free Shipping"/>
    <s v="No"/>
    <s v="No"/>
    <n v="1"/>
    <x v="2"/>
    <s v="Every 3 Months"/>
    <n v="0"/>
    <x v="3"/>
  </r>
  <r>
    <n v="2947"/>
    <n v="38"/>
    <s v="Female"/>
    <s v="Pants"/>
    <x v="0"/>
    <n v="77"/>
    <x v="11"/>
    <s v="L"/>
    <s v="Purple"/>
    <x v="1"/>
    <n v="2.8"/>
    <s v="No"/>
    <s v="Credit Card"/>
    <s v="Free Shipping"/>
    <s v="No"/>
    <s v="No"/>
    <n v="29"/>
    <x v="4"/>
    <s v="Quarterly"/>
    <n v="0"/>
    <x v="2"/>
  </r>
  <r>
    <n v="2948"/>
    <n v="52"/>
    <s v="Female"/>
    <s v="Jewelry"/>
    <x v="3"/>
    <n v="63"/>
    <x v="43"/>
    <s v="L"/>
    <s v="Peach"/>
    <x v="1"/>
    <n v="4.4000000000000004"/>
    <s v="No"/>
    <s v="Venmo"/>
    <s v="Standard"/>
    <s v="No"/>
    <s v="No"/>
    <n v="50"/>
    <x v="0"/>
    <s v="Annually"/>
    <n v="0"/>
    <x v="0"/>
  </r>
  <r>
    <n v="2949"/>
    <n v="61"/>
    <s v="Female"/>
    <s v="Pants"/>
    <x v="0"/>
    <n v="83"/>
    <x v="34"/>
    <s v="M"/>
    <s v="Violet"/>
    <x v="0"/>
    <n v="3.1"/>
    <s v="No"/>
    <s v="Credit Card"/>
    <s v="Standard"/>
    <s v="No"/>
    <s v="No"/>
    <n v="38"/>
    <x v="5"/>
    <s v="Bi-Weekly"/>
    <n v="0"/>
    <x v="0"/>
  </r>
  <r>
    <n v="2950"/>
    <n v="25"/>
    <s v="Female"/>
    <s v="Jewelry"/>
    <x v="3"/>
    <n v="93"/>
    <x v="44"/>
    <s v="M"/>
    <s v="Peach"/>
    <x v="1"/>
    <n v="3.8"/>
    <s v="No"/>
    <s v="Credit Card"/>
    <s v="Store Pickup"/>
    <s v="No"/>
    <s v="No"/>
    <n v="15"/>
    <x v="3"/>
    <s v="Annually"/>
    <n v="0"/>
    <x v="1"/>
  </r>
  <r>
    <n v="2951"/>
    <n v="22"/>
    <s v="Female"/>
    <s v="Jeans"/>
    <x v="0"/>
    <n v="91"/>
    <x v="44"/>
    <s v="S"/>
    <s v="Maroon"/>
    <x v="0"/>
    <n v="4.0999999999999996"/>
    <s v="No"/>
    <s v="Bank Transfer"/>
    <s v="2-Day Shipping"/>
    <s v="No"/>
    <s v="No"/>
    <n v="44"/>
    <x v="5"/>
    <s v="Every 3 Months"/>
    <n v="0"/>
    <x v="1"/>
  </r>
  <r>
    <n v="2952"/>
    <n v="47"/>
    <s v="Female"/>
    <s v="Scarf"/>
    <x v="3"/>
    <n v="99"/>
    <x v="10"/>
    <s v="L"/>
    <s v="Maroon"/>
    <x v="3"/>
    <n v="4.5999999999999996"/>
    <s v="No"/>
    <s v="Credit Card"/>
    <s v="Free Shipping"/>
    <s v="No"/>
    <s v="No"/>
    <n v="14"/>
    <x v="1"/>
    <s v="Weekly"/>
    <n v="0"/>
    <x v="0"/>
  </r>
  <r>
    <n v="2953"/>
    <n v="50"/>
    <s v="Female"/>
    <s v="Belt"/>
    <x v="3"/>
    <n v="24"/>
    <x v="15"/>
    <s v="M"/>
    <s v="Peach"/>
    <x v="1"/>
    <n v="4.9000000000000004"/>
    <s v="No"/>
    <s v="PayPal"/>
    <s v="Next Day Air"/>
    <s v="No"/>
    <s v="No"/>
    <n v="5"/>
    <x v="5"/>
    <s v="Monthly"/>
    <n v="0"/>
    <x v="0"/>
  </r>
  <r>
    <n v="2954"/>
    <n v="45"/>
    <s v="Female"/>
    <s v="Dress"/>
    <x v="0"/>
    <n v="82"/>
    <x v="33"/>
    <s v="M"/>
    <s v="Silver"/>
    <x v="2"/>
    <n v="4.8"/>
    <s v="No"/>
    <s v="PayPal"/>
    <s v="Next Day Air"/>
    <s v="No"/>
    <s v="No"/>
    <n v="11"/>
    <x v="2"/>
    <s v="Annually"/>
    <n v="0"/>
    <x v="2"/>
  </r>
  <r>
    <n v="2955"/>
    <n v="33"/>
    <s v="Female"/>
    <s v="T-shirt"/>
    <x v="0"/>
    <n v="28"/>
    <x v="45"/>
    <s v="M"/>
    <s v="Indigo"/>
    <x v="0"/>
    <n v="3.9"/>
    <s v="No"/>
    <s v="PayPal"/>
    <s v="Express"/>
    <s v="No"/>
    <s v="No"/>
    <n v="15"/>
    <x v="2"/>
    <s v="Annually"/>
    <n v="0"/>
    <x v="3"/>
  </r>
  <r>
    <n v="2956"/>
    <n v="42"/>
    <s v="Female"/>
    <s v="Boots"/>
    <x v="1"/>
    <n v="67"/>
    <x v="34"/>
    <s v="M"/>
    <s v="Silver"/>
    <x v="0"/>
    <n v="2.6"/>
    <s v="No"/>
    <s v="Venmo"/>
    <s v="Free Shipping"/>
    <s v="No"/>
    <s v="No"/>
    <n v="46"/>
    <x v="2"/>
    <s v="Annually"/>
    <n v="0"/>
    <x v="2"/>
  </r>
  <r>
    <n v="2957"/>
    <n v="52"/>
    <s v="Female"/>
    <s v="Dress"/>
    <x v="0"/>
    <n v="88"/>
    <x v="6"/>
    <s v="M"/>
    <s v="Olive"/>
    <x v="3"/>
    <n v="3.7"/>
    <s v="No"/>
    <s v="PayPal"/>
    <s v="Standard"/>
    <s v="No"/>
    <s v="No"/>
    <n v="30"/>
    <x v="0"/>
    <s v="Monthly"/>
    <n v="0"/>
    <x v="0"/>
  </r>
  <r>
    <n v="2958"/>
    <n v="69"/>
    <s v="Female"/>
    <s v="Jewelry"/>
    <x v="3"/>
    <n v="70"/>
    <x v="45"/>
    <s v="S"/>
    <s v="Gray"/>
    <x v="3"/>
    <n v="4.7"/>
    <s v="No"/>
    <s v="Cash"/>
    <s v="Standard"/>
    <s v="No"/>
    <s v="No"/>
    <n v="2"/>
    <x v="1"/>
    <s v="Annually"/>
    <n v="0"/>
    <x v="0"/>
  </r>
  <r>
    <n v="2959"/>
    <n v="55"/>
    <s v="Female"/>
    <s v="Skirt"/>
    <x v="0"/>
    <n v="100"/>
    <x v="31"/>
    <s v="M"/>
    <s v="Black"/>
    <x v="2"/>
    <n v="4.5"/>
    <s v="No"/>
    <s v="Venmo"/>
    <s v="Standard"/>
    <s v="No"/>
    <s v="No"/>
    <n v="28"/>
    <x v="3"/>
    <s v="Monthly"/>
    <n v="0"/>
    <x v="0"/>
  </r>
  <r>
    <n v="2960"/>
    <n v="38"/>
    <s v="Female"/>
    <s v="Handbag"/>
    <x v="3"/>
    <n v="28"/>
    <x v="21"/>
    <s v="L"/>
    <s v="Maroon"/>
    <x v="2"/>
    <n v="4.7"/>
    <s v="No"/>
    <s v="PayPal"/>
    <s v="Free Shipping"/>
    <s v="No"/>
    <s v="No"/>
    <n v="9"/>
    <x v="3"/>
    <s v="Quarterly"/>
    <n v="0"/>
    <x v="2"/>
  </r>
  <r>
    <n v="2961"/>
    <n v="57"/>
    <s v="Female"/>
    <s v="Coat"/>
    <x v="2"/>
    <n v="48"/>
    <x v="27"/>
    <s v="S"/>
    <s v="Olive"/>
    <x v="1"/>
    <n v="3.6"/>
    <s v="No"/>
    <s v="Venmo"/>
    <s v="Standard"/>
    <s v="No"/>
    <s v="No"/>
    <n v="47"/>
    <x v="2"/>
    <s v="Weekly"/>
    <n v="0"/>
    <x v="0"/>
  </r>
  <r>
    <n v="2962"/>
    <n v="33"/>
    <s v="Female"/>
    <s v="Hoodie"/>
    <x v="0"/>
    <n v="43"/>
    <x v="13"/>
    <s v="S"/>
    <s v="Gold"/>
    <x v="3"/>
    <n v="2.8"/>
    <s v="No"/>
    <s v="Credit Card"/>
    <s v="Free Shipping"/>
    <s v="No"/>
    <s v="No"/>
    <n v="21"/>
    <x v="5"/>
    <s v="Bi-Weekly"/>
    <n v="0"/>
    <x v="3"/>
  </r>
  <r>
    <n v="2963"/>
    <n v="57"/>
    <s v="Female"/>
    <s v="Pants"/>
    <x v="0"/>
    <n v="40"/>
    <x v="18"/>
    <s v="L"/>
    <s v="Pink"/>
    <x v="3"/>
    <n v="4"/>
    <s v="No"/>
    <s v="PayPal"/>
    <s v="Express"/>
    <s v="No"/>
    <s v="No"/>
    <n v="42"/>
    <x v="2"/>
    <s v="Every 3 Months"/>
    <n v="0"/>
    <x v="0"/>
  </r>
  <r>
    <n v="2964"/>
    <n v="52"/>
    <s v="Female"/>
    <s v="Boots"/>
    <x v="1"/>
    <n v="97"/>
    <x v="1"/>
    <s v="M"/>
    <s v="Brown"/>
    <x v="1"/>
    <n v="3.6"/>
    <s v="No"/>
    <s v="Debit Card"/>
    <s v="Free Shipping"/>
    <s v="No"/>
    <s v="No"/>
    <n v="28"/>
    <x v="2"/>
    <s v="Weekly"/>
    <n v="0"/>
    <x v="0"/>
  </r>
  <r>
    <n v="2965"/>
    <n v="44"/>
    <s v="Female"/>
    <s v="Coat"/>
    <x v="2"/>
    <n v="25"/>
    <x v="31"/>
    <s v="S"/>
    <s v="White"/>
    <x v="3"/>
    <n v="3.8"/>
    <s v="No"/>
    <s v="Credit Card"/>
    <s v="2-Day Shipping"/>
    <s v="No"/>
    <s v="No"/>
    <n v="13"/>
    <x v="0"/>
    <s v="Fortnightly"/>
    <n v="0"/>
    <x v="2"/>
  </r>
  <r>
    <n v="2966"/>
    <n v="48"/>
    <s v="Female"/>
    <s v="Scarf"/>
    <x v="3"/>
    <n v="45"/>
    <x v="12"/>
    <s v="M"/>
    <s v="Blue"/>
    <x v="2"/>
    <n v="4.4000000000000004"/>
    <s v="No"/>
    <s v="Bank Transfer"/>
    <s v="Standard"/>
    <s v="No"/>
    <s v="No"/>
    <n v="25"/>
    <x v="3"/>
    <s v="Fortnightly"/>
    <n v="0"/>
    <x v="0"/>
  </r>
  <r>
    <n v="2967"/>
    <n v="52"/>
    <s v="Female"/>
    <s v="Boots"/>
    <x v="1"/>
    <n v="49"/>
    <x v="19"/>
    <s v="L"/>
    <s v="Orange"/>
    <x v="3"/>
    <n v="2.8"/>
    <s v="No"/>
    <s v="Cash"/>
    <s v="Store Pickup"/>
    <s v="No"/>
    <s v="No"/>
    <n v="38"/>
    <x v="5"/>
    <s v="Every 3 Months"/>
    <n v="0"/>
    <x v="0"/>
  </r>
  <r>
    <n v="2968"/>
    <n v="34"/>
    <s v="Female"/>
    <s v="Sneakers"/>
    <x v="1"/>
    <n v="36"/>
    <x v="27"/>
    <s v="L"/>
    <s v="Silver"/>
    <x v="2"/>
    <n v="3.4"/>
    <s v="No"/>
    <s v="Cash"/>
    <s v="Free Shipping"/>
    <s v="No"/>
    <s v="No"/>
    <n v="40"/>
    <x v="0"/>
    <s v="Annually"/>
    <n v="0"/>
    <x v="3"/>
  </r>
  <r>
    <n v="2969"/>
    <n v="26"/>
    <s v="Female"/>
    <s v="Sweater"/>
    <x v="0"/>
    <n v="48"/>
    <x v="36"/>
    <s v="S"/>
    <s v="Gray"/>
    <x v="3"/>
    <n v="4.9000000000000004"/>
    <s v="No"/>
    <s v="Cash"/>
    <s v="Express"/>
    <s v="No"/>
    <s v="No"/>
    <n v="25"/>
    <x v="1"/>
    <s v="Every 3 Months"/>
    <n v="0"/>
    <x v="3"/>
  </r>
  <r>
    <n v="2970"/>
    <n v="36"/>
    <s v="Female"/>
    <s v="Belt"/>
    <x v="3"/>
    <n v="62"/>
    <x v="34"/>
    <s v="S"/>
    <s v="Blue"/>
    <x v="3"/>
    <n v="4.3"/>
    <s v="No"/>
    <s v="Bank Transfer"/>
    <s v="Next Day Air"/>
    <s v="No"/>
    <s v="No"/>
    <n v="20"/>
    <x v="1"/>
    <s v="Every 3 Months"/>
    <n v="0"/>
    <x v="2"/>
  </r>
  <r>
    <n v="2971"/>
    <n v="24"/>
    <s v="Female"/>
    <s v="Jewelry"/>
    <x v="3"/>
    <n v="74"/>
    <x v="23"/>
    <s v="M"/>
    <s v="White"/>
    <x v="0"/>
    <n v="3.4"/>
    <s v="No"/>
    <s v="Bank Transfer"/>
    <s v="Free Shipping"/>
    <s v="No"/>
    <s v="No"/>
    <n v="44"/>
    <x v="2"/>
    <s v="Bi-Weekly"/>
    <n v="0"/>
    <x v="1"/>
  </r>
  <r>
    <n v="2972"/>
    <n v="30"/>
    <s v="Female"/>
    <s v="Handbag"/>
    <x v="3"/>
    <n v="100"/>
    <x v="40"/>
    <s v="L"/>
    <s v="Yellow"/>
    <x v="3"/>
    <n v="3.9"/>
    <s v="No"/>
    <s v="Credit Card"/>
    <s v="Next Day Air"/>
    <s v="No"/>
    <s v="No"/>
    <n v="9"/>
    <x v="3"/>
    <s v="Every 3 Months"/>
    <n v="0"/>
    <x v="3"/>
  </r>
  <r>
    <n v="2973"/>
    <n v="31"/>
    <s v="Female"/>
    <s v="Jacket"/>
    <x v="2"/>
    <n v="39"/>
    <x v="14"/>
    <s v="S"/>
    <s v="Indigo"/>
    <x v="3"/>
    <n v="4.2"/>
    <s v="No"/>
    <s v="Venmo"/>
    <s v="Free Shipping"/>
    <s v="No"/>
    <s v="No"/>
    <n v="11"/>
    <x v="0"/>
    <s v="Every 3 Months"/>
    <n v="0"/>
    <x v="3"/>
  </r>
  <r>
    <n v="2974"/>
    <n v="25"/>
    <s v="Female"/>
    <s v="Boots"/>
    <x v="1"/>
    <n v="65"/>
    <x v="27"/>
    <s v="M"/>
    <s v="Blue"/>
    <x v="2"/>
    <n v="2.7"/>
    <s v="No"/>
    <s v="PayPal"/>
    <s v="Store Pickup"/>
    <s v="No"/>
    <s v="No"/>
    <n v="3"/>
    <x v="4"/>
    <s v="Fortnightly"/>
    <n v="0"/>
    <x v="1"/>
  </r>
  <r>
    <n v="2975"/>
    <n v="57"/>
    <s v="Female"/>
    <s v="Sneakers"/>
    <x v="1"/>
    <n v="99"/>
    <x v="30"/>
    <s v="XL"/>
    <s v="Peach"/>
    <x v="2"/>
    <n v="4.0999999999999996"/>
    <s v="No"/>
    <s v="Cash"/>
    <s v="Store Pickup"/>
    <s v="No"/>
    <s v="No"/>
    <n v="34"/>
    <x v="2"/>
    <s v="Weekly"/>
    <n v="0"/>
    <x v="0"/>
  </r>
  <r>
    <n v="2976"/>
    <n v="61"/>
    <s v="Female"/>
    <s v="Scarf"/>
    <x v="3"/>
    <n v="68"/>
    <x v="42"/>
    <s v="XL"/>
    <s v="Lavender"/>
    <x v="0"/>
    <n v="4.5"/>
    <s v="No"/>
    <s v="PayPal"/>
    <s v="2-Day Shipping"/>
    <s v="No"/>
    <s v="No"/>
    <n v="48"/>
    <x v="1"/>
    <s v="Every 3 Months"/>
    <n v="0"/>
    <x v="0"/>
  </r>
  <r>
    <n v="2977"/>
    <n v="30"/>
    <s v="Female"/>
    <s v="Coat"/>
    <x v="2"/>
    <n v="97"/>
    <x v="43"/>
    <s v="M"/>
    <s v="Silver"/>
    <x v="2"/>
    <n v="2.8"/>
    <s v="No"/>
    <s v="Debit Card"/>
    <s v="Express"/>
    <s v="No"/>
    <s v="No"/>
    <n v="28"/>
    <x v="1"/>
    <s v="Fortnightly"/>
    <n v="0"/>
    <x v="3"/>
  </r>
  <r>
    <n v="2978"/>
    <n v="38"/>
    <s v="Female"/>
    <s v="Shorts"/>
    <x v="0"/>
    <n v="47"/>
    <x v="47"/>
    <s v="L"/>
    <s v="Gold"/>
    <x v="0"/>
    <n v="3.4"/>
    <s v="No"/>
    <s v="PayPal"/>
    <s v="Standard"/>
    <s v="No"/>
    <s v="No"/>
    <n v="20"/>
    <x v="0"/>
    <s v="Annually"/>
    <n v="0"/>
    <x v="2"/>
  </r>
  <r>
    <n v="2979"/>
    <n v="53"/>
    <s v="Female"/>
    <s v="Shorts"/>
    <x v="0"/>
    <n v="56"/>
    <x v="37"/>
    <s v="S"/>
    <s v="Cyan"/>
    <x v="1"/>
    <n v="3.9"/>
    <s v="No"/>
    <s v="Credit Card"/>
    <s v="Free Shipping"/>
    <s v="No"/>
    <s v="No"/>
    <n v="49"/>
    <x v="4"/>
    <s v="Fortnightly"/>
    <n v="0"/>
    <x v="0"/>
  </r>
  <r>
    <n v="2980"/>
    <n v="31"/>
    <s v="Female"/>
    <s v="Jeans"/>
    <x v="0"/>
    <n v="91"/>
    <x v="7"/>
    <s v="L"/>
    <s v="Olive"/>
    <x v="3"/>
    <n v="2.6"/>
    <s v="No"/>
    <s v="PayPal"/>
    <s v="Next Day Air"/>
    <s v="No"/>
    <s v="No"/>
    <n v="14"/>
    <x v="3"/>
    <s v="Weekly"/>
    <n v="0"/>
    <x v="3"/>
  </r>
  <r>
    <n v="2981"/>
    <n v="70"/>
    <s v="Female"/>
    <s v="Gloves"/>
    <x v="3"/>
    <n v="93"/>
    <x v="32"/>
    <s v="L"/>
    <s v="Teal"/>
    <x v="3"/>
    <n v="4.4000000000000004"/>
    <s v="No"/>
    <s v="Cash"/>
    <s v="2-Day Shipping"/>
    <s v="No"/>
    <s v="No"/>
    <n v="9"/>
    <x v="4"/>
    <s v="Monthly"/>
    <n v="0"/>
    <x v="0"/>
  </r>
  <r>
    <n v="2982"/>
    <n v="21"/>
    <s v="Female"/>
    <s v="Pants"/>
    <x v="0"/>
    <n v="36"/>
    <x v="12"/>
    <s v="L"/>
    <s v="Pink"/>
    <x v="0"/>
    <n v="4.9000000000000004"/>
    <s v="No"/>
    <s v="PayPal"/>
    <s v="Standard"/>
    <s v="No"/>
    <s v="No"/>
    <n v="37"/>
    <x v="0"/>
    <s v="Annually"/>
    <n v="0"/>
    <x v="1"/>
  </r>
  <r>
    <n v="2983"/>
    <n v="33"/>
    <s v="Female"/>
    <s v="Dress"/>
    <x v="0"/>
    <n v="45"/>
    <x v="48"/>
    <s v="M"/>
    <s v="Orange"/>
    <x v="2"/>
    <n v="3.6"/>
    <s v="No"/>
    <s v="Venmo"/>
    <s v="Store Pickup"/>
    <s v="No"/>
    <s v="No"/>
    <n v="4"/>
    <x v="2"/>
    <s v="Weekly"/>
    <n v="0"/>
    <x v="3"/>
  </r>
  <r>
    <n v="2984"/>
    <n v="60"/>
    <s v="Female"/>
    <s v="Pants"/>
    <x v="0"/>
    <n v="44"/>
    <x v="8"/>
    <s v="M"/>
    <s v="Charcoal"/>
    <x v="0"/>
    <n v="2.8"/>
    <s v="No"/>
    <s v="Venmo"/>
    <s v="2-Day Shipping"/>
    <s v="No"/>
    <s v="No"/>
    <n v="1"/>
    <x v="2"/>
    <s v="Quarterly"/>
    <n v="0"/>
    <x v="0"/>
  </r>
  <r>
    <n v="2985"/>
    <n v="45"/>
    <s v="Female"/>
    <s v="Gloves"/>
    <x v="3"/>
    <n v="32"/>
    <x v="21"/>
    <s v="L"/>
    <s v="Red"/>
    <x v="1"/>
    <n v="4.3"/>
    <s v="No"/>
    <s v="PayPal"/>
    <s v="2-Day Shipping"/>
    <s v="No"/>
    <s v="No"/>
    <n v="36"/>
    <x v="5"/>
    <s v="Bi-Weekly"/>
    <n v="0"/>
    <x v="2"/>
  </r>
  <r>
    <n v="2986"/>
    <n v="46"/>
    <s v="Female"/>
    <s v="Belt"/>
    <x v="3"/>
    <n v="36"/>
    <x v="11"/>
    <s v="S"/>
    <s v="Teal"/>
    <x v="2"/>
    <n v="3"/>
    <s v="No"/>
    <s v="Venmo"/>
    <s v="Express"/>
    <s v="No"/>
    <s v="No"/>
    <n v="21"/>
    <x v="1"/>
    <s v="Bi-Weekly"/>
    <n v="0"/>
    <x v="0"/>
  </r>
  <r>
    <n v="2987"/>
    <n v="62"/>
    <s v="Female"/>
    <s v="Belt"/>
    <x v="3"/>
    <n v="85"/>
    <x v="28"/>
    <s v="S"/>
    <s v="Silver"/>
    <x v="2"/>
    <n v="3.3"/>
    <s v="No"/>
    <s v="Credit Card"/>
    <s v="2-Day Shipping"/>
    <s v="No"/>
    <s v="No"/>
    <n v="16"/>
    <x v="2"/>
    <s v="Monthly"/>
    <n v="0"/>
    <x v="0"/>
  </r>
  <r>
    <n v="2988"/>
    <n v="63"/>
    <s v="Female"/>
    <s v="Skirt"/>
    <x v="0"/>
    <n v="36"/>
    <x v="7"/>
    <s v="L"/>
    <s v="Black"/>
    <x v="0"/>
    <n v="2.5"/>
    <s v="No"/>
    <s v="Debit Card"/>
    <s v="Store Pickup"/>
    <s v="No"/>
    <s v="No"/>
    <n v="42"/>
    <x v="1"/>
    <s v="Monthly"/>
    <n v="0"/>
    <x v="0"/>
  </r>
  <r>
    <n v="2989"/>
    <n v="69"/>
    <s v="Female"/>
    <s v="Socks"/>
    <x v="0"/>
    <n v="55"/>
    <x v="22"/>
    <s v="S"/>
    <s v="Pink"/>
    <x v="1"/>
    <n v="5"/>
    <s v="No"/>
    <s v="Debit Card"/>
    <s v="2-Day Shipping"/>
    <s v="No"/>
    <s v="No"/>
    <n v="31"/>
    <x v="5"/>
    <s v="Monthly"/>
    <n v="0"/>
    <x v="0"/>
  </r>
  <r>
    <n v="2990"/>
    <n v="46"/>
    <s v="Female"/>
    <s v="Belt"/>
    <x v="3"/>
    <n v="20"/>
    <x v="3"/>
    <s v="XL"/>
    <s v="Teal"/>
    <x v="2"/>
    <n v="4.3"/>
    <s v="No"/>
    <s v="Cash"/>
    <s v="2-Day Shipping"/>
    <s v="No"/>
    <s v="No"/>
    <n v="6"/>
    <x v="2"/>
    <s v="Weekly"/>
    <n v="0"/>
    <x v="0"/>
  </r>
  <r>
    <n v="2991"/>
    <n v="69"/>
    <s v="Female"/>
    <s v="Shirt"/>
    <x v="0"/>
    <n v="91"/>
    <x v="26"/>
    <s v="M"/>
    <s v="Teal"/>
    <x v="3"/>
    <n v="4.2"/>
    <s v="No"/>
    <s v="Venmo"/>
    <s v="Free Shipping"/>
    <s v="No"/>
    <s v="No"/>
    <n v="24"/>
    <x v="0"/>
    <s v="Monthly"/>
    <n v="0"/>
    <x v="0"/>
  </r>
  <r>
    <n v="2992"/>
    <n v="66"/>
    <s v="Female"/>
    <s v="Dress"/>
    <x v="0"/>
    <n v="71"/>
    <x v="40"/>
    <s v="L"/>
    <s v="Green"/>
    <x v="2"/>
    <n v="3.9"/>
    <s v="No"/>
    <s v="PayPal"/>
    <s v="Standard"/>
    <s v="No"/>
    <s v="No"/>
    <n v="7"/>
    <x v="3"/>
    <s v="Bi-Weekly"/>
    <n v="0"/>
    <x v="0"/>
  </r>
  <r>
    <n v="2993"/>
    <n v="41"/>
    <s v="Female"/>
    <s v="Socks"/>
    <x v="0"/>
    <n v="64"/>
    <x v="25"/>
    <s v="M"/>
    <s v="Charcoal"/>
    <x v="1"/>
    <n v="3.9"/>
    <s v="No"/>
    <s v="Bank Transfer"/>
    <s v="Store Pickup"/>
    <s v="No"/>
    <s v="No"/>
    <n v="25"/>
    <x v="0"/>
    <s v="Weekly"/>
    <n v="0"/>
    <x v="2"/>
  </r>
  <r>
    <n v="2994"/>
    <n v="32"/>
    <s v="Female"/>
    <s v="Jacket"/>
    <x v="2"/>
    <n v="21"/>
    <x v="23"/>
    <s v="L"/>
    <s v="Indigo"/>
    <x v="1"/>
    <n v="4.2"/>
    <s v="No"/>
    <s v="Bank Transfer"/>
    <s v="Free Shipping"/>
    <s v="No"/>
    <s v="No"/>
    <n v="18"/>
    <x v="1"/>
    <s v="Bi-Weekly"/>
    <n v="0"/>
    <x v="3"/>
  </r>
  <r>
    <n v="2995"/>
    <n v="69"/>
    <s v="Female"/>
    <s v="Sweater"/>
    <x v="0"/>
    <n v="100"/>
    <x v="22"/>
    <s v="S"/>
    <s v="White"/>
    <x v="0"/>
    <n v="3.5"/>
    <s v="No"/>
    <s v="Cash"/>
    <s v="Store Pickup"/>
    <s v="No"/>
    <s v="No"/>
    <n v="14"/>
    <x v="4"/>
    <s v="Quarterly"/>
    <n v="0"/>
    <x v="0"/>
  </r>
  <r>
    <n v="2996"/>
    <n v="29"/>
    <s v="Female"/>
    <s v="Jeans"/>
    <x v="0"/>
    <n v="96"/>
    <x v="41"/>
    <s v="M"/>
    <s v="Orange"/>
    <x v="2"/>
    <n v="2.5"/>
    <s v="No"/>
    <s v="Venmo"/>
    <s v="Standard"/>
    <s v="No"/>
    <s v="No"/>
    <n v="42"/>
    <x v="5"/>
    <s v="Bi-Weekly"/>
    <n v="0"/>
    <x v="3"/>
  </r>
  <r>
    <n v="2997"/>
    <n v="70"/>
    <s v="Female"/>
    <s v="Jewelry"/>
    <x v="3"/>
    <n v="91"/>
    <x v="40"/>
    <s v="M"/>
    <s v="White"/>
    <x v="1"/>
    <n v="2.9"/>
    <s v="No"/>
    <s v="Credit Card"/>
    <s v="Express"/>
    <s v="No"/>
    <s v="No"/>
    <n v="6"/>
    <x v="0"/>
    <s v="Every 3 Months"/>
    <n v="0"/>
    <x v="0"/>
  </r>
  <r>
    <n v="2998"/>
    <n v="41"/>
    <s v="Female"/>
    <s v="Sweater"/>
    <x v="0"/>
    <n v="40"/>
    <x v="37"/>
    <s v="S"/>
    <s v="Yellow"/>
    <x v="1"/>
    <n v="2.7"/>
    <s v="No"/>
    <s v="Venmo"/>
    <s v="Next Day Air"/>
    <s v="No"/>
    <s v="No"/>
    <n v="14"/>
    <x v="0"/>
    <s v="Every 3 Months"/>
    <n v="0"/>
    <x v="2"/>
  </r>
  <r>
    <n v="2999"/>
    <n v="31"/>
    <s v="Female"/>
    <s v="Hoodie"/>
    <x v="0"/>
    <n v="53"/>
    <x v="29"/>
    <s v="M"/>
    <s v="Red"/>
    <x v="2"/>
    <n v="4.7"/>
    <s v="No"/>
    <s v="Venmo"/>
    <s v="Express"/>
    <s v="No"/>
    <s v="No"/>
    <n v="30"/>
    <x v="5"/>
    <s v="Quarterly"/>
    <n v="0"/>
    <x v="3"/>
  </r>
  <r>
    <n v="3000"/>
    <n v="31"/>
    <s v="Female"/>
    <s v="Sunglasses"/>
    <x v="3"/>
    <n v="48"/>
    <x v="13"/>
    <s v="S"/>
    <s v="Charcoal"/>
    <x v="0"/>
    <n v="3.8"/>
    <s v="No"/>
    <s v="Bank Transfer"/>
    <s v="Standard"/>
    <s v="No"/>
    <s v="No"/>
    <n v="10"/>
    <x v="1"/>
    <s v="Monthly"/>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F0432-F6A2-4F83-87E6-531ADA6DC4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L9" firstHeaderRow="1" firstDataRow="2" firstDataCol="1"/>
  <pivotFields count="21">
    <pivotField showAll="0"/>
    <pivotField showAll="0"/>
    <pivotField showAll="0"/>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axis="axisCol" dataField="1" showAll="0">
      <items count="7">
        <item x="4"/>
        <item x="1"/>
        <item x="2"/>
        <item x="5"/>
        <item x="3"/>
        <item x="0"/>
        <item t="default"/>
      </items>
    </pivotField>
    <pivotField showAll="0"/>
    <pivotField showAll="0"/>
    <pivotField axis="axisRow" showAll="0">
      <items count="5">
        <item x="0"/>
        <item x="1"/>
        <item x="3"/>
        <item x="2"/>
        <item t="default"/>
      </items>
    </pivotField>
  </pivotFields>
  <rowFields count="1">
    <field x="20"/>
  </rowFields>
  <rowItems count="5">
    <i>
      <x/>
    </i>
    <i>
      <x v="1"/>
    </i>
    <i>
      <x v="2"/>
    </i>
    <i>
      <x v="3"/>
    </i>
    <i t="grand">
      <x/>
    </i>
  </rowItems>
  <colFields count="1">
    <field x="17"/>
  </colFields>
  <colItems count="7">
    <i>
      <x/>
    </i>
    <i>
      <x v="1"/>
    </i>
    <i>
      <x v="2"/>
    </i>
    <i>
      <x v="3"/>
    </i>
    <i>
      <x v="4"/>
    </i>
    <i>
      <x v="5"/>
    </i>
    <i t="grand">
      <x/>
    </i>
  </colItems>
  <dataFields count="1">
    <dataField name="Count of Preferred_Payment_Method" fld="17" subtotal="count" baseField="0" baseItem="0"/>
  </dataFields>
  <chartFormats count="30">
    <chartFormat chart="1" format="0" series="1">
      <pivotArea type="data" outline="0" fieldPosition="0">
        <references count="2">
          <reference field="4294967294" count="1" selected="0">
            <x v="0"/>
          </reference>
          <reference field="17" count="1" selected="0">
            <x v="0"/>
          </reference>
        </references>
      </pivotArea>
    </chartFormat>
    <chartFormat chart="1" format="1" series="1">
      <pivotArea type="data" outline="0" fieldPosition="0">
        <references count="2">
          <reference field="4294967294" count="1" selected="0">
            <x v="0"/>
          </reference>
          <reference field="17" count="1" selected="0">
            <x v="1"/>
          </reference>
        </references>
      </pivotArea>
    </chartFormat>
    <chartFormat chart="1" format="2" series="1">
      <pivotArea type="data" outline="0" fieldPosition="0">
        <references count="2">
          <reference field="4294967294" count="1" selected="0">
            <x v="0"/>
          </reference>
          <reference field="17" count="1" selected="0">
            <x v="2"/>
          </reference>
        </references>
      </pivotArea>
    </chartFormat>
    <chartFormat chart="1" format="3" series="1">
      <pivotArea type="data" outline="0" fieldPosition="0">
        <references count="2">
          <reference field="4294967294" count="1" selected="0">
            <x v="0"/>
          </reference>
          <reference field="17" count="1" selected="0">
            <x v="3"/>
          </reference>
        </references>
      </pivotArea>
    </chartFormat>
    <chartFormat chart="1" format="4" series="1">
      <pivotArea type="data" outline="0" fieldPosition="0">
        <references count="2">
          <reference field="4294967294" count="1" selected="0">
            <x v="0"/>
          </reference>
          <reference field="17" count="1" selected="0">
            <x v="4"/>
          </reference>
        </references>
      </pivotArea>
    </chartFormat>
    <chartFormat chart="1" format="5" series="1">
      <pivotArea type="data" outline="0" fieldPosition="0">
        <references count="2">
          <reference field="4294967294" count="1" selected="0">
            <x v="0"/>
          </reference>
          <reference field="17" count="1" selected="0">
            <x v="5"/>
          </reference>
        </references>
      </pivotArea>
    </chartFormat>
    <chartFormat chart="1" format="6">
      <pivotArea type="data" outline="0" fieldPosition="0">
        <references count="3">
          <reference field="4294967294" count="1" selected="0">
            <x v="0"/>
          </reference>
          <reference field="17" count="1" selected="0">
            <x v="0"/>
          </reference>
          <reference field="20" count="1" selected="0">
            <x v="0"/>
          </reference>
        </references>
      </pivotArea>
    </chartFormat>
    <chartFormat chart="1" format="7">
      <pivotArea type="data" outline="0" fieldPosition="0">
        <references count="3">
          <reference field="4294967294" count="1" selected="0">
            <x v="0"/>
          </reference>
          <reference field="17" count="1" selected="0">
            <x v="0"/>
          </reference>
          <reference field="20" count="1" selected="0">
            <x v="1"/>
          </reference>
        </references>
      </pivotArea>
    </chartFormat>
    <chartFormat chart="1" format="8">
      <pivotArea type="data" outline="0" fieldPosition="0">
        <references count="3">
          <reference field="4294967294" count="1" selected="0">
            <x v="0"/>
          </reference>
          <reference field="17" count="1" selected="0">
            <x v="0"/>
          </reference>
          <reference field="20" count="1" selected="0">
            <x v="2"/>
          </reference>
        </references>
      </pivotArea>
    </chartFormat>
    <chartFormat chart="1" format="9">
      <pivotArea type="data" outline="0" fieldPosition="0">
        <references count="3">
          <reference field="4294967294" count="1" selected="0">
            <x v="0"/>
          </reference>
          <reference field="17" count="1" selected="0">
            <x v="0"/>
          </reference>
          <reference field="20" count="1" selected="0">
            <x v="3"/>
          </reference>
        </references>
      </pivotArea>
    </chartFormat>
    <chartFormat chart="1" format="10">
      <pivotArea type="data" outline="0" fieldPosition="0">
        <references count="3">
          <reference field="4294967294" count="1" selected="0">
            <x v="0"/>
          </reference>
          <reference field="17" count="1" selected="0">
            <x v="1"/>
          </reference>
          <reference field="20" count="1" selected="0">
            <x v="0"/>
          </reference>
        </references>
      </pivotArea>
    </chartFormat>
    <chartFormat chart="1" format="11">
      <pivotArea type="data" outline="0" fieldPosition="0">
        <references count="3">
          <reference field="4294967294" count="1" selected="0">
            <x v="0"/>
          </reference>
          <reference field="17" count="1" selected="0">
            <x v="1"/>
          </reference>
          <reference field="20" count="1" selected="0">
            <x v="1"/>
          </reference>
        </references>
      </pivotArea>
    </chartFormat>
    <chartFormat chart="1" format="12">
      <pivotArea type="data" outline="0" fieldPosition="0">
        <references count="3">
          <reference field="4294967294" count="1" selected="0">
            <x v="0"/>
          </reference>
          <reference field="17" count="1" selected="0">
            <x v="1"/>
          </reference>
          <reference field="20" count="1" selected="0">
            <x v="2"/>
          </reference>
        </references>
      </pivotArea>
    </chartFormat>
    <chartFormat chart="1" format="13">
      <pivotArea type="data" outline="0" fieldPosition="0">
        <references count="3">
          <reference field="4294967294" count="1" selected="0">
            <x v="0"/>
          </reference>
          <reference field="17" count="1" selected="0">
            <x v="1"/>
          </reference>
          <reference field="20" count="1" selected="0">
            <x v="3"/>
          </reference>
        </references>
      </pivotArea>
    </chartFormat>
    <chartFormat chart="1" format="14">
      <pivotArea type="data" outline="0" fieldPosition="0">
        <references count="3">
          <reference field="4294967294" count="1" selected="0">
            <x v="0"/>
          </reference>
          <reference field="17" count="1" selected="0">
            <x v="2"/>
          </reference>
          <reference field="20" count="1" selected="0">
            <x v="0"/>
          </reference>
        </references>
      </pivotArea>
    </chartFormat>
    <chartFormat chart="1" format="15">
      <pivotArea type="data" outline="0" fieldPosition="0">
        <references count="3">
          <reference field="4294967294" count="1" selected="0">
            <x v="0"/>
          </reference>
          <reference field="17" count="1" selected="0">
            <x v="2"/>
          </reference>
          <reference field="20" count="1" selected="0">
            <x v="1"/>
          </reference>
        </references>
      </pivotArea>
    </chartFormat>
    <chartFormat chart="1" format="16">
      <pivotArea type="data" outline="0" fieldPosition="0">
        <references count="3">
          <reference field="4294967294" count="1" selected="0">
            <x v="0"/>
          </reference>
          <reference field="17" count="1" selected="0">
            <x v="2"/>
          </reference>
          <reference field="20" count="1" selected="0">
            <x v="2"/>
          </reference>
        </references>
      </pivotArea>
    </chartFormat>
    <chartFormat chart="1" format="17">
      <pivotArea type="data" outline="0" fieldPosition="0">
        <references count="3">
          <reference field="4294967294" count="1" selected="0">
            <x v="0"/>
          </reference>
          <reference field="17" count="1" selected="0">
            <x v="2"/>
          </reference>
          <reference field="20" count="1" selected="0">
            <x v="3"/>
          </reference>
        </references>
      </pivotArea>
    </chartFormat>
    <chartFormat chart="1" format="18">
      <pivotArea type="data" outline="0" fieldPosition="0">
        <references count="3">
          <reference field="4294967294" count="1" selected="0">
            <x v="0"/>
          </reference>
          <reference field="17" count="1" selected="0">
            <x v="3"/>
          </reference>
          <reference field="20" count="1" selected="0">
            <x v="0"/>
          </reference>
        </references>
      </pivotArea>
    </chartFormat>
    <chartFormat chart="1" format="19">
      <pivotArea type="data" outline="0" fieldPosition="0">
        <references count="3">
          <reference field="4294967294" count="1" selected="0">
            <x v="0"/>
          </reference>
          <reference field="17" count="1" selected="0">
            <x v="3"/>
          </reference>
          <reference field="20" count="1" selected="0">
            <x v="1"/>
          </reference>
        </references>
      </pivotArea>
    </chartFormat>
    <chartFormat chart="1" format="20">
      <pivotArea type="data" outline="0" fieldPosition="0">
        <references count="3">
          <reference field="4294967294" count="1" selected="0">
            <x v="0"/>
          </reference>
          <reference field="17" count="1" selected="0">
            <x v="3"/>
          </reference>
          <reference field="20" count="1" selected="0">
            <x v="2"/>
          </reference>
        </references>
      </pivotArea>
    </chartFormat>
    <chartFormat chart="1" format="21">
      <pivotArea type="data" outline="0" fieldPosition="0">
        <references count="3">
          <reference field="4294967294" count="1" selected="0">
            <x v="0"/>
          </reference>
          <reference field="17" count="1" selected="0">
            <x v="3"/>
          </reference>
          <reference field="20" count="1" selected="0">
            <x v="3"/>
          </reference>
        </references>
      </pivotArea>
    </chartFormat>
    <chartFormat chart="1" format="22">
      <pivotArea type="data" outline="0" fieldPosition="0">
        <references count="3">
          <reference field="4294967294" count="1" selected="0">
            <x v="0"/>
          </reference>
          <reference field="17" count="1" selected="0">
            <x v="4"/>
          </reference>
          <reference field="20" count="1" selected="0">
            <x v="0"/>
          </reference>
        </references>
      </pivotArea>
    </chartFormat>
    <chartFormat chart="1" format="23">
      <pivotArea type="data" outline="0" fieldPosition="0">
        <references count="3">
          <reference field="4294967294" count="1" selected="0">
            <x v="0"/>
          </reference>
          <reference field="17" count="1" selected="0">
            <x v="4"/>
          </reference>
          <reference field="20" count="1" selected="0">
            <x v="1"/>
          </reference>
        </references>
      </pivotArea>
    </chartFormat>
    <chartFormat chart="1" format="24">
      <pivotArea type="data" outline="0" fieldPosition="0">
        <references count="3">
          <reference field="4294967294" count="1" selected="0">
            <x v="0"/>
          </reference>
          <reference field="17" count="1" selected="0">
            <x v="4"/>
          </reference>
          <reference field="20" count="1" selected="0">
            <x v="2"/>
          </reference>
        </references>
      </pivotArea>
    </chartFormat>
    <chartFormat chart="1" format="25">
      <pivotArea type="data" outline="0" fieldPosition="0">
        <references count="3">
          <reference field="4294967294" count="1" selected="0">
            <x v="0"/>
          </reference>
          <reference field="17" count="1" selected="0">
            <x v="4"/>
          </reference>
          <reference field="20" count="1" selected="0">
            <x v="3"/>
          </reference>
        </references>
      </pivotArea>
    </chartFormat>
    <chartFormat chart="1" format="26">
      <pivotArea type="data" outline="0" fieldPosition="0">
        <references count="3">
          <reference field="4294967294" count="1" selected="0">
            <x v="0"/>
          </reference>
          <reference field="17" count="1" selected="0">
            <x v="5"/>
          </reference>
          <reference field="20" count="1" selected="0">
            <x v="0"/>
          </reference>
        </references>
      </pivotArea>
    </chartFormat>
    <chartFormat chart="1" format="27">
      <pivotArea type="data" outline="0" fieldPosition="0">
        <references count="3">
          <reference field="4294967294" count="1" selected="0">
            <x v="0"/>
          </reference>
          <reference field="17" count="1" selected="0">
            <x v="5"/>
          </reference>
          <reference field="20" count="1" selected="0">
            <x v="1"/>
          </reference>
        </references>
      </pivotArea>
    </chartFormat>
    <chartFormat chart="1" format="28">
      <pivotArea type="data" outline="0" fieldPosition="0">
        <references count="3">
          <reference field="4294967294" count="1" selected="0">
            <x v="0"/>
          </reference>
          <reference field="17" count="1" selected="0">
            <x v="5"/>
          </reference>
          <reference field="20" count="1" selected="0">
            <x v="2"/>
          </reference>
        </references>
      </pivotArea>
    </chartFormat>
    <chartFormat chart="1" format="29">
      <pivotArea type="data" outline="0" fieldPosition="0">
        <references count="3">
          <reference field="4294967294" count="1" selected="0">
            <x v="0"/>
          </reference>
          <reference field="17" count="1" selected="0">
            <x v="5"/>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98F88-4C57-4481-8CF2-FE77C78C21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21">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5">
    <i>
      <x/>
    </i>
    <i>
      <x v="1"/>
    </i>
    <i>
      <x v="2"/>
    </i>
    <i>
      <x v="3"/>
    </i>
    <i t="grand">
      <x/>
    </i>
  </rowItems>
  <colFields count="1">
    <field x="-2"/>
  </colFields>
  <colItems count="2">
    <i>
      <x/>
    </i>
    <i i="1">
      <x v="1"/>
    </i>
  </colItems>
  <dataFields count="2">
    <dataField name="Sum of Purchase_Amount_USD" fld="5" baseField="0" baseItem="0"/>
    <dataField name="Sum of Discount Applied"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86D98C-7DCC-49FE-87B9-BE02C9851712}" sourceName="Category">
  <pivotTables>
    <pivotTable tabId="3" name="PivotTable2"/>
  </pivotTables>
  <data>
    <tabular pivotCacheId="164198789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1765530-60EA-45F1-8FF8-73F2096B3DDE}" sourceName="Location">
  <pivotTables>
    <pivotTable tabId="3" name="PivotTable3"/>
  </pivotTables>
  <data>
    <tabular pivotCacheId="1641987896">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EA463A7-7A85-4EE8-9C4F-0DDF1A043D16}" sourceName="Season">
  <pivotTables>
    <pivotTable tabId="3" name="PivotTable3"/>
  </pivotTables>
  <data>
    <tabular pivotCacheId="164198789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2450B2-A998-4E62-8FA9-E61B9DA3B5A8}" cache="Slicer_Category" caption="Category" rowHeight="234950"/>
  <slicer name="Location" xr10:uid="{79DC656F-862A-439C-AE43-4250B7195CCB}" cache="Slicer_Location" caption="Location" rowHeight="234950"/>
  <slicer name="Season" xr10:uid="{78087E55-234E-4A8A-B5C2-12B3BB0F136D}" cache="Slicer_Season" caption="Sea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A0EE2F-526F-4900-909F-A339734F578E}" name="Table1" displayName="Table1" ref="A1:U3001" totalsRowShown="0">
  <autoFilter ref="A1:U3001" xr:uid="{4AA0EE2F-526F-4900-909F-A339734F578E}"/>
  <tableColumns count="21">
    <tableColumn id="1" xr3:uid="{A35F93EF-8FC3-487E-801C-1FF839B5B29B}" name="Customer_ID"/>
    <tableColumn id="2" xr3:uid="{FD4F73DC-D17E-47E8-B9D3-5A4AEDA12AB3}" name="Age"/>
    <tableColumn id="3" xr3:uid="{CAEC8FAF-F3DD-445B-AEA5-4A57D43ADAD4}" name="Gender"/>
    <tableColumn id="4" xr3:uid="{81E08F0C-D015-41E9-9083-463909D2A4FC}" name="Item_Purchased"/>
    <tableColumn id="5" xr3:uid="{9B5E7086-E5A5-4210-B7B9-D3FE54245385}" name="Category"/>
    <tableColumn id="6" xr3:uid="{8D730566-B048-425F-9C8B-5A1406E43BB3}" name="Purchase_Amount_USD"/>
    <tableColumn id="7" xr3:uid="{F6E88EE4-1FCA-4FAB-9464-3AFAB3FAFF35}" name="Location"/>
    <tableColumn id="8" xr3:uid="{83A5E42D-43A5-4228-9006-A77EB22C9352}" name="Size"/>
    <tableColumn id="9" xr3:uid="{8F57E9FC-750D-4312-BE15-B71B861A1616}" name="Color"/>
    <tableColumn id="10" xr3:uid="{9BA6A92E-4B27-4582-9370-DA8A5C8409BC}" name="Season"/>
    <tableColumn id="11" xr3:uid="{9BE53DDB-C0F8-404E-AD7D-D6D1A8DE9F1B}" name="Review_Rating"/>
    <tableColumn id="12" xr3:uid="{7258971F-B684-40DA-ABCB-25E40BA624AE}" name="Subscription_Status"/>
    <tableColumn id="13" xr3:uid="{A1D62C94-1D38-4B36-BEE6-EFC8630ECA9D}" name="Payment_Method"/>
    <tableColumn id="14" xr3:uid="{82993361-FAEB-4519-AE50-728A2F6299D1}" name="Shipping_Type"/>
    <tableColumn id="15" xr3:uid="{B7FB9F05-4E60-42A3-9ADC-391AC03B55D2}" name="Discount_Applied"/>
    <tableColumn id="16" xr3:uid="{3860CA59-42F5-41B5-A2B8-1F795F9F8D93}" name="Promo_Code_Used"/>
    <tableColumn id="17" xr3:uid="{61E79592-0865-4F05-AE1F-54E6B3F89B73}" name="Previous_Purchases"/>
    <tableColumn id="18" xr3:uid="{5826DED9-B37B-4A19-BF86-D89B740E2E8B}" name="Preferred_Payment_Method"/>
    <tableColumn id="19" xr3:uid="{6B7E3750-B05F-43B8-AF33-EB159750561C}" name="Frequency_of_Purchases"/>
    <tableColumn id="20" xr3:uid="{F1BF9C19-C998-4977-AD81-E66842C17445}" name="Discount Applied" dataDxfId="1">
      <calculatedColumnFormula>IF(Table1[[#This Row],[Discount_Applied]]="Yes", 1,0)</calculatedColumnFormula>
    </tableColumn>
    <tableColumn id="21" xr3:uid="{AEF0DD07-F31F-4775-890B-90C89FBFBB32}" name="Age Group" dataDxfId="0">
      <calculatedColumnFormula>_xlfn.IFS(Table1[[#This Row],[Age]]&lt;=25, "Below 25", Table1[[#This Row],[Age]]&lt;=35, "Between 25-35", Table1[[#This Row],[Age]]&lt;=45, "Between 36-45", Table1[[#This Row],[Age]]&gt;45, "45+")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0E1E-2E1C-4CC4-95F4-742CDB395B29}">
  <dimension ref="A3:L9"/>
  <sheetViews>
    <sheetView workbookViewId="0">
      <selection activeCell="E7" sqref="E7"/>
    </sheetView>
  </sheetViews>
  <sheetFormatPr defaultRowHeight="14.4" x14ac:dyDescent="0.3"/>
  <cols>
    <col min="1" max="1" width="12.5546875" bestFit="1" customWidth="1"/>
    <col min="2" max="2" width="28" bestFit="1" customWidth="1"/>
    <col min="3" max="3" width="22" bestFit="1" customWidth="1"/>
    <col min="5" max="5" width="33.6640625" bestFit="1" customWidth="1"/>
    <col min="6" max="6" width="15.5546875" bestFit="1" customWidth="1"/>
    <col min="7" max="7" width="5" bestFit="1" customWidth="1"/>
    <col min="8" max="8" width="10.33203125" bestFit="1" customWidth="1"/>
    <col min="9" max="9" width="9.77734375" bestFit="1" customWidth="1"/>
    <col min="10" max="10" width="6.6640625" bestFit="1" customWidth="1"/>
    <col min="11" max="11" width="7.109375" bestFit="1" customWidth="1"/>
    <col min="12" max="12" width="10.77734375" bestFit="1" customWidth="1"/>
  </cols>
  <sheetData>
    <row r="3" spans="1:12" x14ac:dyDescent="0.3">
      <c r="A3" s="1" t="s">
        <v>154</v>
      </c>
      <c r="B3" t="s">
        <v>156</v>
      </c>
      <c r="C3" t="s">
        <v>159</v>
      </c>
      <c r="E3" s="1" t="s">
        <v>165</v>
      </c>
      <c r="F3" s="1" t="s">
        <v>157</v>
      </c>
    </row>
    <row r="4" spans="1:12" x14ac:dyDescent="0.3">
      <c r="A4" s="2" t="s">
        <v>69</v>
      </c>
      <c r="B4">
        <v>56753</v>
      </c>
      <c r="C4">
        <v>543</v>
      </c>
      <c r="E4" s="1" t="s">
        <v>154</v>
      </c>
      <c r="F4" t="s">
        <v>34</v>
      </c>
      <c r="G4" t="s">
        <v>35</v>
      </c>
      <c r="H4" t="s">
        <v>27</v>
      </c>
      <c r="I4" t="s">
        <v>59</v>
      </c>
      <c r="J4" t="s">
        <v>46</v>
      </c>
      <c r="K4" t="s">
        <v>29</v>
      </c>
      <c r="L4" t="s">
        <v>155</v>
      </c>
    </row>
    <row r="5" spans="1:12" x14ac:dyDescent="0.3">
      <c r="A5" s="2" t="s">
        <v>21</v>
      </c>
      <c r="B5">
        <v>80135</v>
      </c>
      <c r="C5">
        <v>731</v>
      </c>
      <c r="E5" s="2" t="s">
        <v>161</v>
      </c>
      <c r="F5">
        <v>217</v>
      </c>
      <c r="G5">
        <v>241</v>
      </c>
      <c r="H5">
        <v>246</v>
      </c>
      <c r="I5">
        <v>239</v>
      </c>
      <c r="J5">
        <v>256</v>
      </c>
      <c r="K5">
        <v>225</v>
      </c>
      <c r="L5">
        <v>1424</v>
      </c>
    </row>
    <row r="6" spans="1:12" x14ac:dyDescent="0.3">
      <c r="A6" s="2" t="s">
        <v>43</v>
      </c>
      <c r="B6">
        <v>27653</v>
      </c>
      <c r="C6">
        <v>259</v>
      </c>
      <c r="E6" s="2" t="s">
        <v>162</v>
      </c>
      <c r="F6">
        <v>72</v>
      </c>
      <c r="G6">
        <v>80</v>
      </c>
      <c r="H6">
        <v>76</v>
      </c>
      <c r="I6">
        <v>77</v>
      </c>
      <c r="J6">
        <v>70</v>
      </c>
      <c r="K6">
        <v>68</v>
      </c>
      <c r="L6">
        <v>443</v>
      </c>
    </row>
    <row r="7" spans="1:12" x14ac:dyDescent="0.3">
      <c r="A7" s="2" t="s">
        <v>65</v>
      </c>
      <c r="B7">
        <v>14407</v>
      </c>
      <c r="C7">
        <v>144</v>
      </c>
      <c r="E7" s="2" t="s">
        <v>163</v>
      </c>
      <c r="F7">
        <v>90</v>
      </c>
      <c r="G7">
        <v>93</v>
      </c>
      <c r="H7">
        <v>99</v>
      </c>
      <c r="I7">
        <v>97</v>
      </c>
      <c r="J7">
        <v>93</v>
      </c>
      <c r="K7">
        <v>106</v>
      </c>
      <c r="L7">
        <v>578</v>
      </c>
    </row>
    <row r="8" spans="1:12" x14ac:dyDescent="0.3">
      <c r="A8" s="2" t="s">
        <v>155</v>
      </c>
      <c r="B8">
        <v>178948</v>
      </c>
      <c r="C8">
        <v>1677</v>
      </c>
      <c r="E8" s="2" t="s">
        <v>164</v>
      </c>
      <c r="F8">
        <v>78</v>
      </c>
      <c r="G8">
        <v>97</v>
      </c>
      <c r="H8">
        <v>97</v>
      </c>
      <c r="I8">
        <v>99</v>
      </c>
      <c r="J8">
        <v>95</v>
      </c>
      <c r="K8">
        <v>89</v>
      </c>
      <c r="L8">
        <v>555</v>
      </c>
    </row>
    <row r="9" spans="1:12" x14ac:dyDescent="0.3">
      <c r="E9" s="2" t="s">
        <v>155</v>
      </c>
      <c r="F9">
        <v>457</v>
      </c>
      <c r="G9">
        <v>511</v>
      </c>
      <c r="H9">
        <v>518</v>
      </c>
      <c r="I9">
        <v>512</v>
      </c>
      <c r="J9">
        <v>514</v>
      </c>
      <c r="K9">
        <v>488</v>
      </c>
      <c r="L9">
        <v>3000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4120-9E6D-4168-9AAB-E3709EA70AF1}">
  <dimension ref="A1:U3001"/>
  <sheetViews>
    <sheetView tabSelected="1" topLeftCell="G2914" workbookViewId="0">
      <selection activeCell="L2922" sqref="L2922"/>
    </sheetView>
  </sheetViews>
  <sheetFormatPr defaultRowHeight="14.4" x14ac:dyDescent="0.3"/>
  <cols>
    <col min="1" max="1" width="13.77734375" customWidth="1"/>
    <col min="2" max="2" width="6.109375" customWidth="1"/>
    <col min="3" max="3" width="9" customWidth="1"/>
    <col min="4" max="4" width="16.5546875" customWidth="1"/>
    <col min="5" max="5" width="10.44140625" bestFit="1" customWidth="1"/>
    <col min="6" max="6" width="23" customWidth="1"/>
    <col min="7" max="7" width="14" bestFit="1" customWidth="1"/>
    <col min="11" max="11" width="15.21875" customWidth="1"/>
    <col min="12" max="12" width="19.5546875" customWidth="1"/>
    <col min="13" max="13" width="18.21875" customWidth="1"/>
    <col min="14" max="14" width="15.33203125" customWidth="1"/>
    <col min="15" max="15" width="17.6640625" customWidth="1"/>
    <col min="16" max="16" width="19.109375" customWidth="1"/>
    <col min="17" max="17" width="19.5546875" customWidth="1"/>
    <col min="18" max="18" width="27.109375" customWidth="1"/>
    <col min="19" max="19" width="23.88671875" customWidth="1"/>
    <col min="21" max="21" width="13.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158</v>
      </c>
      <c r="U1" t="s">
        <v>160</v>
      </c>
    </row>
    <row r="2" spans="1:21" x14ac:dyDescent="0.3">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c r="T2">
        <f>IF(Table1[[#This Row],[Discount_Applied]]="Yes", 1,0)</f>
        <v>1</v>
      </c>
      <c r="U2" t="str">
        <f>_xlfn.IFS(Table1[[#This Row],[Age]]&lt;=25, "Below 25", Table1[[#This Row],[Age]]&lt;=35, "Between 25-35", Table1[[#This Row],[Age]]&lt;=45, "Between 36-45", Table1[[#This Row],[Age]]&gt;45, "45+")</f>
        <v>45+</v>
      </c>
    </row>
    <row r="3" spans="1:21" x14ac:dyDescent="0.3">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c r="T3">
        <f>IF(Table1[[#This Row],[Discount_Applied]]="Yes", 1,0)</f>
        <v>1</v>
      </c>
      <c r="U3" t="str">
        <f>_xlfn.IFS(Table1[[#This Row],[Age]]&lt;=25, "Below 25", Table1[[#This Row],[Age]]&lt;=35, "Between 25-35", Table1[[#This Row],[Age]]&lt;=45, "Between 36-45", Table1[[#This Row],[Age]]&gt;45, "45+")</f>
        <v>Below 25</v>
      </c>
    </row>
    <row r="4" spans="1:21" x14ac:dyDescent="0.3">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c r="T4">
        <f>IF(Table1[[#This Row],[Discount_Applied]]="Yes", 1,0)</f>
        <v>1</v>
      </c>
      <c r="U4" t="str">
        <f>_xlfn.IFS(Table1[[#This Row],[Age]]&lt;=25, "Below 25", Table1[[#This Row],[Age]]&lt;=35, "Between 25-35", Table1[[#This Row],[Age]]&lt;=45, "Between 36-45", Table1[[#This Row],[Age]]&gt;45, "45+")</f>
        <v>45+</v>
      </c>
    </row>
    <row r="5" spans="1:21" x14ac:dyDescent="0.3">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c r="T5">
        <f>IF(Table1[[#This Row],[Discount_Applied]]="Yes", 1,0)</f>
        <v>1</v>
      </c>
      <c r="U5" t="str">
        <f>_xlfn.IFS(Table1[[#This Row],[Age]]&lt;=25, "Below 25", Table1[[#This Row],[Age]]&lt;=35, "Between 25-35", Table1[[#This Row],[Age]]&lt;=45, "Between 36-45", Table1[[#This Row],[Age]]&gt;45, "45+")</f>
        <v>Below 25</v>
      </c>
    </row>
    <row r="6" spans="1:21" x14ac:dyDescent="0.3">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c r="T6">
        <f>IF(Table1[[#This Row],[Discount_Applied]]="Yes", 1,0)</f>
        <v>1</v>
      </c>
      <c r="U6" t="str">
        <f>_xlfn.IFS(Table1[[#This Row],[Age]]&lt;=25, "Below 25", Table1[[#This Row],[Age]]&lt;=35, "Between 25-35", Table1[[#This Row],[Age]]&lt;=45, "Between 36-45", Table1[[#This Row],[Age]]&gt;45, "45+")</f>
        <v>Between 36-45</v>
      </c>
    </row>
    <row r="7" spans="1:21" x14ac:dyDescent="0.3">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c r="T7">
        <f>IF(Table1[[#This Row],[Discount_Applied]]="Yes", 1,0)</f>
        <v>1</v>
      </c>
      <c r="U7" t="str">
        <f>_xlfn.IFS(Table1[[#This Row],[Age]]&lt;=25, "Below 25", Table1[[#This Row],[Age]]&lt;=35, "Between 25-35", Table1[[#This Row],[Age]]&lt;=45, "Between 36-45", Table1[[#This Row],[Age]]&gt;45, "45+")</f>
        <v>45+</v>
      </c>
    </row>
    <row r="8" spans="1:21" x14ac:dyDescent="0.3">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c r="T8">
        <f>IF(Table1[[#This Row],[Discount_Applied]]="Yes", 1,0)</f>
        <v>1</v>
      </c>
      <c r="U8" t="str">
        <f>_xlfn.IFS(Table1[[#This Row],[Age]]&lt;=25, "Below 25", Table1[[#This Row],[Age]]&lt;=35, "Between 25-35", Table1[[#This Row],[Age]]&lt;=45, "Between 36-45", Table1[[#This Row],[Age]]&gt;45, "45+")</f>
        <v>45+</v>
      </c>
    </row>
    <row r="9" spans="1:21" x14ac:dyDescent="0.3">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c r="T9">
        <f>IF(Table1[[#This Row],[Discount_Applied]]="Yes", 1,0)</f>
        <v>1</v>
      </c>
      <c r="U9" t="str">
        <f>_xlfn.IFS(Table1[[#This Row],[Age]]&lt;=25, "Below 25", Table1[[#This Row],[Age]]&lt;=35, "Between 25-35", Table1[[#This Row],[Age]]&lt;=45, "Between 36-45", Table1[[#This Row],[Age]]&gt;45, "45+")</f>
        <v>Between 25-35</v>
      </c>
    </row>
    <row r="10" spans="1:21" x14ac:dyDescent="0.3">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c r="T10">
        <f>IF(Table1[[#This Row],[Discount_Applied]]="Yes", 1,0)</f>
        <v>1</v>
      </c>
      <c r="U10" t="str">
        <f>_xlfn.IFS(Table1[[#This Row],[Age]]&lt;=25, "Below 25", Table1[[#This Row],[Age]]&lt;=35, "Between 25-35", Table1[[#This Row],[Age]]&lt;=45, "Between 36-45", Table1[[#This Row],[Age]]&gt;45, "45+")</f>
        <v>Between 25-35</v>
      </c>
    </row>
    <row r="11" spans="1:21" x14ac:dyDescent="0.3">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c r="T11">
        <f>IF(Table1[[#This Row],[Discount_Applied]]="Yes", 1,0)</f>
        <v>1</v>
      </c>
      <c r="U11" t="str">
        <f>_xlfn.IFS(Table1[[#This Row],[Age]]&lt;=25, "Below 25", Table1[[#This Row],[Age]]&lt;=35, "Between 25-35", Table1[[#This Row],[Age]]&lt;=45, "Between 36-45", Table1[[#This Row],[Age]]&gt;45, "45+")</f>
        <v>45+</v>
      </c>
    </row>
    <row r="12" spans="1:21" x14ac:dyDescent="0.3">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c r="T12">
        <f>IF(Table1[[#This Row],[Discount_Applied]]="Yes", 1,0)</f>
        <v>1</v>
      </c>
      <c r="U12" t="str">
        <f>_xlfn.IFS(Table1[[#This Row],[Age]]&lt;=25, "Below 25", Table1[[#This Row],[Age]]&lt;=35, "Between 25-35", Table1[[#This Row],[Age]]&lt;=45, "Between 36-45", Table1[[#This Row],[Age]]&gt;45, "45+")</f>
        <v>45+</v>
      </c>
    </row>
    <row r="13" spans="1:21" x14ac:dyDescent="0.3">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c r="T13">
        <f>IF(Table1[[#This Row],[Discount_Applied]]="Yes", 1,0)</f>
        <v>1</v>
      </c>
      <c r="U13" t="str">
        <f>_xlfn.IFS(Table1[[#This Row],[Age]]&lt;=25, "Below 25", Table1[[#This Row],[Age]]&lt;=35, "Between 25-35", Table1[[#This Row],[Age]]&lt;=45, "Between 36-45", Table1[[#This Row],[Age]]&gt;45, "45+")</f>
        <v>Between 25-35</v>
      </c>
    </row>
    <row r="14" spans="1:21" x14ac:dyDescent="0.3">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c r="T14">
        <f>IF(Table1[[#This Row],[Discount_Applied]]="Yes", 1,0)</f>
        <v>1</v>
      </c>
      <c r="U14" t="str">
        <f>_xlfn.IFS(Table1[[#This Row],[Age]]&lt;=25, "Below 25", Table1[[#This Row],[Age]]&lt;=35, "Between 25-35", Table1[[#This Row],[Age]]&lt;=45, "Between 36-45", Table1[[#This Row],[Age]]&gt;45, "45+")</f>
        <v>45+</v>
      </c>
    </row>
    <row r="15" spans="1:21" x14ac:dyDescent="0.3">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c r="T15">
        <f>IF(Table1[[#This Row],[Discount_Applied]]="Yes", 1,0)</f>
        <v>1</v>
      </c>
      <c r="U15" t="str">
        <f>_xlfn.IFS(Table1[[#This Row],[Age]]&lt;=25, "Below 25", Table1[[#This Row],[Age]]&lt;=35, "Between 25-35", Table1[[#This Row],[Age]]&lt;=45, "Between 36-45", Table1[[#This Row],[Age]]&gt;45, "45+")</f>
        <v>45+</v>
      </c>
    </row>
    <row r="16" spans="1:21" x14ac:dyDescent="0.3">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c r="T16">
        <f>IF(Table1[[#This Row],[Discount_Applied]]="Yes", 1,0)</f>
        <v>1</v>
      </c>
      <c r="U16" t="str">
        <f>_xlfn.IFS(Table1[[#This Row],[Age]]&lt;=25, "Below 25", Table1[[#This Row],[Age]]&lt;=35, "Between 25-35", Table1[[#This Row],[Age]]&lt;=45, "Between 36-45", Table1[[#This Row],[Age]]&gt;45, "45+")</f>
        <v>45+</v>
      </c>
    </row>
    <row r="17" spans="1:21" x14ac:dyDescent="0.3">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c r="T17">
        <f>IF(Table1[[#This Row],[Discount_Applied]]="Yes", 1,0)</f>
        <v>1</v>
      </c>
      <c r="U17" t="str">
        <f>_xlfn.IFS(Table1[[#This Row],[Age]]&lt;=25, "Below 25", Table1[[#This Row],[Age]]&lt;=35, "Between 25-35", Table1[[#This Row],[Age]]&lt;=45, "Between 36-45", Table1[[#This Row],[Age]]&gt;45, "45+")</f>
        <v>45+</v>
      </c>
    </row>
    <row r="18" spans="1:21" x14ac:dyDescent="0.3">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c r="T18">
        <f>IF(Table1[[#This Row],[Discount_Applied]]="Yes", 1,0)</f>
        <v>1</v>
      </c>
      <c r="U18" t="str">
        <f>_xlfn.IFS(Table1[[#This Row],[Age]]&lt;=25, "Below 25", Table1[[#This Row],[Age]]&lt;=35, "Between 25-35", Table1[[#This Row],[Age]]&lt;=45, "Between 36-45", Table1[[#This Row],[Age]]&gt;45, "45+")</f>
        <v>Below 25</v>
      </c>
    </row>
    <row r="19" spans="1:21" x14ac:dyDescent="0.3">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c r="T19">
        <f>IF(Table1[[#This Row],[Discount_Applied]]="Yes", 1,0)</f>
        <v>1</v>
      </c>
      <c r="U19" t="str">
        <f>_xlfn.IFS(Table1[[#This Row],[Age]]&lt;=25, "Below 25", Table1[[#This Row],[Age]]&lt;=35, "Between 25-35", Table1[[#This Row],[Age]]&lt;=45, "Between 36-45", Table1[[#This Row],[Age]]&gt;45, "45+")</f>
        <v>45+</v>
      </c>
    </row>
    <row r="20" spans="1:21" x14ac:dyDescent="0.3">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c r="T20">
        <f>IF(Table1[[#This Row],[Discount_Applied]]="Yes", 1,0)</f>
        <v>1</v>
      </c>
      <c r="U20" t="str">
        <f>_xlfn.IFS(Table1[[#This Row],[Age]]&lt;=25, "Below 25", Table1[[#This Row],[Age]]&lt;=35, "Between 25-35", Table1[[#This Row],[Age]]&lt;=45, "Between 36-45", Table1[[#This Row],[Age]]&gt;45, "45+")</f>
        <v>45+</v>
      </c>
    </row>
    <row r="21" spans="1:21" x14ac:dyDescent="0.3">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c r="T21">
        <f>IF(Table1[[#This Row],[Discount_Applied]]="Yes", 1,0)</f>
        <v>1</v>
      </c>
      <c r="U21" t="str">
        <f>_xlfn.IFS(Table1[[#This Row],[Age]]&lt;=25, "Below 25", Table1[[#This Row],[Age]]&lt;=35, "Between 25-35", Table1[[#This Row],[Age]]&lt;=45, "Between 36-45", Table1[[#This Row],[Age]]&gt;45, "45+")</f>
        <v>45+</v>
      </c>
    </row>
    <row r="22" spans="1:21" x14ac:dyDescent="0.3">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c r="T22">
        <f>IF(Table1[[#This Row],[Discount_Applied]]="Yes", 1,0)</f>
        <v>1</v>
      </c>
      <c r="U22" t="str">
        <f>_xlfn.IFS(Table1[[#This Row],[Age]]&lt;=25, "Below 25", Table1[[#This Row],[Age]]&lt;=35, "Between 25-35", Table1[[#This Row],[Age]]&lt;=45, "Between 36-45", Table1[[#This Row],[Age]]&gt;45, "45+")</f>
        <v>Below 25</v>
      </c>
    </row>
    <row r="23" spans="1:21" x14ac:dyDescent="0.3">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c r="T23">
        <f>IF(Table1[[#This Row],[Discount_Applied]]="Yes", 1,0)</f>
        <v>1</v>
      </c>
      <c r="U23" t="str">
        <f>_xlfn.IFS(Table1[[#This Row],[Age]]&lt;=25, "Below 25", Table1[[#This Row],[Age]]&lt;=35, "Between 25-35", Table1[[#This Row],[Age]]&lt;=45, "Between 36-45", Table1[[#This Row],[Age]]&gt;45, "45+")</f>
        <v>Between 25-35</v>
      </c>
    </row>
    <row r="24" spans="1:21" x14ac:dyDescent="0.3">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c r="T24">
        <f>IF(Table1[[#This Row],[Discount_Applied]]="Yes", 1,0)</f>
        <v>1</v>
      </c>
      <c r="U24" t="str">
        <f>_xlfn.IFS(Table1[[#This Row],[Age]]&lt;=25, "Below 25", Table1[[#This Row],[Age]]&lt;=35, "Between 25-35", Table1[[#This Row],[Age]]&lt;=45, "Between 36-45", Table1[[#This Row],[Age]]&gt;45, "45+")</f>
        <v>45+</v>
      </c>
    </row>
    <row r="25" spans="1:21" x14ac:dyDescent="0.3">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c r="T25">
        <f>IF(Table1[[#This Row],[Discount_Applied]]="Yes", 1,0)</f>
        <v>1</v>
      </c>
      <c r="U25" t="str">
        <f>_xlfn.IFS(Table1[[#This Row],[Age]]&lt;=25, "Below 25", Table1[[#This Row],[Age]]&lt;=35, "Between 25-35", Table1[[#This Row],[Age]]&lt;=45, "Between 36-45", Table1[[#This Row],[Age]]&gt;45, "45+")</f>
        <v>Between 25-35</v>
      </c>
    </row>
    <row r="26" spans="1:21" x14ac:dyDescent="0.3">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c r="T26">
        <f>IF(Table1[[#This Row],[Discount_Applied]]="Yes", 1,0)</f>
        <v>1</v>
      </c>
      <c r="U26" t="str">
        <f>_xlfn.IFS(Table1[[#This Row],[Age]]&lt;=25, "Below 25", Table1[[#This Row],[Age]]&lt;=35, "Between 25-35", Table1[[#This Row],[Age]]&lt;=45, "Between 36-45", Table1[[#This Row],[Age]]&gt;45, "45+")</f>
        <v>Below 25</v>
      </c>
    </row>
    <row r="27" spans="1:21" x14ac:dyDescent="0.3">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c r="T27">
        <f>IF(Table1[[#This Row],[Discount_Applied]]="Yes", 1,0)</f>
        <v>1</v>
      </c>
      <c r="U27" t="str">
        <f>_xlfn.IFS(Table1[[#This Row],[Age]]&lt;=25, "Below 25", Table1[[#This Row],[Age]]&lt;=35, "Between 25-35", Table1[[#This Row],[Age]]&lt;=45, "Between 36-45", Table1[[#This Row],[Age]]&gt;45, "45+")</f>
        <v>Below 25</v>
      </c>
    </row>
    <row r="28" spans="1:21" x14ac:dyDescent="0.3">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c r="T28">
        <f>IF(Table1[[#This Row],[Discount_Applied]]="Yes", 1,0)</f>
        <v>1</v>
      </c>
      <c r="U28" t="str">
        <f>_xlfn.IFS(Table1[[#This Row],[Age]]&lt;=25, "Below 25", Table1[[#This Row],[Age]]&lt;=35, "Between 25-35", Table1[[#This Row],[Age]]&lt;=45, "Between 36-45", Table1[[#This Row],[Age]]&gt;45, "45+")</f>
        <v>Between 36-45</v>
      </c>
    </row>
    <row r="29" spans="1:21" x14ac:dyDescent="0.3">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c r="T29">
        <f>IF(Table1[[#This Row],[Discount_Applied]]="Yes", 1,0)</f>
        <v>1</v>
      </c>
      <c r="U29" t="str">
        <f>_xlfn.IFS(Table1[[#This Row],[Age]]&lt;=25, "Below 25", Table1[[#This Row],[Age]]&lt;=35, "Between 25-35", Table1[[#This Row],[Age]]&lt;=45, "Between 36-45", Table1[[#This Row],[Age]]&gt;45, "45+")</f>
        <v>45+</v>
      </c>
    </row>
    <row r="30" spans="1:21" x14ac:dyDescent="0.3">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c r="T30">
        <f>IF(Table1[[#This Row],[Discount_Applied]]="Yes", 1,0)</f>
        <v>1</v>
      </c>
      <c r="U30" t="str">
        <f>_xlfn.IFS(Table1[[#This Row],[Age]]&lt;=25, "Below 25", Table1[[#This Row],[Age]]&lt;=35, "Between 25-35", Table1[[#This Row],[Age]]&lt;=45, "Between 36-45", Table1[[#This Row],[Age]]&gt;45, "45+")</f>
        <v>45+</v>
      </c>
    </row>
    <row r="31" spans="1:21" x14ac:dyDescent="0.3">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c r="T31">
        <f>IF(Table1[[#This Row],[Discount_Applied]]="Yes", 1,0)</f>
        <v>1</v>
      </c>
      <c r="U31" t="str">
        <f>_xlfn.IFS(Table1[[#This Row],[Age]]&lt;=25, "Below 25", Table1[[#This Row],[Age]]&lt;=35, "Between 25-35", Table1[[#This Row],[Age]]&lt;=45, "Between 36-45", Table1[[#This Row],[Age]]&gt;45, "45+")</f>
        <v>Between 25-35</v>
      </c>
    </row>
    <row r="32" spans="1:21" x14ac:dyDescent="0.3">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c r="T32">
        <f>IF(Table1[[#This Row],[Discount_Applied]]="Yes", 1,0)</f>
        <v>1</v>
      </c>
      <c r="U32" t="str">
        <f>_xlfn.IFS(Table1[[#This Row],[Age]]&lt;=25, "Below 25", Table1[[#This Row],[Age]]&lt;=35, "Between 25-35", Table1[[#This Row],[Age]]&lt;=45, "Between 36-45", Table1[[#This Row],[Age]]&gt;45, "45+")</f>
        <v>45+</v>
      </c>
    </row>
    <row r="33" spans="1:21" x14ac:dyDescent="0.3">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c r="T33">
        <f>IF(Table1[[#This Row],[Discount_Applied]]="Yes", 1,0)</f>
        <v>1</v>
      </c>
      <c r="U33" t="str">
        <f>_xlfn.IFS(Table1[[#This Row],[Age]]&lt;=25, "Below 25", Table1[[#This Row],[Age]]&lt;=35, "Between 25-35", Table1[[#This Row],[Age]]&lt;=45, "Between 36-45", Table1[[#This Row],[Age]]&gt;45, "45+")</f>
        <v>Between 25-35</v>
      </c>
    </row>
    <row r="34" spans="1:21" x14ac:dyDescent="0.3">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c r="T34">
        <f>IF(Table1[[#This Row],[Discount_Applied]]="Yes", 1,0)</f>
        <v>1</v>
      </c>
      <c r="U34" t="str">
        <f>_xlfn.IFS(Table1[[#This Row],[Age]]&lt;=25, "Below 25", Table1[[#This Row],[Age]]&lt;=35, "Between 25-35", Table1[[#This Row],[Age]]&lt;=45, "Between 36-45", Table1[[#This Row],[Age]]&gt;45, "45+")</f>
        <v>Between 36-45</v>
      </c>
    </row>
    <row r="35" spans="1:21" x14ac:dyDescent="0.3">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c r="T35">
        <f>IF(Table1[[#This Row],[Discount_Applied]]="Yes", 1,0)</f>
        <v>1</v>
      </c>
      <c r="U35" t="str">
        <f>_xlfn.IFS(Table1[[#This Row],[Age]]&lt;=25, "Below 25", Table1[[#This Row],[Age]]&lt;=35, "Between 25-35", Table1[[#This Row],[Age]]&lt;=45, "Between 36-45", Table1[[#This Row],[Age]]&gt;45, "45+")</f>
        <v>45+</v>
      </c>
    </row>
    <row r="36" spans="1:21" x14ac:dyDescent="0.3">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c r="T36">
        <f>IF(Table1[[#This Row],[Discount_Applied]]="Yes", 1,0)</f>
        <v>1</v>
      </c>
      <c r="U36" t="str">
        <f>_xlfn.IFS(Table1[[#This Row],[Age]]&lt;=25, "Below 25", Table1[[#This Row],[Age]]&lt;=35, "Between 25-35", Table1[[#This Row],[Age]]&lt;=45, "Between 36-45", Table1[[#This Row],[Age]]&gt;45, "45+")</f>
        <v>Between 36-45</v>
      </c>
    </row>
    <row r="37" spans="1:21" x14ac:dyDescent="0.3">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c r="T37">
        <f>IF(Table1[[#This Row],[Discount_Applied]]="Yes", 1,0)</f>
        <v>1</v>
      </c>
      <c r="U37" t="str">
        <f>_xlfn.IFS(Table1[[#This Row],[Age]]&lt;=25, "Below 25", Table1[[#This Row],[Age]]&lt;=35, "Between 25-35", Table1[[#This Row],[Age]]&lt;=45, "Between 36-45", Table1[[#This Row],[Age]]&gt;45, "45+")</f>
        <v>45+</v>
      </c>
    </row>
    <row r="38" spans="1:21" x14ac:dyDescent="0.3">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c r="T38">
        <f>IF(Table1[[#This Row],[Discount_Applied]]="Yes", 1,0)</f>
        <v>1</v>
      </c>
      <c r="U38" t="str">
        <f>_xlfn.IFS(Table1[[#This Row],[Age]]&lt;=25, "Below 25", Table1[[#This Row],[Age]]&lt;=35, "Between 25-35", Table1[[#This Row],[Age]]&lt;=45, "Between 36-45", Table1[[#This Row],[Age]]&gt;45, "45+")</f>
        <v>Between 25-35</v>
      </c>
    </row>
    <row r="39" spans="1:21" x14ac:dyDescent="0.3">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c r="T39">
        <f>IF(Table1[[#This Row],[Discount_Applied]]="Yes", 1,0)</f>
        <v>1</v>
      </c>
      <c r="U39" t="str">
        <f>_xlfn.IFS(Table1[[#This Row],[Age]]&lt;=25, "Below 25", Table1[[#This Row],[Age]]&lt;=35, "Between 25-35", Table1[[#This Row],[Age]]&lt;=45, "Between 36-45", Table1[[#This Row],[Age]]&gt;45, "45+")</f>
        <v>Between 25-35</v>
      </c>
    </row>
    <row r="40" spans="1:21" x14ac:dyDescent="0.3">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c r="T40">
        <f>IF(Table1[[#This Row],[Discount_Applied]]="Yes", 1,0)</f>
        <v>1</v>
      </c>
      <c r="U40" t="str">
        <f>_xlfn.IFS(Table1[[#This Row],[Age]]&lt;=25, "Below 25", Table1[[#This Row],[Age]]&lt;=35, "Between 25-35", Table1[[#This Row],[Age]]&lt;=45, "Between 36-45", Table1[[#This Row],[Age]]&gt;45, "45+")</f>
        <v>Between 25-35</v>
      </c>
    </row>
    <row r="41" spans="1:21" x14ac:dyDescent="0.3">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c r="T41">
        <f>IF(Table1[[#This Row],[Discount_Applied]]="Yes", 1,0)</f>
        <v>1</v>
      </c>
      <c r="U41" t="str">
        <f>_xlfn.IFS(Table1[[#This Row],[Age]]&lt;=25, "Below 25", Table1[[#This Row],[Age]]&lt;=35, "Between 25-35", Table1[[#This Row],[Age]]&lt;=45, "Between 36-45", Table1[[#This Row],[Age]]&gt;45, "45+")</f>
        <v>45+</v>
      </c>
    </row>
    <row r="42" spans="1:21" x14ac:dyDescent="0.3">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c r="T42">
        <f>IF(Table1[[#This Row],[Discount_Applied]]="Yes", 1,0)</f>
        <v>1</v>
      </c>
      <c r="U42" t="str">
        <f>_xlfn.IFS(Table1[[#This Row],[Age]]&lt;=25, "Below 25", Table1[[#This Row],[Age]]&lt;=35, "Between 25-35", Table1[[#This Row],[Age]]&lt;=45, "Between 36-45", Table1[[#This Row],[Age]]&gt;45, "45+")</f>
        <v>45+</v>
      </c>
    </row>
    <row r="43" spans="1:21" x14ac:dyDescent="0.3">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c r="T43">
        <f>IF(Table1[[#This Row],[Discount_Applied]]="Yes", 1,0)</f>
        <v>1</v>
      </c>
      <c r="U43" t="str">
        <f>_xlfn.IFS(Table1[[#This Row],[Age]]&lt;=25, "Below 25", Table1[[#This Row],[Age]]&lt;=35, "Between 25-35", Table1[[#This Row],[Age]]&lt;=45, "Between 36-45", Table1[[#This Row],[Age]]&gt;45, "45+")</f>
        <v>45+</v>
      </c>
    </row>
    <row r="44" spans="1:21" x14ac:dyDescent="0.3">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c r="T44">
        <f>IF(Table1[[#This Row],[Discount_Applied]]="Yes", 1,0)</f>
        <v>1</v>
      </c>
      <c r="U44" t="str">
        <f>_xlfn.IFS(Table1[[#This Row],[Age]]&lt;=25, "Below 25", Table1[[#This Row],[Age]]&lt;=35, "Between 25-35", Table1[[#This Row],[Age]]&lt;=45, "Between 36-45", Table1[[#This Row],[Age]]&gt;45, "45+")</f>
        <v>Below 25</v>
      </c>
    </row>
    <row r="45" spans="1:21" x14ac:dyDescent="0.3">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c r="T45">
        <f>IF(Table1[[#This Row],[Discount_Applied]]="Yes", 1,0)</f>
        <v>1</v>
      </c>
      <c r="U45" t="str">
        <f>_xlfn.IFS(Table1[[#This Row],[Age]]&lt;=25, "Below 25", Table1[[#This Row],[Age]]&lt;=35, "Between 25-35", Table1[[#This Row],[Age]]&lt;=45, "Between 36-45", Table1[[#This Row],[Age]]&gt;45, "45+")</f>
        <v>Below 25</v>
      </c>
    </row>
    <row r="46" spans="1:21" x14ac:dyDescent="0.3">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c r="T46">
        <f>IF(Table1[[#This Row],[Discount_Applied]]="Yes", 1,0)</f>
        <v>1</v>
      </c>
      <c r="U46" t="str">
        <f>_xlfn.IFS(Table1[[#This Row],[Age]]&lt;=25, "Below 25", Table1[[#This Row],[Age]]&lt;=35, "Between 25-35", Table1[[#This Row],[Age]]&lt;=45, "Between 36-45", Table1[[#This Row],[Age]]&gt;45, "45+")</f>
        <v>Between 36-45</v>
      </c>
    </row>
    <row r="47" spans="1:21" x14ac:dyDescent="0.3">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c r="T47">
        <f>IF(Table1[[#This Row],[Discount_Applied]]="Yes", 1,0)</f>
        <v>1</v>
      </c>
      <c r="U47" t="str">
        <f>_xlfn.IFS(Table1[[#This Row],[Age]]&lt;=25, "Below 25", Table1[[#This Row],[Age]]&lt;=35, "Between 25-35", Table1[[#This Row],[Age]]&lt;=45, "Between 36-45", Table1[[#This Row],[Age]]&gt;45, "45+")</f>
        <v>45+</v>
      </c>
    </row>
    <row r="48" spans="1:21" x14ac:dyDescent="0.3">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c r="T48">
        <f>IF(Table1[[#This Row],[Discount_Applied]]="Yes", 1,0)</f>
        <v>1</v>
      </c>
      <c r="U48" t="str">
        <f>_xlfn.IFS(Table1[[#This Row],[Age]]&lt;=25, "Below 25", Table1[[#This Row],[Age]]&lt;=35, "Between 25-35", Table1[[#This Row],[Age]]&lt;=45, "Between 36-45", Table1[[#This Row],[Age]]&gt;45, "45+")</f>
        <v>45+</v>
      </c>
    </row>
    <row r="49" spans="1:21" x14ac:dyDescent="0.3">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c r="T49">
        <f>IF(Table1[[#This Row],[Discount_Applied]]="Yes", 1,0)</f>
        <v>1</v>
      </c>
      <c r="U49" t="str">
        <f>_xlfn.IFS(Table1[[#This Row],[Age]]&lt;=25, "Below 25", Table1[[#This Row],[Age]]&lt;=35, "Between 25-35", Table1[[#This Row],[Age]]&lt;=45, "Between 36-45", Table1[[#This Row],[Age]]&gt;45, "45+")</f>
        <v>45+</v>
      </c>
    </row>
    <row r="50" spans="1:21" x14ac:dyDescent="0.3">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c r="T50">
        <f>IF(Table1[[#This Row],[Discount_Applied]]="Yes", 1,0)</f>
        <v>1</v>
      </c>
      <c r="U50" t="str">
        <f>_xlfn.IFS(Table1[[#This Row],[Age]]&lt;=25, "Below 25", Table1[[#This Row],[Age]]&lt;=35, "Between 25-35", Table1[[#This Row],[Age]]&lt;=45, "Between 36-45", Table1[[#This Row],[Age]]&gt;45, "45+")</f>
        <v>Between 36-45</v>
      </c>
    </row>
    <row r="51" spans="1:21" x14ac:dyDescent="0.3">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c r="T51">
        <f>IF(Table1[[#This Row],[Discount_Applied]]="Yes", 1,0)</f>
        <v>1</v>
      </c>
      <c r="U51" t="str">
        <f>_xlfn.IFS(Table1[[#This Row],[Age]]&lt;=25, "Below 25", Table1[[#This Row],[Age]]&lt;=35, "Between 25-35", Table1[[#This Row],[Age]]&lt;=45, "Between 36-45", Table1[[#This Row],[Age]]&gt;45, "45+")</f>
        <v>45+</v>
      </c>
    </row>
    <row r="52" spans="1:21" x14ac:dyDescent="0.3">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c r="T52">
        <f>IF(Table1[[#This Row],[Discount_Applied]]="Yes", 1,0)</f>
        <v>1</v>
      </c>
      <c r="U52" t="str">
        <f>_xlfn.IFS(Table1[[#This Row],[Age]]&lt;=25, "Below 25", Table1[[#This Row],[Age]]&lt;=35, "Between 25-35", Table1[[#This Row],[Age]]&lt;=45, "Between 36-45", Table1[[#This Row],[Age]]&gt;45, "45+")</f>
        <v>45+</v>
      </c>
    </row>
    <row r="53" spans="1:21" x14ac:dyDescent="0.3">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c r="T53">
        <f>IF(Table1[[#This Row],[Discount_Applied]]="Yes", 1,0)</f>
        <v>1</v>
      </c>
      <c r="U53" t="str">
        <f>_xlfn.IFS(Table1[[#This Row],[Age]]&lt;=25, "Below 25", Table1[[#This Row],[Age]]&lt;=35, "Between 25-35", Table1[[#This Row],[Age]]&lt;=45, "Between 36-45", Table1[[#This Row],[Age]]&gt;45, "45+")</f>
        <v>45+</v>
      </c>
    </row>
    <row r="54" spans="1:21" x14ac:dyDescent="0.3">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c r="T54">
        <f>IF(Table1[[#This Row],[Discount_Applied]]="Yes", 1,0)</f>
        <v>1</v>
      </c>
      <c r="U54" t="str">
        <f>_xlfn.IFS(Table1[[#This Row],[Age]]&lt;=25, "Below 25", Table1[[#This Row],[Age]]&lt;=35, "Between 25-35", Table1[[#This Row],[Age]]&lt;=45, "Between 36-45", Table1[[#This Row],[Age]]&gt;45, "45+")</f>
        <v>Between 36-45</v>
      </c>
    </row>
    <row r="55" spans="1:21" x14ac:dyDescent="0.3">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c r="T55">
        <f>IF(Table1[[#This Row],[Discount_Applied]]="Yes", 1,0)</f>
        <v>1</v>
      </c>
      <c r="U55" t="str">
        <f>_xlfn.IFS(Table1[[#This Row],[Age]]&lt;=25, "Below 25", Table1[[#This Row],[Age]]&lt;=35, "Between 25-35", Table1[[#This Row],[Age]]&lt;=45, "Between 36-45", Table1[[#This Row],[Age]]&gt;45, "45+")</f>
        <v>Between 25-35</v>
      </c>
    </row>
    <row r="56" spans="1:21" x14ac:dyDescent="0.3">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c r="T56">
        <f>IF(Table1[[#This Row],[Discount_Applied]]="Yes", 1,0)</f>
        <v>1</v>
      </c>
      <c r="U56" t="str">
        <f>_xlfn.IFS(Table1[[#This Row],[Age]]&lt;=25, "Below 25", Table1[[#This Row],[Age]]&lt;=35, "Between 25-35", Table1[[#This Row],[Age]]&lt;=45, "Between 36-45", Table1[[#This Row],[Age]]&gt;45, "45+")</f>
        <v>45+</v>
      </c>
    </row>
    <row r="57" spans="1:21" x14ac:dyDescent="0.3">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c r="T57">
        <f>IF(Table1[[#This Row],[Discount_Applied]]="Yes", 1,0)</f>
        <v>1</v>
      </c>
      <c r="U57" t="str">
        <f>_xlfn.IFS(Table1[[#This Row],[Age]]&lt;=25, "Below 25", Table1[[#This Row],[Age]]&lt;=35, "Between 25-35", Table1[[#This Row],[Age]]&lt;=45, "Between 36-45", Table1[[#This Row],[Age]]&gt;45, "45+")</f>
        <v>Between 36-45</v>
      </c>
    </row>
    <row r="58" spans="1:21" x14ac:dyDescent="0.3">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c r="T58">
        <f>IF(Table1[[#This Row],[Discount_Applied]]="Yes", 1,0)</f>
        <v>1</v>
      </c>
      <c r="U58" t="str">
        <f>_xlfn.IFS(Table1[[#This Row],[Age]]&lt;=25, "Below 25", Table1[[#This Row],[Age]]&lt;=35, "Between 25-35", Table1[[#This Row],[Age]]&lt;=45, "Between 36-45", Table1[[#This Row],[Age]]&gt;45, "45+")</f>
        <v>Between 36-45</v>
      </c>
    </row>
    <row r="59" spans="1:21" x14ac:dyDescent="0.3">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c r="T59">
        <f>IF(Table1[[#This Row],[Discount_Applied]]="Yes", 1,0)</f>
        <v>1</v>
      </c>
      <c r="U59" t="str">
        <f>_xlfn.IFS(Table1[[#This Row],[Age]]&lt;=25, "Below 25", Table1[[#This Row],[Age]]&lt;=35, "Between 25-35", Table1[[#This Row],[Age]]&lt;=45, "Between 36-45", Table1[[#This Row],[Age]]&gt;45, "45+")</f>
        <v>Below 25</v>
      </c>
    </row>
    <row r="60" spans="1:21" x14ac:dyDescent="0.3">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c r="T60">
        <f>IF(Table1[[#This Row],[Discount_Applied]]="Yes", 1,0)</f>
        <v>1</v>
      </c>
      <c r="U60" t="str">
        <f>_xlfn.IFS(Table1[[#This Row],[Age]]&lt;=25, "Below 25", Table1[[#This Row],[Age]]&lt;=35, "Between 25-35", Table1[[#This Row],[Age]]&lt;=45, "Between 36-45", Table1[[#This Row],[Age]]&gt;45, "45+")</f>
        <v>45+</v>
      </c>
    </row>
    <row r="61" spans="1:21" x14ac:dyDescent="0.3">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c r="T61">
        <f>IF(Table1[[#This Row],[Discount_Applied]]="Yes", 1,0)</f>
        <v>1</v>
      </c>
      <c r="U61" t="str">
        <f>_xlfn.IFS(Table1[[#This Row],[Age]]&lt;=25, "Below 25", Table1[[#This Row],[Age]]&lt;=35, "Between 25-35", Table1[[#This Row],[Age]]&lt;=45, "Between 36-45", Table1[[#This Row],[Age]]&gt;45, "45+")</f>
        <v>45+</v>
      </c>
    </row>
    <row r="62" spans="1:21" x14ac:dyDescent="0.3">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c r="T62">
        <f>IF(Table1[[#This Row],[Discount_Applied]]="Yes", 1,0)</f>
        <v>1</v>
      </c>
      <c r="U62" t="str">
        <f>_xlfn.IFS(Table1[[#This Row],[Age]]&lt;=25, "Below 25", Table1[[#This Row],[Age]]&lt;=35, "Between 25-35", Table1[[#This Row],[Age]]&lt;=45, "Between 36-45", Table1[[#This Row],[Age]]&gt;45, "45+")</f>
        <v>45+</v>
      </c>
    </row>
    <row r="63" spans="1:21" x14ac:dyDescent="0.3">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c r="T63">
        <f>IF(Table1[[#This Row],[Discount_Applied]]="Yes", 1,0)</f>
        <v>1</v>
      </c>
      <c r="U63" t="str">
        <f>_xlfn.IFS(Table1[[#This Row],[Age]]&lt;=25, "Below 25", Table1[[#This Row],[Age]]&lt;=35, "Between 25-35", Table1[[#This Row],[Age]]&lt;=45, "Between 36-45", Table1[[#This Row],[Age]]&gt;45, "45+")</f>
        <v>45+</v>
      </c>
    </row>
    <row r="64" spans="1:21" x14ac:dyDescent="0.3">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c r="T64">
        <f>IF(Table1[[#This Row],[Discount_Applied]]="Yes", 1,0)</f>
        <v>1</v>
      </c>
      <c r="U64" t="str">
        <f>_xlfn.IFS(Table1[[#This Row],[Age]]&lt;=25, "Below 25", Table1[[#This Row],[Age]]&lt;=35, "Between 25-35", Table1[[#This Row],[Age]]&lt;=45, "Between 36-45", Table1[[#This Row],[Age]]&gt;45, "45+")</f>
        <v>Between 25-35</v>
      </c>
    </row>
    <row r="65" spans="1:21" x14ac:dyDescent="0.3">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c r="T65">
        <f>IF(Table1[[#This Row],[Discount_Applied]]="Yes", 1,0)</f>
        <v>1</v>
      </c>
      <c r="U65" t="str">
        <f>_xlfn.IFS(Table1[[#This Row],[Age]]&lt;=25, "Below 25", Table1[[#This Row],[Age]]&lt;=35, "Between 25-35", Table1[[#This Row],[Age]]&lt;=45, "Between 36-45", Table1[[#This Row],[Age]]&gt;45, "45+")</f>
        <v>Between 25-35</v>
      </c>
    </row>
    <row r="66" spans="1:21" x14ac:dyDescent="0.3">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c r="T66">
        <f>IF(Table1[[#This Row],[Discount_Applied]]="Yes", 1,0)</f>
        <v>1</v>
      </c>
      <c r="U66" t="str">
        <f>_xlfn.IFS(Table1[[#This Row],[Age]]&lt;=25, "Below 25", Table1[[#This Row],[Age]]&lt;=35, "Between 25-35", Table1[[#This Row],[Age]]&lt;=45, "Between 36-45", Table1[[#This Row],[Age]]&gt;45, "45+")</f>
        <v>45+</v>
      </c>
    </row>
    <row r="67" spans="1:21" x14ac:dyDescent="0.3">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c r="T67">
        <f>IF(Table1[[#This Row],[Discount_Applied]]="Yes", 1,0)</f>
        <v>1</v>
      </c>
      <c r="U67" t="str">
        <f>_xlfn.IFS(Table1[[#This Row],[Age]]&lt;=25, "Below 25", Table1[[#This Row],[Age]]&lt;=35, "Between 25-35", Table1[[#This Row],[Age]]&lt;=45, "Between 36-45", Table1[[#This Row],[Age]]&gt;45, "45+")</f>
        <v>45+</v>
      </c>
    </row>
    <row r="68" spans="1:21" x14ac:dyDescent="0.3">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c r="T68">
        <f>IF(Table1[[#This Row],[Discount_Applied]]="Yes", 1,0)</f>
        <v>1</v>
      </c>
      <c r="U68" t="str">
        <f>_xlfn.IFS(Table1[[#This Row],[Age]]&lt;=25, "Below 25", Table1[[#This Row],[Age]]&lt;=35, "Between 25-35", Table1[[#This Row],[Age]]&lt;=45, "Between 36-45", Table1[[#This Row],[Age]]&gt;45, "45+")</f>
        <v>Between 25-35</v>
      </c>
    </row>
    <row r="69" spans="1:21" x14ac:dyDescent="0.3">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c r="T69">
        <f>IF(Table1[[#This Row],[Discount_Applied]]="Yes", 1,0)</f>
        <v>1</v>
      </c>
      <c r="U69" t="str">
        <f>_xlfn.IFS(Table1[[#This Row],[Age]]&lt;=25, "Below 25", Table1[[#This Row],[Age]]&lt;=35, "Between 25-35", Table1[[#This Row],[Age]]&lt;=45, "Between 36-45", Table1[[#This Row],[Age]]&gt;45, "45+")</f>
        <v>Between 36-45</v>
      </c>
    </row>
    <row r="70" spans="1:21" x14ac:dyDescent="0.3">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c r="T70">
        <f>IF(Table1[[#This Row],[Discount_Applied]]="Yes", 1,0)</f>
        <v>1</v>
      </c>
      <c r="U70" t="str">
        <f>_xlfn.IFS(Table1[[#This Row],[Age]]&lt;=25, "Below 25", Table1[[#This Row],[Age]]&lt;=35, "Between 25-35", Table1[[#This Row],[Age]]&lt;=45, "Between 36-45", Table1[[#This Row],[Age]]&gt;45, "45+")</f>
        <v>45+</v>
      </c>
    </row>
    <row r="71" spans="1:21" x14ac:dyDescent="0.3">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c r="T71">
        <f>IF(Table1[[#This Row],[Discount_Applied]]="Yes", 1,0)</f>
        <v>1</v>
      </c>
      <c r="U71" t="str">
        <f>_xlfn.IFS(Table1[[#This Row],[Age]]&lt;=25, "Below 25", Table1[[#This Row],[Age]]&lt;=35, "Between 25-35", Table1[[#This Row],[Age]]&lt;=45, "Between 36-45", Table1[[#This Row],[Age]]&gt;45, "45+")</f>
        <v>45+</v>
      </c>
    </row>
    <row r="72" spans="1:21" x14ac:dyDescent="0.3">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c r="T72">
        <f>IF(Table1[[#This Row],[Discount_Applied]]="Yes", 1,0)</f>
        <v>1</v>
      </c>
      <c r="U72" t="str">
        <f>_xlfn.IFS(Table1[[#This Row],[Age]]&lt;=25, "Below 25", Table1[[#This Row],[Age]]&lt;=35, "Between 25-35", Table1[[#This Row],[Age]]&lt;=45, "Between 36-45", Table1[[#This Row],[Age]]&gt;45, "45+")</f>
        <v>Below 25</v>
      </c>
    </row>
    <row r="73" spans="1:21" x14ac:dyDescent="0.3">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c r="T73">
        <f>IF(Table1[[#This Row],[Discount_Applied]]="Yes", 1,0)</f>
        <v>1</v>
      </c>
      <c r="U73" t="str">
        <f>_xlfn.IFS(Table1[[#This Row],[Age]]&lt;=25, "Below 25", Table1[[#This Row],[Age]]&lt;=35, "Between 25-35", Table1[[#This Row],[Age]]&lt;=45, "Between 36-45", Table1[[#This Row],[Age]]&gt;45, "45+")</f>
        <v>Between 36-45</v>
      </c>
    </row>
    <row r="74" spans="1:21" x14ac:dyDescent="0.3">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c r="T74">
        <f>IF(Table1[[#This Row],[Discount_Applied]]="Yes", 1,0)</f>
        <v>1</v>
      </c>
      <c r="U74" t="str">
        <f>_xlfn.IFS(Table1[[#This Row],[Age]]&lt;=25, "Below 25", Table1[[#This Row],[Age]]&lt;=35, "Between 25-35", Table1[[#This Row],[Age]]&lt;=45, "Between 36-45", Table1[[#This Row],[Age]]&gt;45, "45+")</f>
        <v>Below 25</v>
      </c>
    </row>
    <row r="75" spans="1:21" x14ac:dyDescent="0.3">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c r="T75">
        <f>IF(Table1[[#This Row],[Discount_Applied]]="Yes", 1,0)</f>
        <v>1</v>
      </c>
      <c r="U75" t="str">
        <f>_xlfn.IFS(Table1[[#This Row],[Age]]&lt;=25, "Below 25", Table1[[#This Row],[Age]]&lt;=35, "Between 25-35", Table1[[#This Row],[Age]]&lt;=45, "Between 36-45", Table1[[#This Row],[Age]]&gt;45, "45+")</f>
        <v>45+</v>
      </c>
    </row>
    <row r="76" spans="1:21" x14ac:dyDescent="0.3">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c r="T76">
        <f>IF(Table1[[#This Row],[Discount_Applied]]="Yes", 1,0)</f>
        <v>1</v>
      </c>
      <c r="U76" t="str">
        <f>_xlfn.IFS(Table1[[#This Row],[Age]]&lt;=25, "Below 25", Table1[[#This Row],[Age]]&lt;=35, "Between 25-35", Table1[[#This Row],[Age]]&lt;=45, "Between 36-45", Table1[[#This Row],[Age]]&gt;45, "45+")</f>
        <v>45+</v>
      </c>
    </row>
    <row r="77" spans="1:21" x14ac:dyDescent="0.3">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c r="T77">
        <f>IF(Table1[[#This Row],[Discount_Applied]]="Yes", 1,0)</f>
        <v>1</v>
      </c>
      <c r="U77" t="str">
        <f>_xlfn.IFS(Table1[[#This Row],[Age]]&lt;=25, "Below 25", Table1[[#This Row],[Age]]&lt;=35, "Between 25-35", Table1[[#This Row],[Age]]&lt;=45, "Between 36-45", Table1[[#This Row],[Age]]&gt;45, "45+")</f>
        <v>45+</v>
      </c>
    </row>
    <row r="78" spans="1:21" x14ac:dyDescent="0.3">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c r="T78">
        <f>IF(Table1[[#This Row],[Discount_Applied]]="Yes", 1,0)</f>
        <v>1</v>
      </c>
      <c r="U78" t="str">
        <f>_xlfn.IFS(Table1[[#This Row],[Age]]&lt;=25, "Below 25", Table1[[#This Row],[Age]]&lt;=35, "Between 25-35", Table1[[#This Row],[Age]]&lt;=45, "Between 36-45", Table1[[#This Row],[Age]]&gt;45, "45+")</f>
        <v>45+</v>
      </c>
    </row>
    <row r="79" spans="1:21" x14ac:dyDescent="0.3">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c r="T79">
        <f>IF(Table1[[#This Row],[Discount_Applied]]="Yes", 1,0)</f>
        <v>1</v>
      </c>
      <c r="U79" t="str">
        <f>_xlfn.IFS(Table1[[#This Row],[Age]]&lt;=25, "Below 25", Table1[[#This Row],[Age]]&lt;=35, "Between 25-35", Table1[[#This Row],[Age]]&lt;=45, "Between 36-45", Table1[[#This Row],[Age]]&gt;45, "45+")</f>
        <v>Below 25</v>
      </c>
    </row>
    <row r="80" spans="1:21" x14ac:dyDescent="0.3">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c r="T80">
        <f>IF(Table1[[#This Row],[Discount_Applied]]="Yes", 1,0)</f>
        <v>1</v>
      </c>
      <c r="U80" t="str">
        <f>_xlfn.IFS(Table1[[#This Row],[Age]]&lt;=25, "Below 25", Table1[[#This Row],[Age]]&lt;=35, "Between 25-35", Table1[[#This Row],[Age]]&lt;=45, "Between 36-45", Table1[[#This Row],[Age]]&gt;45, "45+")</f>
        <v>45+</v>
      </c>
    </row>
    <row r="81" spans="1:21" x14ac:dyDescent="0.3">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c r="T81">
        <f>IF(Table1[[#This Row],[Discount_Applied]]="Yes", 1,0)</f>
        <v>1</v>
      </c>
      <c r="U81" t="str">
        <f>_xlfn.IFS(Table1[[#This Row],[Age]]&lt;=25, "Below 25", Table1[[#This Row],[Age]]&lt;=35, "Between 25-35", Table1[[#This Row],[Age]]&lt;=45, "Between 36-45", Table1[[#This Row],[Age]]&gt;45, "45+")</f>
        <v>Between 36-45</v>
      </c>
    </row>
    <row r="82" spans="1:21" x14ac:dyDescent="0.3">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c r="T82">
        <f>IF(Table1[[#This Row],[Discount_Applied]]="Yes", 1,0)</f>
        <v>1</v>
      </c>
      <c r="U82" t="str">
        <f>_xlfn.IFS(Table1[[#This Row],[Age]]&lt;=25, "Below 25", Table1[[#This Row],[Age]]&lt;=35, "Between 25-35", Table1[[#This Row],[Age]]&lt;=45, "Between 36-45", Table1[[#This Row],[Age]]&gt;45, "45+")</f>
        <v>Below 25</v>
      </c>
    </row>
    <row r="83" spans="1:21" x14ac:dyDescent="0.3">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c r="T83">
        <f>IF(Table1[[#This Row],[Discount_Applied]]="Yes", 1,0)</f>
        <v>1</v>
      </c>
      <c r="U83" t="str">
        <f>_xlfn.IFS(Table1[[#This Row],[Age]]&lt;=25, "Below 25", Table1[[#This Row],[Age]]&lt;=35, "Between 25-35", Table1[[#This Row],[Age]]&lt;=45, "Between 36-45", Table1[[#This Row],[Age]]&gt;45, "45+")</f>
        <v>45+</v>
      </c>
    </row>
    <row r="84" spans="1:21" x14ac:dyDescent="0.3">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c r="T84">
        <f>IF(Table1[[#This Row],[Discount_Applied]]="Yes", 1,0)</f>
        <v>1</v>
      </c>
      <c r="U84" t="str">
        <f>_xlfn.IFS(Table1[[#This Row],[Age]]&lt;=25, "Below 25", Table1[[#This Row],[Age]]&lt;=35, "Between 25-35", Table1[[#This Row],[Age]]&lt;=45, "Between 36-45", Table1[[#This Row],[Age]]&gt;45, "45+")</f>
        <v>Below 25</v>
      </c>
    </row>
    <row r="85" spans="1:21" x14ac:dyDescent="0.3">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c r="T85">
        <f>IF(Table1[[#This Row],[Discount_Applied]]="Yes", 1,0)</f>
        <v>1</v>
      </c>
      <c r="U85" t="str">
        <f>_xlfn.IFS(Table1[[#This Row],[Age]]&lt;=25, "Below 25", Table1[[#This Row],[Age]]&lt;=35, "Between 25-35", Table1[[#This Row],[Age]]&lt;=45, "Between 36-45", Table1[[#This Row],[Age]]&gt;45, "45+")</f>
        <v>Between 36-45</v>
      </c>
    </row>
    <row r="86" spans="1:21" x14ac:dyDescent="0.3">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c r="T86">
        <f>IF(Table1[[#This Row],[Discount_Applied]]="Yes", 1,0)</f>
        <v>1</v>
      </c>
      <c r="U86" t="str">
        <f>_xlfn.IFS(Table1[[#This Row],[Age]]&lt;=25, "Below 25", Table1[[#This Row],[Age]]&lt;=35, "Between 25-35", Table1[[#This Row],[Age]]&lt;=45, "Between 36-45", Table1[[#This Row],[Age]]&gt;45, "45+")</f>
        <v>45+</v>
      </c>
    </row>
    <row r="87" spans="1:21" x14ac:dyDescent="0.3">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c r="T87">
        <f>IF(Table1[[#This Row],[Discount_Applied]]="Yes", 1,0)</f>
        <v>1</v>
      </c>
      <c r="U87" t="str">
        <f>_xlfn.IFS(Table1[[#This Row],[Age]]&lt;=25, "Below 25", Table1[[#This Row],[Age]]&lt;=35, "Between 25-35", Table1[[#This Row],[Age]]&lt;=45, "Between 36-45", Table1[[#This Row],[Age]]&gt;45, "45+")</f>
        <v>45+</v>
      </c>
    </row>
    <row r="88" spans="1:21" x14ac:dyDescent="0.3">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c r="T88">
        <f>IF(Table1[[#This Row],[Discount_Applied]]="Yes", 1,0)</f>
        <v>1</v>
      </c>
      <c r="U88" t="str">
        <f>_xlfn.IFS(Table1[[#This Row],[Age]]&lt;=25, "Below 25", Table1[[#This Row],[Age]]&lt;=35, "Between 25-35", Table1[[#This Row],[Age]]&lt;=45, "Between 36-45", Table1[[#This Row],[Age]]&gt;45, "45+")</f>
        <v>Below 25</v>
      </c>
    </row>
    <row r="89" spans="1:21" x14ac:dyDescent="0.3">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c r="T89">
        <f>IF(Table1[[#This Row],[Discount_Applied]]="Yes", 1,0)</f>
        <v>1</v>
      </c>
      <c r="U89" t="str">
        <f>_xlfn.IFS(Table1[[#This Row],[Age]]&lt;=25, "Below 25", Table1[[#This Row],[Age]]&lt;=35, "Between 25-35", Table1[[#This Row],[Age]]&lt;=45, "Between 36-45", Table1[[#This Row],[Age]]&gt;45, "45+")</f>
        <v>45+</v>
      </c>
    </row>
    <row r="90" spans="1:21" x14ac:dyDescent="0.3">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c r="T90">
        <f>IF(Table1[[#This Row],[Discount_Applied]]="Yes", 1,0)</f>
        <v>1</v>
      </c>
      <c r="U90" t="str">
        <f>_xlfn.IFS(Table1[[#This Row],[Age]]&lt;=25, "Below 25", Table1[[#This Row],[Age]]&lt;=35, "Between 25-35", Table1[[#This Row],[Age]]&lt;=45, "Between 36-45", Table1[[#This Row],[Age]]&gt;45, "45+")</f>
        <v>Between 25-35</v>
      </c>
    </row>
    <row r="91" spans="1:21" x14ac:dyDescent="0.3">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c r="T91">
        <f>IF(Table1[[#This Row],[Discount_Applied]]="Yes", 1,0)</f>
        <v>1</v>
      </c>
      <c r="U91" t="str">
        <f>_xlfn.IFS(Table1[[#This Row],[Age]]&lt;=25, "Below 25", Table1[[#This Row],[Age]]&lt;=35, "Between 25-35", Table1[[#This Row],[Age]]&lt;=45, "Between 36-45", Table1[[#This Row],[Age]]&gt;45, "45+")</f>
        <v>45+</v>
      </c>
    </row>
    <row r="92" spans="1:21" x14ac:dyDescent="0.3">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c r="T92">
        <f>IF(Table1[[#This Row],[Discount_Applied]]="Yes", 1,0)</f>
        <v>1</v>
      </c>
      <c r="U92" t="str">
        <f>_xlfn.IFS(Table1[[#This Row],[Age]]&lt;=25, "Below 25", Table1[[#This Row],[Age]]&lt;=35, "Between 25-35", Table1[[#This Row],[Age]]&lt;=45, "Between 36-45", Table1[[#This Row],[Age]]&gt;45, "45+")</f>
        <v>Below 25</v>
      </c>
    </row>
    <row r="93" spans="1:21" x14ac:dyDescent="0.3">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c r="T93">
        <f>IF(Table1[[#This Row],[Discount_Applied]]="Yes", 1,0)</f>
        <v>1</v>
      </c>
      <c r="U93" t="str">
        <f>_xlfn.IFS(Table1[[#This Row],[Age]]&lt;=25, "Below 25", Table1[[#This Row],[Age]]&lt;=35, "Between 25-35", Table1[[#This Row],[Age]]&lt;=45, "Between 36-45", Table1[[#This Row],[Age]]&gt;45, "45+")</f>
        <v>Between 36-45</v>
      </c>
    </row>
    <row r="94" spans="1:21" x14ac:dyDescent="0.3">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c r="T94">
        <f>IF(Table1[[#This Row],[Discount_Applied]]="Yes", 1,0)</f>
        <v>1</v>
      </c>
      <c r="U94" t="str">
        <f>_xlfn.IFS(Table1[[#This Row],[Age]]&lt;=25, "Below 25", Table1[[#This Row],[Age]]&lt;=35, "Between 25-35", Table1[[#This Row],[Age]]&lt;=45, "Between 36-45", Table1[[#This Row],[Age]]&gt;45, "45+")</f>
        <v>45+</v>
      </c>
    </row>
    <row r="95" spans="1:21" x14ac:dyDescent="0.3">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c r="T95">
        <f>IF(Table1[[#This Row],[Discount_Applied]]="Yes", 1,0)</f>
        <v>1</v>
      </c>
      <c r="U95" t="str">
        <f>_xlfn.IFS(Table1[[#This Row],[Age]]&lt;=25, "Below 25", Table1[[#This Row],[Age]]&lt;=35, "Between 25-35", Table1[[#This Row],[Age]]&lt;=45, "Between 36-45", Table1[[#This Row],[Age]]&gt;45, "45+")</f>
        <v>Between 36-45</v>
      </c>
    </row>
    <row r="96" spans="1:21" x14ac:dyDescent="0.3">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c r="T96">
        <f>IF(Table1[[#This Row],[Discount_Applied]]="Yes", 1,0)</f>
        <v>1</v>
      </c>
      <c r="U96" t="str">
        <f>_xlfn.IFS(Table1[[#This Row],[Age]]&lt;=25, "Below 25", Table1[[#This Row],[Age]]&lt;=35, "Between 25-35", Table1[[#This Row],[Age]]&lt;=45, "Between 36-45", Table1[[#This Row],[Age]]&gt;45, "45+")</f>
        <v>45+</v>
      </c>
    </row>
    <row r="97" spans="1:21" x14ac:dyDescent="0.3">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c r="T97">
        <f>IF(Table1[[#This Row],[Discount_Applied]]="Yes", 1,0)</f>
        <v>1</v>
      </c>
      <c r="U97" t="str">
        <f>_xlfn.IFS(Table1[[#This Row],[Age]]&lt;=25, "Below 25", Table1[[#This Row],[Age]]&lt;=35, "Between 25-35", Table1[[#This Row],[Age]]&lt;=45, "Between 36-45", Table1[[#This Row],[Age]]&gt;45, "45+")</f>
        <v>Between 36-45</v>
      </c>
    </row>
    <row r="98" spans="1:21" x14ac:dyDescent="0.3">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c r="T98">
        <f>IF(Table1[[#This Row],[Discount_Applied]]="Yes", 1,0)</f>
        <v>1</v>
      </c>
      <c r="U98" t="str">
        <f>_xlfn.IFS(Table1[[#This Row],[Age]]&lt;=25, "Below 25", Table1[[#This Row],[Age]]&lt;=35, "Between 25-35", Table1[[#This Row],[Age]]&lt;=45, "Between 36-45", Table1[[#This Row],[Age]]&gt;45, "45+")</f>
        <v>Between 25-35</v>
      </c>
    </row>
    <row r="99" spans="1:21" x14ac:dyDescent="0.3">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c r="T99">
        <f>IF(Table1[[#This Row],[Discount_Applied]]="Yes", 1,0)</f>
        <v>1</v>
      </c>
      <c r="U99" t="str">
        <f>_xlfn.IFS(Table1[[#This Row],[Age]]&lt;=25, "Below 25", Table1[[#This Row],[Age]]&lt;=35, "Between 25-35", Table1[[#This Row],[Age]]&lt;=45, "Between 36-45", Table1[[#This Row],[Age]]&gt;45, "45+")</f>
        <v>Below 25</v>
      </c>
    </row>
    <row r="100" spans="1:21" x14ac:dyDescent="0.3">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c r="T100">
        <f>IF(Table1[[#This Row],[Discount_Applied]]="Yes", 1,0)</f>
        <v>1</v>
      </c>
      <c r="U100" t="str">
        <f>_xlfn.IFS(Table1[[#This Row],[Age]]&lt;=25, "Below 25", Table1[[#This Row],[Age]]&lt;=35, "Between 25-35", Table1[[#This Row],[Age]]&lt;=45, "Between 36-45", Table1[[#This Row],[Age]]&gt;45, "45+")</f>
        <v>Below 25</v>
      </c>
    </row>
    <row r="101" spans="1:21" x14ac:dyDescent="0.3">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c r="T101">
        <f>IF(Table1[[#This Row],[Discount_Applied]]="Yes", 1,0)</f>
        <v>1</v>
      </c>
      <c r="U101" t="str">
        <f>_xlfn.IFS(Table1[[#This Row],[Age]]&lt;=25, "Below 25", Table1[[#This Row],[Age]]&lt;=35, "Between 25-35", Table1[[#This Row],[Age]]&lt;=45, "Between 36-45", Table1[[#This Row],[Age]]&gt;45, "45+")</f>
        <v>Between 25-35</v>
      </c>
    </row>
    <row r="102" spans="1:21" x14ac:dyDescent="0.3">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c r="T102">
        <f>IF(Table1[[#This Row],[Discount_Applied]]="Yes", 1,0)</f>
        <v>1</v>
      </c>
      <c r="U102" t="str">
        <f>_xlfn.IFS(Table1[[#This Row],[Age]]&lt;=25, "Below 25", Table1[[#This Row],[Age]]&lt;=35, "Between 25-35", Table1[[#This Row],[Age]]&lt;=45, "Between 36-45", Table1[[#This Row],[Age]]&gt;45, "45+")</f>
        <v>45+</v>
      </c>
    </row>
    <row r="103" spans="1:21" x14ac:dyDescent="0.3">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c r="T103">
        <f>IF(Table1[[#This Row],[Discount_Applied]]="Yes", 1,0)</f>
        <v>1</v>
      </c>
      <c r="U103" t="str">
        <f>_xlfn.IFS(Table1[[#This Row],[Age]]&lt;=25, "Below 25", Table1[[#This Row],[Age]]&lt;=35, "Between 25-35", Table1[[#This Row],[Age]]&lt;=45, "Between 36-45", Table1[[#This Row],[Age]]&gt;45, "45+")</f>
        <v>Between 25-35</v>
      </c>
    </row>
    <row r="104" spans="1:21" x14ac:dyDescent="0.3">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c r="T104">
        <f>IF(Table1[[#This Row],[Discount_Applied]]="Yes", 1,0)</f>
        <v>1</v>
      </c>
      <c r="U104" t="str">
        <f>_xlfn.IFS(Table1[[#This Row],[Age]]&lt;=25, "Below 25", Table1[[#This Row],[Age]]&lt;=35, "Between 25-35", Table1[[#This Row],[Age]]&lt;=45, "Between 36-45", Table1[[#This Row],[Age]]&gt;45, "45+")</f>
        <v>45+</v>
      </c>
    </row>
    <row r="105" spans="1:21" x14ac:dyDescent="0.3">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c r="T105">
        <f>IF(Table1[[#This Row],[Discount_Applied]]="Yes", 1,0)</f>
        <v>1</v>
      </c>
      <c r="U105" t="str">
        <f>_xlfn.IFS(Table1[[#This Row],[Age]]&lt;=25, "Below 25", Table1[[#This Row],[Age]]&lt;=35, "Between 25-35", Table1[[#This Row],[Age]]&lt;=45, "Between 36-45", Table1[[#This Row],[Age]]&gt;45, "45+")</f>
        <v>45+</v>
      </c>
    </row>
    <row r="106" spans="1:21" x14ac:dyDescent="0.3">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c r="T106">
        <f>IF(Table1[[#This Row],[Discount_Applied]]="Yes", 1,0)</f>
        <v>1</v>
      </c>
      <c r="U106" t="str">
        <f>_xlfn.IFS(Table1[[#This Row],[Age]]&lt;=25, "Below 25", Table1[[#This Row],[Age]]&lt;=35, "Between 25-35", Table1[[#This Row],[Age]]&lt;=45, "Between 36-45", Table1[[#This Row],[Age]]&gt;45, "45+")</f>
        <v>45+</v>
      </c>
    </row>
    <row r="107" spans="1:21" x14ac:dyDescent="0.3">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c r="T107">
        <f>IF(Table1[[#This Row],[Discount_Applied]]="Yes", 1,0)</f>
        <v>1</v>
      </c>
      <c r="U107" t="str">
        <f>_xlfn.IFS(Table1[[#This Row],[Age]]&lt;=25, "Below 25", Table1[[#This Row],[Age]]&lt;=35, "Between 25-35", Table1[[#This Row],[Age]]&lt;=45, "Between 36-45", Table1[[#This Row],[Age]]&gt;45, "45+")</f>
        <v>45+</v>
      </c>
    </row>
    <row r="108" spans="1:21" x14ac:dyDescent="0.3">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c r="T108">
        <f>IF(Table1[[#This Row],[Discount_Applied]]="Yes", 1,0)</f>
        <v>1</v>
      </c>
      <c r="U108" t="str">
        <f>_xlfn.IFS(Table1[[#This Row],[Age]]&lt;=25, "Below 25", Table1[[#This Row],[Age]]&lt;=35, "Between 25-35", Table1[[#This Row],[Age]]&lt;=45, "Between 36-45", Table1[[#This Row],[Age]]&gt;45, "45+")</f>
        <v>45+</v>
      </c>
    </row>
    <row r="109" spans="1:21" x14ac:dyDescent="0.3">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c r="T109">
        <f>IF(Table1[[#This Row],[Discount_Applied]]="Yes", 1,0)</f>
        <v>1</v>
      </c>
      <c r="U109" t="str">
        <f>_xlfn.IFS(Table1[[#This Row],[Age]]&lt;=25, "Below 25", Table1[[#This Row],[Age]]&lt;=35, "Between 25-35", Table1[[#This Row],[Age]]&lt;=45, "Between 36-45", Table1[[#This Row],[Age]]&gt;45, "45+")</f>
        <v>Between 25-35</v>
      </c>
    </row>
    <row r="110" spans="1:21" x14ac:dyDescent="0.3">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c r="T110">
        <f>IF(Table1[[#This Row],[Discount_Applied]]="Yes", 1,0)</f>
        <v>1</v>
      </c>
      <c r="U110" t="str">
        <f>_xlfn.IFS(Table1[[#This Row],[Age]]&lt;=25, "Below 25", Table1[[#This Row],[Age]]&lt;=35, "Between 25-35", Table1[[#This Row],[Age]]&lt;=45, "Between 36-45", Table1[[#This Row],[Age]]&gt;45, "45+")</f>
        <v>45+</v>
      </c>
    </row>
    <row r="111" spans="1:21" x14ac:dyDescent="0.3">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c r="T111">
        <f>IF(Table1[[#This Row],[Discount_Applied]]="Yes", 1,0)</f>
        <v>1</v>
      </c>
      <c r="U111" t="str">
        <f>_xlfn.IFS(Table1[[#This Row],[Age]]&lt;=25, "Below 25", Table1[[#This Row],[Age]]&lt;=35, "Between 25-35", Table1[[#This Row],[Age]]&lt;=45, "Between 36-45", Table1[[#This Row],[Age]]&gt;45, "45+")</f>
        <v>45+</v>
      </c>
    </row>
    <row r="112" spans="1:21" x14ac:dyDescent="0.3">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c r="T112">
        <f>IF(Table1[[#This Row],[Discount_Applied]]="Yes", 1,0)</f>
        <v>1</v>
      </c>
      <c r="U112" t="str">
        <f>_xlfn.IFS(Table1[[#This Row],[Age]]&lt;=25, "Below 25", Table1[[#This Row],[Age]]&lt;=35, "Between 25-35", Table1[[#This Row],[Age]]&lt;=45, "Between 36-45", Table1[[#This Row],[Age]]&gt;45, "45+")</f>
        <v>45+</v>
      </c>
    </row>
    <row r="113" spans="1:21" x14ac:dyDescent="0.3">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c r="T113">
        <f>IF(Table1[[#This Row],[Discount_Applied]]="Yes", 1,0)</f>
        <v>1</v>
      </c>
      <c r="U113" t="str">
        <f>_xlfn.IFS(Table1[[#This Row],[Age]]&lt;=25, "Below 25", Table1[[#This Row],[Age]]&lt;=35, "Between 25-35", Table1[[#This Row],[Age]]&lt;=45, "Between 36-45", Table1[[#This Row],[Age]]&gt;45, "45+")</f>
        <v>Between 25-35</v>
      </c>
    </row>
    <row r="114" spans="1:21" x14ac:dyDescent="0.3">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c r="T114">
        <f>IF(Table1[[#This Row],[Discount_Applied]]="Yes", 1,0)</f>
        <v>1</v>
      </c>
      <c r="U114" t="str">
        <f>_xlfn.IFS(Table1[[#This Row],[Age]]&lt;=25, "Below 25", Table1[[#This Row],[Age]]&lt;=35, "Between 25-35", Table1[[#This Row],[Age]]&lt;=45, "Between 36-45", Table1[[#This Row],[Age]]&gt;45, "45+")</f>
        <v>Between 36-45</v>
      </c>
    </row>
    <row r="115" spans="1:21" x14ac:dyDescent="0.3">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c r="T115">
        <f>IF(Table1[[#This Row],[Discount_Applied]]="Yes", 1,0)</f>
        <v>1</v>
      </c>
      <c r="U115" t="str">
        <f>_xlfn.IFS(Table1[[#This Row],[Age]]&lt;=25, "Below 25", Table1[[#This Row],[Age]]&lt;=35, "Between 25-35", Table1[[#This Row],[Age]]&lt;=45, "Between 36-45", Table1[[#This Row],[Age]]&gt;45, "45+")</f>
        <v>Between 36-45</v>
      </c>
    </row>
    <row r="116" spans="1:21" x14ac:dyDescent="0.3">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c r="T116">
        <f>IF(Table1[[#This Row],[Discount_Applied]]="Yes", 1,0)</f>
        <v>1</v>
      </c>
      <c r="U116" t="str">
        <f>_xlfn.IFS(Table1[[#This Row],[Age]]&lt;=25, "Below 25", Table1[[#This Row],[Age]]&lt;=35, "Between 25-35", Table1[[#This Row],[Age]]&lt;=45, "Between 36-45", Table1[[#This Row],[Age]]&gt;45, "45+")</f>
        <v>45+</v>
      </c>
    </row>
    <row r="117" spans="1:21" x14ac:dyDescent="0.3">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c r="T117">
        <f>IF(Table1[[#This Row],[Discount_Applied]]="Yes", 1,0)</f>
        <v>1</v>
      </c>
      <c r="U117" t="str">
        <f>_xlfn.IFS(Table1[[#This Row],[Age]]&lt;=25, "Below 25", Table1[[#This Row],[Age]]&lt;=35, "Between 25-35", Table1[[#This Row],[Age]]&lt;=45, "Between 36-45", Table1[[#This Row],[Age]]&gt;45, "45+")</f>
        <v>45+</v>
      </c>
    </row>
    <row r="118" spans="1:21" x14ac:dyDescent="0.3">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c r="T118">
        <f>IF(Table1[[#This Row],[Discount_Applied]]="Yes", 1,0)</f>
        <v>1</v>
      </c>
      <c r="U118" t="str">
        <f>_xlfn.IFS(Table1[[#This Row],[Age]]&lt;=25, "Below 25", Table1[[#This Row],[Age]]&lt;=35, "Between 25-35", Table1[[#This Row],[Age]]&lt;=45, "Between 36-45", Table1[[#This Row],[Age]]&gt;45, "45+")</f>
        <v>45+</v>
      </c>
    </row>
    <row r="119" spans="1:21" x14ac:dyDescent="0.3">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c r="T119">
        <f>IF(Table1[[#This Row],[Discount_Applied]]="Yes", 1,0)</f>
        <v>1</v>
      </c>
      <c r="U119" t="str">
        <f>_xlfn.IFS(Table1[[#This Row],[Age]]&lt;=25, "Below 25", Table1[[#This Row],[Age]]&lt;=35, "Between 25-35", Table1[[#This Row],[Age]]&lt;=45, "Between 36-45", Table1[[#This Row],[Age]]&gt;45, "45+")</f>
        <v>45+</v>
      </c>
    </row>
    <row r="120" spans="1:21" x14ac:dyDescent="0.3">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c r="T120">
        <f>IF(Table1[[#This Row],[Discount_Applied]]="Yes", 1,0)</f>
        <v>1</v>
      </c>
      <c r="U120" t="str">
        <f>_xlfn.IFS(Table1[[#This Row],[Age]]&lt;=25, "Below 25", Table1[[#This Row],[Age]]&lt;=35, "Between 25-35", Table1[[#This Row],[Age]]&lt;=45, "Between 36-45", Table1[[#This Row],[Age]]&gt;45, "45+")</f>
        <v>45+</v>
      </c>
    </row>
    <row r="121" spans="1:21" x14ac:dyDescent="0.3">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c r="T121">
        <f>IF(Table1[[#This Row],[Discount_Applied]]="Yes", 1,0)</f>
        <v>1</v>
      </c>
      <c r="U121" t="str">
        <f>_xlfn.IFS(Table1[[#This Row],[Age]]&lt;=25, "Below 25", Table1[[#This Row],[Age]]&lt;=35, "Between 25-35", Table1[[#This Row],[Age]]&lt;=45, "Between 36-45", Table1[[#This Row],[Age]]&gt;45, "45+")</f>
        <v>Between 36-45</v>
      </c>
    </row>
    <row r="122" spans="1:21" x14ac:dyDescent="0.3">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c r="T122">
        <f>IF(Table1[[#This Row],[Discount_Applied]]="Yes", 1,0)</f>
        <v>1</v>
      </c>
      <c r="U122" t="str">
        <f>_xlfn.IFS(Table1[[#This Row],[Age]]&lt;=25, "Below 25", Table1[[#This Row],[Age]]&lt;=35, "Between 25-35", Table1[[#This Row],[Age]]&lt;=45, "Between 36-45", Table1[[#This Row],[Age]]&gt;45, "45+")</f>
        <v>45+</v>
      </c>
    </row>
    <row r="123" spans="1:21" x14ac:dyDescent="0.3">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c r="T123">
        <f>IF(Table1[[#This Row],[Discount_Applied]]="Yes", 1,0)</f>
        <v>1</v>
      </c>
      <c r="U123" t="str">
        <f>_xlfn.IFS(Table1[[#This Row],[Age]]&lt;=25, "Below 25", Table1[[#This Row],[Age]]&lt;=35, "Between 25-35", Table1[[#This Row],[Age]]&lt;=45, "Between 36-45", Table1[[#This Row],[Age]]&gt;45, "45+")</f>
        <v>Below 25</v>
      </c>
    </row>
    <row r="124" spans="1:21" x14ac:dyDescent="0.3">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c r="T124">
        <f>IF(Table1[[#This Row],[Discount_Applied]]="Yes", 1,0)</f>
        <v>1</v>
      </c>
      <c r="U124" t="str">
        <f>_xlfn.IFS(Table1[[#This Row],[Age]]&lt;=25, "Below 25", Table1[[#This Row],[Age]]&lt;=35, "Between 25-35", Table1[[#This Row],[Age]]&lt;=45, "Between 36-45", Table1[[#This Row],[Age]]&gt;45, "45+")</f>
        <v>Between 36-45</v>
      </c>
    </row>
    <row r="125" spans="1:21" x14ac:dyDescent="0.3">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c r="T125">
        <f>IF(Table1[[#This Row],[Discount_Applied]]="Yes", 1,0)</f>
        <v>1</v>
      </c>
      <c r="U125" t="str">
        <f>_xlfn.IFS(Table1[[#This Row],[Age]]&lt;=25, "Below 25", Table1[[#This Row],[Age]]&lt;=35, "Between 25-35", Table1[[#This Row],[Age]]&lt;=45, "Between 36-45", Table1[[#This Row],[Age]]&gt;45, "45+")</f>
        <v>45+</v>
      </c>
    </row>
    <row r="126" spans="1:21" x14ac:dyDescent="0.3">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c r="T126">
        <f>IF(Table1[[#This Row],[Discount_Applied]]="Yes", 1,0)</f>
        <v>1</v>
      </c>
      <c r="U126" t="str">
        <f>_xlfn.IFS(Table1[[#This Row],[Age]]&lt;=25, "Below 25", Table1[[#This Row],[Age]]&lt;=35, "Between 25-35", Table1[[#This Row],[Age]]&lt;=45, "Between 36-45", Table1[[#This Row],[Age]]&gt;45, "45+")</f>
        <v>Between 36-45</v>
      </c>
    </row>
    <row r="127" spans="1:21" x14ac:dyDescent="0.3">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c r="T127">
        <f>IF(Table1[[#This Row],[Discount_Applied]]="Yes", 1,0)</f>
        <v>1</v>
      </c>
      <c r="U127" t="str">
        <f>_xlfn.IFS(Table1[[#This Row],[Age]]&lt;=25, "Below 25", Table1[[#This Row],[Age]]&lt;=35, "Between 25-35", Table1[[#This Row],[Age]]&lt;=45, "Between 36-45", Table1[[#This Row],[Age]]&gt;45, "45+")</f>
        <v>45+</v>
      </c>
    </row>
    <row r="128" spans="1:21" x14ac:dyDescent="0.3">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c r="T128">
        <f>IF(Table1[[#This Row],[Discount_Applied]]="Yes", 1,0)</f>
        <v>1</v>
      </c>
      <c r="U128" t="str">
        <f>_xlfn.IFS(Table1[[#This Row],[Age]]&lt;=25, "Below 25", Table1[[#This Row],[Age]]&lt;=35, "Between 25-35", Table1[[#This Row],[Age]]&lt;=45, "Between 36-45", Table1[[#This Row],[Age]]&gt;45, "45+")</f>
        <v>Between 36-45</v>
      </c>
    </row>
    <row r="129" spans="1:21" x14ac:dyDescent="0.3">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c r="T129">
        <f>IF(Table1[[#This Row],[Discount_Applied]]="Yes", 1,0)</f>
        <v>1</v>
      </c>
      <c r="U129" t="str">
        <f>_xlfn.IFS(Table1[[#This Row],[Age]]&lt;=25, "Below 25", Table1[[#This Row],[Age]]&lt;=35, "Between 25-35", Table1[[#This Row],[Age]]&lt;=45, "Between 36-45", Table1[[#This Row],[Age]]&gt;45, "45+")</f>
        <v>Below 25</v>
      </c>
    </row>
    <row r="130" spans="1:21" x14ac:dyDescent="0.3">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c r="T130">
        <f>IF(Table1[[#This Row],[Discount_Applied]]="Yes", 1,0)</f>
        <v>1</v>
      </c>
      <c r="U130" t="str">
        <f>_xlfn.IFS(Table1[[#This Row],[Age]]&lt;=25, "Below 25", Table1[[#This Row],[Age]]&lt;=35, "Between 25-35", Table1[[#This Row],[Age]]&lt;=45, "Between 36-45", Table1[[#This Row],[Age]]&gt;45, "45+")</f>
        <v>Below 25</v>
      </c>
    </row>
    <row r="131" spans="1:21" x14ac:dyDescent="0.3">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c r="T131">
        <f>IF(Table1[[#This Row],[Discount_Applied]]="Yes", 1,0)</f>
        <v>1</v>
      </c>
      <c r="U131" t="str">
        <f>_xlfn.IFS(Table1[[#This Row],[Age]]&lt;=25, "Below 25", Table1[[#This Row],[Age]]&lt;=35, "Between 25-35", Table1[[#This Row],[Age]]&lt;=45, "Between 36-45", Table1[[#This Row],[Age]]&gt;45, "45+")</f>
        <v>Below 25</v>
      </c>
    </row>
    <row r="132" spans="1:21" x14ac:dyDescent="0.3">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c r="T132">
        <f>IF(Table1[[#This Row],[Discount_Applied]]="Yes", 1,0)</f>
        <v>1</v>
      </c>
      <c r="U132" t="str">
        <f>_xlfn.IFS(Table1[[#This Row],[Age]]&lt;=25, "Below 25", Table1[[#This Row],[Age]]&lt;=35, "Between 25-35", Table1[[#This Row],[Age]]&lt;=45, "Between 36-45", Table1[[#This Row],[Age]]&gt;45, "45+")</f>
        <v>Between 36-45</v>
      </c>
    </row>
    <row r="133" spans="1:21" x14ac:dyDescent="0.3">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c r="T133">
        <f>IF(Table1[[#This Row],[Discount_Applied]]="Yes", 1,0)</f>
        <v>1</v>
      </c>
      <c r="U133" t="str">
        <f>_xlfn.IFS(Table1[[#This Row],[Age]]&lt;=25, "Below 25", Table1[[#This Row],[Age]]&lt;=35, "Between 25-35", Table1[[#This Row],[Age]]&lt;=45, "Between 36-45", Table1[[#This Row],[Age]]&gt;45, "45+")</f>
        <v>Between 25-35</v>
      </c>
    </row>
    <row r="134" spans="1:21" x14ac:dyDescent="0.3">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c r="T134">
        <f>IF(Table1[[#This Row],[Discount_Applied]]="Yes", 1,0)</f>
        <v>1</v>
      </c>
      <c r="U134" t="str">
        <f>_xlfn.IFS(Table1[[#This Row],[Age]]&lt;=25, "Below 25", Table1[[#This Row],[Age]]&lt;=35, "Between 25-35", Table1[[#This Row],[Age]]&lt;=45, "Between 36-45", Table1[[#This Row],[Age]]&gt;45, "45+")</f>
        <v>Between 25-35</v>
      </c>
    </row>
    <row r="135" spans="1:21" x14ac:dyDescent="0.3">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c r="T135">
        <f>IF(Table1[[#This Row],[Discount_Applied]]="Yes", 1,0)</f>
        <v>1</v>
      </c>
      <c r="U135" t="str">
        <f>_xlfn.IFS(Table1[[#This Row],[Age]]&lt;=25, "Below 25", Table1[[#This Row],[Age]]&lt;=35, "Between 25-35", Table1[[#This Row],[Age]]&lt;=45, "Between 36-45", Table1[[#This Row],[Age]]&gt;45, "45+")</f>
        <v>45+</v>
      </c>
    </row>
    <row r="136" spans="1:21" x14ac:dyDescent="0.3">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c r="T136">
        <f>IF(Table1[[#This Row],[Discount_Applied]]="Yes", 1,0)</f>
        <v>1</v>
      </c>
      <c r="U136" t="str">
        <f>_xlfn.IFS(Table1[[#This Row],[Age]]&lt;=25, "Below 25", Table1[[#This Row],[Age]]&lt;=35, "Between 25-35", Table1[[#This Row],[Age]]&lt;=45, "Between 36-45", Table1[[#This Row],[Age]]&gt;45, "45+")</f>
        <v>Between 36-45</v>
      </c>
    </row>
    <row r="137" spans="1:21" x14ac:dyDescent="0.3">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c r="T137">
        <f>IF(Table1[[#This Row],[Discount_Applied]]="Yes", 1,0)</f>
        <v>1</v>
      </c>
      <c r="U137" t="str">
        <f>_xlfn.IFS(Table1[[#This Row],[Age]]&lt;=25, "Below 25", Table1[[#This Row],[Age]]&lt;=35, "Between 25-35", Table1[[#This Row],[Age]]&lt;=45, "Between 36-45", Table1[[#This Row],[Age]]&gt;45, "45+")</f>
        <v>Between 36-45</v>
      </c>
    </row>
    <row r="138" spans="1:21" x14ac:dyDescent="0.3">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c r="T138">
        <f>IF(Table1[[#This Row],[Discount_Applied]]="Yes", 1,0)</f>
        <v>1</v>
      </c>
      <c r="U138" t="str">
        <f>_xlfn.IFS(Table1[[#This Row],[Age]]&lt;=25, "Below 25", Table1[[#This Row],[Age]]&lt;=35, "Between 25-35", Table1[[#This Row],[Age]]&lt;=45, "Between 36-45", Table1[[#This Row],[Age]]&gt;45, "45+")</f>
        <v>Between 36-45</v>
      </c>
    </row>
    <row r="139" spans="1:21" x14ac:dyDescent="0.3">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c r="T139">
        <f>IF(Table1[[#This Row],[Discount_Applied]]="Yes", 1,0)</f>
        <v>1</v>
      </c>
      <c r="U139" t="str">
        <f>_xlfn.IFS(Table1[[#This Row],[Age]]&lt;=25, "Below 25", Table1[[#This Row],[Age]]&lt;=35, "Between 25-35", Table1[[#This Row],[Age]]&lt;=45, "Between 36-45", Table1[[#This Row],[Age]]&gt;45, "45+")</f>
        <v>45+</v>
      </c>
    </row>
    <row r="140" spans="1:21" x14ac:dyDescent="0.3">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c r="T140">
        <f>IF(Table1[[#This Row],[Discount_Applied]]="Yes", 1,0)</f>
        <v>1</v>
      </c>
      <c r="U140" t="str">
        <f>_xlfn.IFS(Table1[[#This Row],[Age]]&lt;=25, "Below 25", Table1[[#This Row],[Age]]&lt;=35, "Between 25-35", Table1[[#This Row],[Age]]&lt;=45, "Between 36-45", Table1[[#This Row],[Age]]&gt;45, "45+")</f>
        <v>45+</v>
      </c>
    </row>
    <row r="141" spans="1:21" x14ac:dyDescent="0.3">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c r="T141">
        <f>IF(Table1[[#This Row],[Discount_Applied]]="Yes", 1,0)</f>
        <v>1</v>
      </c>
      <c r="U141" t="str">
        <f>_xlfn.IFS(Table1[[#This Row],[Age]]&lt;=25, "Below 25", Table1[[#This Row],[Age]]&lt;=35, "Between 25-35", Table1[[#This Row],[Age]]&lt;=45, "Between 36-45", Table1[[#This Row],[Age]]&gt;45, "45+")</f>
        <v>45+</v>
      </c>
    </row>
    <row r="142" spans="1:21" x14ac:dyDescent="0.3">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c r="T142">
        <f>IF(Table1[[#This Row],[Discount_Applied]]="Yes", 1,0)</f>
        <v>1</v>
      </c>
      <c r="U142" t="str">
        <f>_xlfn.IFS(Table1[[#This Row],[Age]]&lt;=25, "Below 25", Table1[[#This Row],[Age]]&lt;=35, "Between 25-35", Table1[[#This Row],[Age]]&lt;=45, "Between 36-45", Table1[[#This Row],[Age]]&gt;45, "45+")</f>
        <v>45+</v>
      </c>
    </row>
    <row r="143" spans="1:21" x14ac:dyDescent="0.3">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c r="T143">
        <f>IF(Table1[[#This Row],[Discount_Applied]]="Yes", 1,0)</f>
        <v>1</v>
      </c>
      <c r="U143" t="str">
        <f>_xlfn.IFS(Table1[[#This Row],[Age]]&lt;=25, "Below 25", Table1[[#This Row],[Age]]&lt;=35, "Between 25-35", Table1[[#This Row],[Age]]&lt;=45, "Between 36-45", Table1[[#This Row],[Age]]&gt;45, "45+")</f>
        <v>45+</v>
      </c>
    </row>
    <row r="144" spans="1:21" x14ac:dyDescent="0.3">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c r="T144">
        <f>IF(Table1[[#This Row],[Discount_Applied]]="Yes", 1,0)</f>
        <v>1</v>
      </c>
      <c r="U144" t="str">
        <f>_xlfn.IFS(Table1[[#This Row],[Age]]&lt;=25, "Below 25", Table1[[#This Row],[Age]]&lt;=35, "Between 25-35", Table1[[#This Row],[Age]]&lt;=45, "Between 36-45", Table1[[#This Row],[Age]]&gt;45, "45+")</f>
        <v>Between 36-45</v>
      </c>
    </row>
    <row r="145" spans="1:21" x14ac:dyDescent="0.3">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c r="T145">
        <f>IF(Table1[[#This Row],[Discount_Applied]]="Yes", 1,0)</f>
        <v>1</v>
      </c>
      <c r="U145" t="str">
        <f>_xlfn.IFS(Table1[[#This Row],[Age]]&lt;=25, "Below 25", Table1[[#This Row],[Age]]&lt;=35, "Between 25-35", Table1[[#This Row],[Age]]&lt;=45, "Between 36-45", Table1[[#This Row],[Age]]&gt;45, "45+")</f>
        <v>Between 25-35</v>
      </c>
    </row>
    <row r="146" spans="1:21" x14ac:dyDescent="0.3">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c r="T146">
        <f>IF(Table1[[#This Row],[Discount_Applied]]="Yes", 1,0)</f>
        <v>1</v>
      </c>
      <c r="U146" t="str">
        <f>_xlfn.IFS(Table1[[#This Row],[Age]]&lt;=25, "Below 25", Table1[[#This Row],[Age]]&lt;=35, "Between 25-35", Table1[[#This Row],[Age]]&lt;=45, "Between 36-45", Table1[[#This Row],[Age]]&gt;45, "45+")</f>
        <v>Below 25</v>
      </c>
    </row>
    <row r="147" spans="1:21" x14ac:dyDescent="0.3">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c r="T147">
        <f>IF(Table1[[#This Row],[Discount_Applied]]="Yes", 1,0)</f>
        <v>1</v>
      </c>
      <c r="U147" t="str">
        <f>_xlfn.IFS(Table1[[#This Row],[Age]]&lt;=25, "Below 25", Table1[[#This Row],[Age]]&lt;=35, "Between 25-35", Table1[[#This Row],[Age]]&lt;=45, "Between 36-45", Table1[[#This Row],[Age]]&gt;45, "45+")</f>
        <v>Below 25</v>
      </c>
    </row>
    <row r="148" spans="1:21" x14ac:dyDescent="0.3">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c r="T148">
        <f>IF(Table1[[#This Row],[Discount_Applied]]="Yes", 1,0)</f>
        <v>1</v>
      </c>
      <c r="U148" t="str">
        <f>_xlfn.IFS(Table1[[#This Row],[Age]]&lt;=25, "Below 25", Table1[[#This Row],[Age]]&lt;=35, "Between 25-35", Table1[[#This Row],[Age]]&lt;=45, "Between 36-45", Table1[[#This Row],[Age]]&gt;45, "45+")</f>
        <v>45+</v>
      </c>
    </row>
    <row r="149" spans="1:21" x14ac:dyDescent="0.3">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c r="T149">
        <f>IF(Table1[[#This Row],[Discount_Applied]]="Yes", 1,0)</f>
        <v>1</v>
      </c>
      <c r="U149" t="str">
        <f>_xlfn.IFS(Table1[[#This Row],[Age]]&lt;=25, "Below 25", Table1[[#This Row],[Age]]&lt;=35, "Between 25-35", Table1[[#This Row],[Age]]&lt;=45, "Between 36-45", Table1[[#This Row],[Age]]&gt;45, "45+")</f>
        <v>45+</v>
      </c>
    </row>
    <row r="150" spans="1:21" x14ac:dyDescent="0.3">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c r="T150">
        <f>IF(Table1[[#This Row],[Discount_Applied]]="Yes", 1,0)</f>
        <v>1</v>
      </c>
      <c r="U150" t="str">
        <f>_xlfn.IFS(Table1[[#This Row],[Age]]&lt;=25, "Below 25", Table1[[#This Row],[Age]]&lt;=35, "Between 25-35", Table1[[#This Row],[Age]]&lt;=45, "Between 36-45", Table1[[#This Row],[Age]]&gt;45, "45+")</f>
        <v>Between 36-45</v>
      </c>
    </row>
    <row r="151" spans="1:21" x14ac:dyDescent="0.3">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c r="T151">
        <f>IF(Table1[[#This Row],[Discount_Applied]]="Yes", 1,0)</f>
        <v>1</v>
      </c>
      <c r="U151" t="str">
        <f>_xlfn.IFS(Table1[[#This Row],[Age]]&lt;=25, "Below 25", Table1[[#This Row],[Age]]&lt;=35, "Between 25-35", Table1[[#This Row],[Age]]&lt;=45, "Between 36-45", Table1[[#This Row],[Age]]&gt;45, "45+")</f>
        <v>Between 36-45</v>
      </c>
    </row>
    <row r="152" spans="1:21" x14ac:dyDescent="0.3">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c r="T152">
        <f>IF(Table1[[#This Row],[Discount_Applied]]="Yes", 1,0)</f>
        <v>1</v>
      </c>
      <c r="U152" t="str">
        <f>_xlfn.IFS(Table1[[#This Row],[Age]]&lt;=25, "Below 25", Table1[[#This Row],[Age]]&lt;=35, "Between 25-35", Table1[[#This Row],[Age]]&lt;=45, "Between 36-45", Table1[[#This Row],[Age]]&gt;45, "45+")</f>
        <v>Between 25-35</v>
      </c>
    </row>
    <row r="153" spans="1:21" x14ac:dyDescent="0.3">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c r="T153">
        <f>IF(Table1[[#This Row],[Discount_Applied]]="Yes", 1,0)</f>
        <v>1</v>
      </c>
      <c r="U153" t="str">
        <f>_xlfn.IFS(Table1[[#This Row],[Age]]&lt;=25, "Below 25", Table1[[#This Row],[Age]]&lt;=35, "Between 25-35", Table1[[#This Row],[Age]]&lt;=45, "Between 36-45", Table1[[#This Row],[Age]]&gt;45, "45+")</f>
        <v>Between 25-35</v>
      </c>
    </row>
    <row r="154" spans="1:21" x14ac:dyDescent="0.3">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c r="T154">
        <f>IF(Table1[[#This Row],[Discount_Applied]]="Yes", 1,0)</f>
        <v>1</v>
      </c>
      <c r="U154" t="str">
        <f>_xlfn.IFS(Table1[[#This Row],[Age]]&lt;=25, "Below 25", Table1[[#This Row],[Age]]&lt;=35, "Between 25-35", Table1[[#This Row],[Age]]&lt;=45, "Between 36-45", Table1[[#This Row],[Age]]&gt;45, "45+")</f>
        <v>Between 25-35</v>
      </c>
    </row>
    <row r="155" spans="1:21" x14ac:dyDescent="0.3">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c r="T155">
        <f>IF(Table1[[#This Row],[Discount_Applied]]="Yes", 1,0)</f>
        <v>1</v>
      </c>
      <c r="U155" t="str">
        <f>_xlfn.IFS(Table1[[#This Row],[Age]]&lt;=25, "Below 25", Table1[[#This Row],[Age]]&lt;=35, "Between 25-35", Table1[[#This Row],[Age]]&lt;=45, "Between 36-45", Table1[[#This Row],[Age]]&gt;45, "45+")</f>
        <v>45+</v>
      </c>
    </row>
    <row r="156" spans="1:21" x14ac:dyDescent="0.3">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c r="T156">
        <f>IF(Table1[[#This Row],[Discount_Applied]]="Yes", 1,0)</f>
        <v>1</v>
      </c>
      <c r="U156" t="str">
        <f>_xlfn.IFS(Table1[[#This Row],[Age]]&lt;=25, "Below 25", Table1[[#This Row],[Age]]&lt;=35, "Between 25-35", Table1[[#This Row],[Age]]&lt;=45, "Between 36-45", Table1[[#This Row],[Age]]&gt;45, "45+")</f>
        <v>Between 36-45</v>
      </c>
    </row>
    <row r="157" spans="1:21" x14ac:dyDescent="0.3">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c r="T157">
        <f>IF(Table1[[#This Row],[Discount_Applied]]="Yes", 1,0)</f>
        <v>1</v>
      </c>
      <c r="U157" t="str">
        <f>_xlfn.IFS(Table1[[#This Row],[Age]]&lt;=25, "Below 25", Table1[[#This Row],[Age]]&lt;=35, "Between 25-35", Table1[[#This Row],[Age]]&lt;=45, "Between 36-45", Table1[[#This Row],[Age]]&gt;45, "45+")</f>
        <v>45+</v>
      </c>
    </row>
    <row r="158" spans="1:21" x14ac:dyDescent="0.3">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c r="T158">
        <f>IF(Table1[[#This Row],[Discount_Applied]]="Yes", 1,0)</f>
        <v>1</v>
      </c>
      <c r="U158" t="str">
        <f>_xlfn.IFS(Table1[[#This Row],[Age]]&lt;=25, "Below 25", Table1[[#This Row],[Age]]&lt;=35, "Between 25-35", Table1[[#This Row],[Age]]&lt;=45, "Between 36-45", Table1[[#This Row],[Age]]&gt;45, "45+")</f>
        <v>Between 25-35</v>
      </c>
    </row>
    <row r="159" spans="1:21" x14ac:dyDescent="0.3">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c r="T159">
        <f>IF(Table1[[#This Row],[Discount_Applied]]="Yes", 1,0)</f>
        <v>1</v>
      </c>
      <c r="U159" t="str">
        <f>_xlfn.IFS(Table1[[#This Row],[Age]]&lt;=25, "Below 25", Table1[[#This Row],[Age]]&lt;=35, "Between 25-35", Table1[[#This Row],[Age]]&lt;=45, "Between 36-45", Table1[[#This Row],[Age]]&gt;45, "45+")</f>
        <v>Between 36-45</v>
      </c>
    </row>
    <row r="160" spans="1:21" x14ac:dyDescent="0.3">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c r="T160">
        <f>IF(Table1[[#This Row],[Discount_Applied]]="Yes", 1,0)</f>
        <v>1</v>
      </c>
      <c r="U160" t="str">
        <f>_xlfn.IFS(Table1[[#This Row],[Age]]&lt;=25, "Below 25", Table1[[#This Row],[Age]]&lt;=35, "Between 25-35", Table1[[#This Row],[Age]]&lt;=45, "Between 36-45", Table1[[#This Row],[Age]]&gt;45, "45+")</f>
        <v>Below 25</v>
      </c>
    </row>
    <row r="161" spans="1:21" x14ac:dyDescent="0.3">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c r="T161">
        <f>IF(Table1[[#This Row],[Discount_Applied]]="Yes", 1,0)</f>
        <v>1</v>
      </c>
      <c r="U161" t="str">
        <f>_xlfn.IFS(Table1[[#This Row],[Age]]&lt;=25, "Below 25", Table1[[#This Row],[Age]]&lt;=35, "Between 25-35", Table1[[#This Row],[Age]]&lt;=45, "Between 36-45", Table1[[#This Row],[Age]]&gt;45, "45+")</f>
        <v>45+</v>
      </c>
    </row>
    <row r="162" spans="1:21" x14ac:dyDescent="0.3">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c r="T162">
        <f>IF(Table1[[#This Row],[Discount_Applied]]="Yes", 1,0)</f>
        <v>1</v>
      </c>
      <c r="U162" t="str">
        <f>_xlfn.IFS(Table1[[#This Row],[Age]]&lt;=25, "Below 25", Table1[[#This Row],[Age]]&lt;=35, "Between 25-35", Table1[[#This Row],[Age]]&lt;=45, "Between 36-45", Table1[[#This Row],[Age]]&gt;45, "45+")</f>
        <v>Between 25-35</v>
      </c>
    </row>
    <row r="163" spans="1:21" x14ac:dyDescent="0.3">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c r="T163">
        <f>IF(Table1[[#This Row],[Discount_Applied]]="Yes", 1,0)</f>
        <v>1</v>
      </c>
      <c r="U163" t="str">
        <f>_xlfn.IFS(Table1[[#This Row],[Age]]&lt;=25, "Below 25", Table1[[#This Row],[Age]]&lt;=35, "Between 25-35", Table1[[#This Row],[Age]]&lt;=45, "Between 36-45", Table1[[#This Row],[Age]]&gt;45, "45+")</f>
        <v>45+</v>
      </c>
    </row>
    <row r="164" spans="1:21" x14ac:dyDescent="0.3">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c r="T164">
        <f>IF(Table1[[#This Row],[Discount_Applied]]="Yes", 1,0)</f>
        <v>1</v>
      </c>
      <c r="U164" t="str">
        <f>_xlfn.IFS(Table1[[#This Row],[Age]]&lt;=25, "Below 25", Table1[[#This Row],[Age]]&lt;=35, "Between 25-35", Table1[[#This Row],[Age]]&lt;=45, "Between 36-45", Table1[[#This Row],[Age]]&gt;45, "45+")</f>
        <v>45+</v>
      </c>
    </row>
    <row r="165" spans="1:21" x14ac:dyDescent="0.3">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c r="T165">
        <f>IF(Table1[[#This Row],[Discount_Applied]]="Yes", 1,0)</f>
        <v>1</v>
      </c>
      <c r="U165" t="str">
        <f>_xlfn.IFS(Table1[[#This Row],[Age]]&lt;=25, "Below 25", Table1[[#This Row],[Age]]&lt;=35, "Between 25-35", Table1[[#This Row],[Age]]&lt;=45, "Between 36-45", Table1[[#This Row],[Age]]&gt;45, "45+")</f>
        <v>45+</v>
      </c>
    </row>
    <row r="166" spans="1:21" x14ac:dyDescent="0.3">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c r="T166">
        <f>IF(Table1[[#This Row],[Discount_Applied]]="Yes", 1,0)</f>
        <v>1</v>
      </c>
      <c r="U166" t="str">
        <f>_xlfn.IFS(Table1[[#This Row],[Age]]&lt;=25, "Below 25", Table1[[#This Row],[Age]]&lt;=35, "Between 25-35", Table1[[#This Row],[Age]]&lt;=45, "Between 36-45", Table1[[#This Row],[Age]]&gt;45, "45+")</f>
        <v>45+</v>
      </c>
    </row>
    <row r="167" spans="1:21" x14ac:dyDescent="0.3">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c r="T167">
        <f>IF(Table1[[#This Row],[Discount_Applied]]="Yes", 1,0)</f>
        <v>1</v>
      </c>
      <c r="U167" t="str">
        <f>_xlfn.IFS(Table1[[#This Row],[Age]]&lt;=25, "Below 25", Table1[[#This Row],[Age]]&lt;=35, "Between 25-35", Table1[[#This Row],[Age]]&lt;=45, "Between 36-45", Table1[[#This Row],[Age]]&gt;45, "45+")</f>
        <v>Between 36-45</v>
      </c>
    </row>
    <row r="168" spans="1:21" x14ac:dyDescent="0.3">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c r="T168">
        <f>IF(Table1[[#This Row],[Discount_Applied]]="Yes", 1,0)</f>
        <v>1</v>
      </c>
      <c r="U168" t="str">
        <f>_xlfn.IFS(Table1[[#This Row],[Age]]&lt;=25, "Below 25", Table1[[#This Row],[Age]]&lt;=35, "Between 25-35", Table1[[#This Row],[Age]]&lt;=45, "Between 36-45", Table1[[#This Row],[Age]]&gt;45, "45+")</f>
        <v>45+</v>
      </c>
    </row>
    <row r="169" spans="1:21" x14ac:dyDescent="0.3">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c r="T169">
        <f>IF(Table1[[#This Row],[Discount_Applied]]="Yes", 1,0)</f>
        <v>1</v>
      </c>
      <c r="U169" t="str">
        <f>_xlfn.IFS(Table1[[#This Row],[Age]]&lt;=25, "Below 25", Table1[[#This Row],[Age]]&lt;=35, "Between 25-35", Table1[[#This Row],[Age]]&lt;=45, "Between 36-45", Table1[[#This Row],[Age]]&gt;45, "45+")</f>
        <v>Between 25-35</v>
      </c>
    </row>
    <row r="170" spans="1:21" x14ac:dyDescent="0.3">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c r="T170">
        <f>IF(Table1[[#This Row],[Discount_Applied]]="Yes", 1,0)</f>
        <v>1</v>
      </c>
      <c r="U170" t="str">
        <f>_xlfn.IFS(Table1[[#This Row],[Age]]&lt;=25, "Below 25", Table1[[#This Row],[Age]]&lt;=35, "Between 25-35", Table1[[#This Row],[Age]]&lt;=45, "Between 36-45", Table1[[#This Row],[Age]]&gt;45, "45+")</f>
        <v>Between 25-35</v>
      </c>
    </row>
    <row r="171" spans="1:21" x14ac:dyDescent="0.3">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c r="T171">
        <f>IF(Table1[[#This Row],[Discount_Applied]]="Yes", 1,0)</f>
        <v>1</v>
      </c>
      <c r="U171" t="str">
        <f>_xlfn.IFS(Table1[[#This Row],[Age]]&lt;=25, "Below 25", Table1[[#This Row],[Age]]&lt;=35, "Between 25-35", Table1[[#This Row],[Age]]&lt;=45, "Between 36-45", Table1[[#This Row],[Age]]&gt;45, "45+")</f>
        <v>Between 25-35</v>
      </c>
    </row>
    <row r="172" spans="1:21" x14ac:dyDescent="0.3">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c r="T172">
        <f>IF(Table1[[#This Row],[Discount_Applied]]="Yes", 1,0)</f>
        <v>1</v>
      </c>
      <c r="U172" t="str">
        <f>_xlfn.IFS(Table1[[#This Row],[Age]]&lt;=25, "Below 25", Table1[[#This Row],[Age]]&lt;=35, "Between 25-35", Table1[[#This Row],[Age]]&lt;=45, "Between 36-45", Table1[[#This Row],[Age]]&gt;45, "45+")</f>
        <v>45+</v>
      </c>
    </row>
    <row r="173" spans="1:21" x14ac:dyDescent="0.3">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c r="T173">
        <f>IF(Table1[[#This Row],[Discount_Applied]]="Yes", 1,0)</f>
        <v>1</v>
      </c>
      <c r="U173" t="str">
        <f>_xlfn.IFS(Table1[[#This Row],[Age]]&lt;=25, "Below 25", Table1[[#This Row],[Age]]&lt;=35, "Between 25-35", Table1[[#This Row],[Age]]&lt;=45, "Between 36-45", Table1[[#This Row],[Age]]&gt;45, "45+")</f>
        <v>Between 25-35</v>
      </c>
    </row>
    <row r="174" spans="1:21" x14ac:dyDescent="0.3">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c r="T174">
        <f>IF(Table1[[#This Row],[Discount_Applied]]="Yes", 1,0)</f>
        <v>1</v>
      </c>
      <c r="U174" t="str">
        <f>_xlfn.IFS(Table1[[#This Row],[Age]]&lt;=25, "Below 25", Table1[[#This Row],[Age]]&lt;=35, "Between 25-35", Table1[[#This Row],[Age]]&lt;=45, "Between 36-45", Table1[[#This Row],[Age]]&gt;45, "45+")</f>
        <v>45+</v>
      </c>
    </row>
    <row r="175" spans="1:21" x14ac:dyDescent="0.3">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c r="T175">
        <f>IF(Table1[[#This Row],[Discount_Applied]]="Yes", 1,0)</f>
        <v>1</v>
      </c>
      <c r="U175" t="str">
        <f>_xlfn.IFS(Table1[[#This Row],[Age]]&lt;=25, "Below 25", Table1[[#This Row],[Age]]&lt;=35, "Between 25-35", Table1[[#This Row],[Age]]&lt;=45, "Between 36-45", Table1[[#This Row],[Age]]&gt;45, "45+")</f>
        <v>Below 25</v>
      </c>
    </row>
    <row r="176" spans="1:21" x14ac:dyDescent="0.3">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c r="T176">
        <f>IF(Table1[[#This Row],[Discount_Applied]]="Yes", 1,0)</f>
        <v>1</v>
      </c>
      <c r="U176" t="str">
        <f>_xlfn.IFS(Table1[[#This Row],[Age]]&lt;=25, "Below 25", Table1[[#This Row],[Age]]&lt;=35, "Between 25-35", Table1[[#This Row],[Age]]&lt;=45, "Between 36-45", Table1[[#This Row],[Age]]&gt;45, "45+")</f>
        <v>Between 36-45</v>
      </c>
    </row>
    <row r="177" spans="1:21" x14ac:dyDescent="0.3">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c r="T177">
        <f>IF(Table1[[#This Row],[Discount_Applied]]="Yes", 1,0)</f>
        <v>1</v>
      </c>
      <c r="U177" t="str">
        <f>_xlfn.IFS(Table1[[#This Row],[Age]]&lt;=25, "Below 25", Table1[[#This Row],[Age]]&lt;=35, "Between 25-35", Table1[[#This Row],[Age]]&lt;=45, "Between 36-45", Table1[[#This Row],[Age]]&gt;45, "45+")</f>
        <v>45+</v>
      </c>
    </row>
    <row r="178" spans="1:21" x14ac:dyDescent="0.3">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c r="T178">
        <f>IF(Table1[[#This Row],[Discount_Applied]]="Yes", 1,0)</f>
        <v>1</v>
      </c>
      <c r="U178" t="str">
        <f>_xlfn.IFS(Table1[[#This Row],[Age]]&lt;=25, "Below 25", Table1[[#This Row],[Age]]&lt;=35, "Between 25-35", Table1[[#This Row],[Age]]&lt;=45, "Between 36-45", Table1[[#This Row],[Age]]&gt;45, "45+")</f>
        <v>45+</v>
      </c>
    </row>
    <row r="179" spans="1:21" x14ac:dyDescent="0.3">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c r="T179">
        <f>IF(Table1[[#This Row],[Discount_Applied]]="Yes", 1,0)</f>
        <v>1</v>
      </c>
      <c r="U179" t="str">
        <f>_xlfn.IFS(Table1[[#This Row],[Age]]&lt;=25, "Below 25", Table1[[#This Row],[Age]]&lt;=35, "Between 25-35", Table1[[#This Row],[Age]]&lt;=45, "Between 36-45", Table1[[#This Row],[Age]]&gt;45, "45+")</f>
        <v>Below 25</v>
      </c>
    </row>
    <row r="180" spans="1:21" x14ac:dyDescent="0.3">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c r="T180">
        <f>IF(Table1[[#This Row],[Discount_Applied]]="Yes", 1,0)</f>
        <v>1</v>
      </c>
      <c r="U180" t="str">
        <f>_xlfn.IFS(Table1[[#This Row],[Age]]&lt;=25, "Below 25", Table1[[#This Row],[Age]]&lt;=35, "Between 25-35", Table1[[#This Row],[Age]]&lt;=45, "Between 36-45", Table1[[#This Row],[Age]]&gt;45, "45+")</f>
        <v>45+</v>
      </c>
    </row>
    <row r="181" spans="1:21" x14ac:dyDescent="0.3">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c r="T181">
        <f>IF(Table1[[#This Row],[Discount_Applied]]="Yes", 1,0)</f>
        <v>1</v>
      </c>
      <c r="U181" t="str">
        <f>_xlfn.IFS(Table1[[#This Row],[Age]]&lt;=25, "Below 25", Table1[[#This Row],[Age]]&lt;=35, "Between 25-35", Table1[[#This Row],[Age]]&lt;=45, "Between 36-45", Table1[[#This Row],[Age]]&gt;45, "45+")</f>
        <v>45+</v>
      </c>
    </row>
    <row r="182" spans="1:21" x14ac:dyDescent="0.3">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c r="T182">
        <f>IF(Table1[[#This Row],[Discount_Applied]]="Yes", 1,0)</f>
        <v>1</v>
      </c>
      <c r="U182" t="str">
        <f>_xlfn.IFS(Table1[[#This Row],[Age]]&lt;=25, "Below 25", Table1[[#This Row],[Age]]&lt;=35, "Between 25-35", Table1[[#This Row],[Age]]&lt;=45, "Between 36-45", Table1[[#This Row],[Age]]&gt;45, "45+")</f>
        <v>45+</v>
      </c>
    </row>
    <row r="183" spans="1:21" x14ac:dyDescent="0.3">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c r="T183">
        <f>IF(Table1[[#This Row],[Discount_Applied]]="Yes", 1,0)</f>
        <v>1</v>
      </c>
      <c r="U183" t="str">
        <f>_xlfn.IFS(Table1[[#This Row],[Age]]&lt;=25, "Below 25", Table1[[#This Row],[Age]]&lt;=35, "Between 25-35", Table1[[#This Row],[Age]]&lt;=45, "Between 36-45", Table1[[#This Row],[Age]]&gt;45, "45+")</f>
        <v>Between 25-35</v>
      </c>
    </row>
    <row r="184" spans="1:21" x14ac:dyDescent="0.3">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c r="T184">
        <f>IF(Table1[[#This Row],[Discount_Applied]]="Yes", 1,0)</f>
        <v>1</v>
      </c>
      <c r="U184" t="str">
        <f>_xlfn.IFS(Table1[[#This Row],[Age]]&lt;=25, "Below 25", Table1[[#This Row],[Age]]&lt;=35, "Between 25-35", Table1[[#This Row],[Age]]&lt;=45, "Between 36-45", Table1[[#This Row],[Age]]&gt;45, "45+")</f>
        <v>Between 36-45</v>
      </c>
    </row>
    <row r="185" spans="1:21" x14ac:dyDescent="0.3">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c r="T185">
        <f>IF(Table1[[#This Row],[Discount_Applied]]="Yes", 1,0)</f>
        <v>1</v>
      </c>
      <c r="U185" t="str">
        <f>_xlfn.IFS(Table1[[#This Row],[Age]]&lt;=25, "Below 25", Table1[[#This Row],[Age]]&lt;=35, "Between 25-35", Table1[[#This Row],[Age]]&lt;=45, "Between 36-45", Table1[[#This Row],[Age]]&gt;45, "45+")</f>
        <v>45+</v>
      </c>
    </row>
    <row r="186" spans="1:21" x14ac:dyDescent="0.3">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c r="T186">
        <f>IF(Table1[[#This Row],[Discount_Applied]]="Yes", 1,0)</f>
        <v>1</v>
      </c>
      <c r="U186" t="str">
        <f>_xlfn.IFS(Table1[[#This Row],[Age]]&lt;=25, "Below 25", Table1[[#This Row],[Age]]&lt;=35, "Between 25-35", Table1[[#This Row],[Age]]&lt;=45, "Between 36-45", Table1[[#This Row],[Age]]&gt;45, "45+")</f>
        <v>Between 25-35</v>
      </c>
    </row>
    <row r="187" spans="1:21" x14ac:dyDescent="0.3">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c r="T187">
        <f>IF(Table1[[#This Row],[Discount_Applied]]="Yes", 1,0)</f>
        <v>1</v>
      </c>
      <c r="U187" t="str">
        <f>_xlfn.IFS(Table1[[#This Row],[Age]]&lt;=25, "Below 25", Table1[[#This Row],[Age]]&lt;=35, "Between 25-35", Table1[[#This Row],[Age]]&lt;=45, "Between 36-45", Table1[[#This Row],[Age]]&gt;45, "45+")</f>
        <v>45+</v>
      </c>
    </row>
    <row r="188" spans="1:21" x14ac:dyDescent="0.3">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c r="T188">
        <f>IF(Table1[[#This Row],[Discount_Applied]]="Yes", 1,0)</f>
        <v>1</v>
      </c>
      <c r="U188" t="str">
        <f>_xlfn.IFS(Table1[[#This Row],[Age]]&lt;=25, "Below 25", Table1[[#This Row],[Age]]&lt;=35, "Between 25-35", Table1[[#This Row],[Age]]&lt;=45, "Between 36-45", Table1[[#This Row],[Age]]&gt;45, "45+")</f>
        <v>Between 36-45</v>
      </c>
    </row>
    <row r="189" spans="1:21" x14ac:dyDescent="0.3">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c r="T189">
        <f>IF(Table1[[#This Row],[Discount_Applied]]="Yes", 1,0)</f>
        <v>1</v>
      </c>
      <c r="U189" t="str">
        <f>_xlfn.IFS(Table1[[#This Row],[Age]]&lt;=25, "Below 25", Table1[[#This Row],[Age]]&lt;=35, "Between 25-35", Table1[[#This Row],[Age]]&lt;=45, "Between 36-45", Table1[[#This Row],[Age]]&gt;45, "45+")</f>
        <v>Below 25</v>
      </c>
    </row>
    <row r="190" spans="1:21" x14ac:dyDescent="0.3">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c r="T190">
        <f>IF(Table1[[#This Row],[Discount_Applied]]="Yes", 1,0)</f>
        <v>1</v>
      </c>
      <c r="U190" t="str">
        <f>_xlfn.IFS(Table1[[#This Row],[Age]]&lt;=25, "Below 25", Table1[[#This Row],[Age]]&lt;=35, "Between 25-35", Table1[[#This Row],[Age]]&lt;=45, "Between 36-45", Table1[[#This Row],[Age]]&gt;45, "45+")</f>
        <v>45+</v>
      </c>
    </row>
    <row r="191" spans="1:21" x14ac:dyDescent="0.3">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c r="T191">
        <f>IF(Table1[[#This Row],[Discount_Applied]]="Yes", 1,0)</f>
        <v>1</v>
      </c>
      <c r="U191" t="str">
        <f>_xlfn.IFS(Table1[[#This Row],[Age]]&lt;=25, "Below 25", Table1[[#This Row],[Age]]&lt;=35, "Between 25-35", Table1[[#This Row],[Age]]&lt;=45, "Between 36-45", Table1[[#This Row],[Age]]&gt;45, "45+")</f>
        <v>Between 36-45</v>
      </c>
    </row>
    <row r="192" spans="1:21" x14ac:dyDescent="0.3">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c r="T192">
        <f>IF(Table1[[#This Row],[Discount_Applied]]="Yes", 1,0)</f>
        <v>1</v>
      </c>
      <c r="U192" t="str">
        <f>_xlfn.IFS(Table1[[#This Row],[Age]]&lt;=25, "Below 25", Table1[[#This Row],[Age]]&lt;=35, "Between 25-35", Table1[[#This Row],[Age]]&lt;=45, "Between 36-45", Table1[[#This Row],[Age]]&gt;45, "45+")</f>
        <v>45+</v>
      </c>
    </row>
    <row r="193" spans="1:21" x14ac:dyDescent="0.3">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c r="T193">
        <f>IF(Table1[[#This Row],[Discount_Applied]]="Yes", 1,0)</f>
        <v>1</v>
      </c>
      <c r="U193" t="str">
        <f>_xlfn.IFS(Table1[[#This Row],[Age]]&lt;=25, "Below 25", Table1[[#This Row],[Age]]&lt;=35, "Between 25-35", Table1[[#This Row],[Age]]&lt;=45, "Between 36-45", Table1[[#This Row],[Age]]&gt;45, "45+")</f>
        <v>45+</v>
      </c>
    </row>
    <row r="194" spans="1:21" x14ac:dyDescent="0.3">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c r="T194">
        <f>IF(Table1[[#This Row],[Discount_Applied]]="Yes", 1,0)</f>
        <v>1</v>
      </c>
      <c r="U194" t="str">
        <f>_xlfn.IFS(Table1[[#This Row],[Age]]&lt;=25, "Below 25", Table1[[#This Row],[Age]]&lt;=35, "Between 25-35", Table1[[#This Row],[Age]]&lt;=45, "Between 36-45", Table1[[#This Row],[Age]]&gt;45, "45+")</f>
        <v>45+</v>
      </c>
    </row>
    <row r="195" spans="1:21" x14ac:dyDescent="0.3">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c r="T195">
        <f>IF(Table1[[#This Row],[Discount_Applied]]="Yes", 1,0)</f>
        <v>1</v>
      </c>
      <c r="U195" t="str">
        <f>_xlfn.IFS(Table1[[#This Row],[Age]]&lt;=25, "Below 25", Table1[[#This Row],[Age]]&lt;=35, "Between 25-35", Table1[[#This Row],[Age]]&lt;=45, "Between 36-45", Table1[[#This Row],[Age]]&gt;45, "45+")</f>
        <v>Between 36-45</v>
      </c>
    </row>
    <row r="196" spans="1:21" x14ac:dyDescent="0.3">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c r="T196">
        <f>IF(Table1[[#This Row],[Discount_Applied]]="Yes", 1,0)</f>
        <v>1</v>
      </c>
      <c r="U196" t="str">
        <f>_xlfn.IFS(Table1[[#This Row],[Age]]&lt;=25, "Below 25", Table1[[#This Row],[Age]]&lt;=35, "Between 25-35", Table1[[#This Row],[Age]]&lt;=45, "Between 36-45", Table1[[#This Row],[Age]]&gt;45, "45+")</f>
        <v>45+</v>
      </c>
    </row>
    <row r="197" spans="1:21" x14ac:dyDescent="0.3">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c r="T197">
        <f>IF(Table1[[#This Row],[Discount_Applied]]="Yes", 1,0)</f>
        <v>1</v>
      </c>
      <c r="U197" t="str">
        <f>_xlfn.IFS(Table1[[#This Row],[Age]]&lt;=25, "Below 25", Table1[[#This Row],[Age]]&lt;=35, "Between 25-35", Table1[[#This Row],[Age]]&lt;=45, "Between 36-45", Table1[[#This Row],[Age]]&gt;45, "45+")</f>
        <v>45+</v>
      </c>
    </row>
    <row r="198" spans="1:21" x14ac:dyDescent="0.3">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c r="T198">
        <f>IF(Table1[[#This Row],[Discount_Applied]]="Yes", 1,0)</f>
        <v>1</v>
      </c>
      <c r="U198" t="str">
        <f>_xlfn.IFS(Table1[[#This Row],[Age]]&lt;=25, "Below 25", Table1[[#This Row],[Age]]&lt;=35, "Between 25-35", Table1[[#This Row],[Age]]&lt;=45, "Between 36-45", Table1[[#This Row],[Age]]&gt;45, "45+")</f>
        <v>Between 36-45</v>
      </c>
    </row>
    <row r="199" spans="1:21" x14ac:dyDescent="0.3">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c r="T199">
        <f>IF(Table1[[#This Row],[Discount_Applied]]="Yes", 1,0)</f>
        <v>1</v>
      </c>
      <c r="U199" t="str">
        <f>_xlfn.IFS(Table1[[#This Row],[Age]]&lt;=25, "Below 25", Table1[[#This Row],[Age]]&lt;=35, "Between 25-35", Table1[[#This Row],[Age]]&lt;=45, "Between 36-45", Table1[[#This Row],[Age]]&gt;45, "45+")</f>
        <v>45+</v>
      </c>
    </row>
    <row r="200" spans="1:21" x14ac:dyDescent="0.3">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c r="T200">
        <f>IF(Table1[[#This Row],[Discount_Applied]]="Yes", 1,0)</f>
        <v>1</v>
      </c>
      <c r="U200" t="str">
        <f>_xlfn.IFS(Table1[[#This Row],[Age]]&lt;=25, "Below 25", Table1[[#This Row],[Age]]&lt;=35, "Between 25-35", Table1[[#This Row],[Age]]&lt;=45, "Between 36-45", Table1[[#This Row],[Age]]&gt;45, "45+")</f>
        <v>45+</v>
      </c>
    </row>
    <row r="201" spans="1:21" x14ac:dyDescent="0.3">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c r="T201">
        <f>IF(Table1[[#This Row],[Discount_Applied]]="Yes", 1,0)</f>
        <v>1</v>
      </c>
      <c r="U201" t="str">
        <f>_xlfn.IFS(Table1[[#This Row],[Age]]&lt;=25, "Below 25", Table1[[#This Row],[Age]]&lt;=35, "Between 25-35", Table1[[#This Row],[Age]]&lt;=45, "Between 36-45", Table1[[#This Row],[Age]]&gt;45, "45+")</f>
        <v>45+</v>
      </c>
    </row>
    <row r="202" spans="1:21" x14ac:dyDescent="0.3">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c r="T202">
        <f>IF(Table1[[#This Row],[Discount_Applied]]="Yes", 1,0)</f>
        <v>1</v>
      </c>
      <c r="U202" t="str">
        <f>_xlfn.IFS(Table1[[#This Row],[Age]]&lt;=25, "Below 25", Table1[[#This Row],[Age]]&lt;=35, "Between 25-35", Table1[[#This Row],[Age]]&lt;=45, "Between 36-45", Table1[[#This Row],[Age]]&gt;45, "45+")</f>
        <v>Below 25</v>
      </c>
    </row>
    <row r="203" spans="1:21" x14ac:dyDescent="0.3">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c r="T203">
        <f>IF(Table1[[#This Row],[Discount_Applied]]="Yes", 1,0)</f>
        <v>1</v>
      </c>
      <c r="U203" t="str">
        <f>_xlfn.IFS(Table1[[#This Row],[Age]]&lt;=25, "Below 25", Table1[[#This Row],[Age]]&lt;=35, "Between 25-35", Table1[[#This Row],[Age]]&lt;=45, "Between 36-45", Table1[[#This Row],[Age]]&gt;45, "45+")</f>
        <v>45+</v>
      </c>
    </row>
    <row r="204" spans="1:21" x14ac:dyDescent="0.3">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c r="T204">
        <f>IF(Table1[[#This Row],[Discount_Applied]]="Yes", 1,0)</f>
        <v>1</v>
      </c>
      <c r="U204" t="str">
        <f>_xlfn.IFS(Table1[[#This Row],[Age]]&lt;=25, "Below 25", Table1[[#This Row],[Age]]&lt;=35, "Between 25-35", Table1[[#This Row],[Age]]&lt;=45, "Between 36-45", Table1[[#This Row],[Age]]&gt;45, "45+")</f>
        <v>45+</v>
      </c>
    </row>
    <row r="205" spans="1:21" x14ac:dyDescent="0.3">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c r="T205">
        <f>IF(Table1[[#This Row],[Discount_Applied]]="Yes", 1,0)</f>
        <v>1</v>
      </c>
      <c r="U205" t="str">
        <f>_xlfn.IFS(Table1[[#This Row],[Age]]&lt;=25, "Below 25", Table1[[#This Row],[Age]]&lt;=35, "Between 25-35", Table1[[#This Row],[Age]]&lt;=45, "Between 36-45", Table1[[#This Row],[Age]]&gt;45, "45+")</f>
        <v>45+</v>
      </c>
    </row>
    <row r="206" spans="1:21" x14ac:dyDescent="0.3">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c r="T206">
        <f>IF(Table1[[#This Row],[Discount_Applied]]="Yes", 1,0)</f>
        <v>1</v>
      </c>
      <c r="U206" t="str">
        <f>_xlfn.IFS(Table1[[#This Row],[Age]]&lt;=25, "Below 25", Table1[[#This Row],[Age]]&lt;=35, "Between 25-35", Table1[[#This Row],[Age]]&lt;=45, "Between 36-45", Table1[[#This Row],[Age]]&gt;45, "45+")</f>
        <v>Below 25</v>
      </c>
    </row>
    <row r="207" spans="1:21" x14ac:dyDescent="0.3">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c r="T207">
        <f>IF(Table1[[#This Row],[Discount_Applied]]="Yes", 1,0)</f>
        <v>1</v>
      </c>
      <c r="U207" t="str">
        <f>_xlfn.IFS(Table1[[#This Row],[Age]]&lt;=25, "Below 25", Table1[[#This Row],[Age]]&lt;=35, "Between 25-35", Table1[[#This Row],[Age]]&lt;=45, "Between 36-45", Table1[[#This Row],[Age]]&gt;45, "45+")</f>
        <v>45+</v>
      </c>
    </row>
    <row r="208" spans="1:21" x14ac:dyDescent="0.3">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c r="T208">
        <f>IF(Table1[[#This Row],[Discount_Applied]]="Yes", 1,0)</f>
        <v>1</v>
      </c>
      <c r="U208" t="str">
        <f>_xlfn.IFS(Table1[[#This Row],[Age]]&lt;=25, "Below 25", Table1[[#This Row],[Age]]&lt;=35, "Between 25-35", Table1[[#This Row],[Age]]&lt;=45, "Between 36-45", Table1[[#This Row],[Age]]&gt;45, "45+")</f>
        <v>Below 25</v>
      </c>
    </row>
    <row r="209" spans="1:21" x14ac:dyDescent="0.3">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c r="T209">
        <f>IF(Table1[[#This Row],[Discount_Applied]]="Yes", 1,0)</f>
        <v>1</v>
      </c>
      <c r="U209" t="str">
        <f>_xlfn.IFS(Table1[[#This Row],[Age]]&lt;=25, "Below 25", Table1[[#This Row],[Age]]&lt;=35, "Between 25-35", Table1[[#This Row],[Age]]&lt;=45, "Between 36-45", Table1[[#This Row],[Age]]&gt;45, "45+")</f>
        <v>45+</v>
      </c>
    </row>
    <row r="210" spans="1:21" x14ac:dyDescent="0.3">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c r="T210">
        <f>IF(Table1[[#This Row],[Discount_Applied]]="Yes", 1,0)</f>
        <v>1</v>
      </c>
      <c r="U210" t="str">
        <f>_xlfn.IFS(Table1[[#This Row],[Age]]&lt;=25, "Below 25", Table1[[#This Row],[Age]]&lt;=35, "Between 25-35", Table1[[#This Row],[Age]]&lt;=45, "Between 36-45", Table1[[#This Row],[Age]]&gt;45, "45+")</f>
        <v>45+</v>
      </c>
    </row>
    <row r="211" spans="1:21" x14ac:dyDescent="0.3">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c r="T211">
        <f>IF(Table1[[#This Row],[Discount_Applied]]="Yes", 1,0)</f>
        <v>1</v>
      </c>
      <c r="U211" t="str">
        <f>_xlfn.IFS(Table1[[#This Row],[Age]]&lt;=25, "Below 25", Table1[[#This Row],[Age]]&lt;=35, "Between 25-35", Table1[[#This Row],[Age]]&lt;=45, "Between 36-45", Table1[[#This Row],[Age]]&gt;45, "45+")</f>
        <v>45+</v>
      </c>
    </row>
    <row r="212" spans="1:21" x14ac:dyDescent="0.3">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c r="T212">
        <f>IF(Table1[[#This Row],[Discount_Applied]]="Yes", 1,0)</f>
        <v>1</v>
      </c>
      <c r="U212" t="str">
        <f>_xlfn.IFS(Table1[[#This Row],[Age]]&lt;=25, "Below 25", Table1[[#This Row],[Age]]&lt;=35, "Between 25-35", Table1[[#This Row],[Age]]&lt;=45, "Between 36-45", Table1[[#This Row],[Age]]&gt;45, "45+")</f>
        <v>Between 36-45</v>
      </c>
    </row>
    <row r="213" spans="1:21" x14ac:dyDescent="0.3">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c r="T213">
        <f>IF(Table1[[#This Row],[Discount_Applied]]="Yes", 1,0)</f>
        <v>1</v>
      </c>
      <c r="U213" t="str">
        <f>_xlfn.IFS(Table1[[#This Row],[Age]]&lt;=25, "Below 25", Table1[[#This Row],[Age]]&lt;=35, "Between 25-35", Table1[[#This Row],[Age]]&lt;=45, "Between 36-45", Table1[[#This Row],[Age]]&gt;45, "45+")</f>
        <v>45+</v>
      </c>
    </row>
    <row r="214" spans="1:21" x14ac:dyDescent="0.3">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c r="T214">
        <f>IF(Table1[[#This Row],[Discount_Applied]]="Yes", 1,0)</f>
        <v>1</v>
      </c>
      <c r="U214" t="str">
        <f>_xlfn.IFS(Table1[[#This Row],[Age]]&lt;=25, "Below 25", Table1[[#This Row],[Age]]&lt;=35, "Between 25-35", Table1[[#This Row],[Age]]&lt;=45, "Between 36-45", Table1[[#This Row],[Age]]&gt;45, "45+")</f>
        <v>45+</v>
      </c>
    </row>
    <row r="215" spans="1:21" x14ac:dyDescent="0.3">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c r="T215">
        <f>IF(Table1[[#This Row],[Discount_Applied]]="Yes", 1,0)</f>
        <v>1</v>
      </c>
      <c r="U215" t="str">
        <f>_xlfn.IFS(Table1[[#This Row],[Age]]&lt;=25, "Below 25", Table1[[#This Row],[Age]]&lt;=35, "Between 25-35", Table1[[#This Row],[Age]]&lt;=45, "Between 36-45", Table1[[#This Row],[Age]]&gt;45, "45+")</f>
        <v>Between 25-35</v>
      </c>
    </row>
    <row r="216" spans="1:21" x14ac:dyDescent="0.3">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c r="T216">
        <f>IF(Table1[[#This Row],[Discount_Applied]]="Yes", 1,0)</f>
        <v>1</v>
      </c>
      <c r="U216" t="str">
        <f>_xlfn.IFS(Table1[[#This Row],[Age]]&lt;=25, "Below 25", Table1[[#This Row],[Age]]&lt;=35, "Between 25-35", Table1[[#This Row],[Age]]&lt;=45, "Between 36-45", Table1[[#This Row],[Age]]&gt;45, "45+")</f>
        <v>Below 25</v>
      </c>
    </row>
    <row r="217" spans="1:21" x14ac:dyDescent="0.3">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c r="T217">
        <f>IF(Table1[[#This Row],[Discount_Applied]]="Yes", 1,0)</f>
        <v>1</v>
      </c>
      <c r="U217" t="str">
        <f>_xlfn.IFS(Table1[[#This Row],[Age]]&lt;=25, "Below 25", Table1[[#This Row],[Age]]&lt;=35, "Between 25-35", Table1[[#This Row],[Age]]&lt;=45, "Between 36-45", Table1[[#This Row],[Age]]&gt;45, "45+")</f>
        <v>45+</v>
      </c>
    </row>
    <row r="218" spans="1:21" x14ac:dyDescent="0.3">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c r="T218">
        <f>IF(Table1[[#This Row],[Discount_Applied]]="Yes", 1,0)</f>
        <v>1</v>
      </c>
      <c r="U218" t="str">
        <f>_xlfn.IFS(Table1[[#This Row],[Age]]&lt;=25, "Below 25", Table1[[#This Row],[Age]]&lt;=35, "Between 25-35", Table1[[#This Row],[Age]]&lt;=45, "Between 36-45", Table1[[#This Row],[Age]]&gt;45, "45+")</f>
        <v>Between 36-45</v>
      </c>
    </row>
    <row r="219" spans="1:21" x14ac:dyDescent="0.3">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c r="T219">
        <f>IF(Table1[[#This Row],[Discount_Applied]]="Yes", 1,0)</f>
        <v>1</v>
      </c>
      <c r="U219" t="str">
        <f>_xlfn.IFS(Table1[[#This Row],[Age]]&lt;=25, "Below 25", Table1[[#This Row],[Age]]&lt;=35, "Between 25-35", Table1[[#This Row],[Age]]&lt;=45, "Between 36-45", Table1[[#This Row],[Age]]&gt;45, "45+")</f>
        <v>Between 25-35</v>
      </c>
    </row>
    <row r="220" spans="1:21" x14ac:dyDescent="0.3">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c r="T220">
        <f>IF(Table1[[#This Row],[Discount_Applied]]="Yes", 1,0)</f>
        <v>1</v>
      </c>
      <c r="U220" t="str">
        <f>_xlfn.IFS(Table1[[#This Row],[Age]]&lt;=25, "Below 25", Table1[[#This Row],[Age]]&lt;=35, "Between 25-35", Table1[[#This Row],[Age]]&lt;=45, "Between 36-45", Table1[[#This Row],[Age]]&gt;45, "45+")</f>
        <v>Between 25-35</v>
      </c>
    </row>
    <row r="221" spans="1:21" x14ac:dyDescent="0.3">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c r="T221">
        <f>IF(Table1[[#This Row],[Discount_Applied]]="Yes", 1,0)</f>
        <v>1</v>
      </c>
      <c r="U221" t="str">
        <f>_xlfn.IFS(Table1[[#This Row],[Age]]&lt;=25, "Below 25", Table1[[#This Row],[Age]]&lt;=35, "Between 25-35", Table1[[#This Row],[Age]]&lt;=45, "Between 36-45", Table1[[#This Row],[Age]]&gt;45, "45+")</f>
        <v>Between 25-35</v>
      </c>
    </row>
    <row r="222" spans="1:21" x14ac:dyDescent="0.3">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c r="T222">
        <f>IF(Table1[[#This Row],[Discount_Applied]]="Yes", 1,0)</f>
        <v>1</v>
      </c>
      <c r="U222" t="str">
        <f>_xlfn.IFS(Table1[[#This Row],[Age]]&lt;=25, "Below 25", Table1[[#This Row],[Age]]&lt;=35, "Between 25-35", Table1[[#This Row],[Age]]&lt;=45, "Between 36-45", Table1[[#This Row],[Age]]&gt;45, "45+")</f>
        <v>Between 36-45</v>
      </c>
    </row>
    <row r="223" spans="1:21" x14ac:dyDescent="0.3">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c r="T223">
        <f>IF(Table1[[#This Row],[Discount_Applied]]="Yes", 1,0)</f>
        <v>1</v>
      </c>
      <c r="U223" t="str">
        <f>_xlfn.IFS(Table1[[#This Row],[Age]]&lt;=25, "Below 25", Table1[[#This Row],[Age]]&lt;=35, "Between 25-35", Table1[[#This Row],[Age]]&lt;=45, "Between 36-45", Table1[[#This Row],[Age]]&gt;45, "45+")</f>
        <v>Between 25-35</v>
      </c>
    </row>
    <row r="224" spans="1:21" x14ac:dyDescent="0.3">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c r="T224">
        <f>IF(Table1[[#This Row],[Discount_Applied]]="Yes", 1,0)</f>
        <v>1</v>
      </c>
      <c r="U224" t="str">
        <f>_xlfn.IFS(Table1[[#This Row],[Age]]&lt;=25, "Below 25", Table1[[#This Row],[Age]]&lt;=35, "Between 25-35", Table1[[#This Row],[Age]]&lt;=45, "Between 36-45", Table1[[#This Row],[Age]]&gt;45, "45+")</f>
        <v>45+</v>
      </c>
    </row>
    <row r="225" spans="1:21" x14ac:dyDescent="0.3">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c r="T225">
        <f>IF(Table1[[#This Row],[Discount_Applied]]="Yes", 1,0)</f>
        <v>1</v>
      </c>
      <c r="U225" t="str">
        <f>_xlfn.IFS(Table1[[#This Row],[Age]]&lt;=25, "Below 25", Table1[[#This Row],[Age]]&lt;=35, "Between 25-35", Table1[[#This Row],[Age]]&lt;=45, "Between 36-45", Table1[[#This Row],[Age]]&gt;45, "45+")</f>
        <v>Below 25</v>
      </c>
    </row>
    <row r="226" spans="1:21" x14ac:dyDescent="0.3">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c r="T226">
        <f>IF(Table1[[#This Row],[Discount_Applied]]="Yes", 1,0)</f>
        <v>1</v>
      </c>
      <c r="U226" t="str">
        <f>_xlfn.IFS(Table1[[#This Row],[Age]]&lt;=25, "Below 25", Table1[[#This Row],[Age]]&lt;=35, "Between 25-35", Table1[[#This Row],[Age]]&lt;=45, "Between 36-45", Table1[[#This Row],[Age]]&gt;45, "45+")</f>
        <v>45+</v>
      </c>
    </row>
    <row r="227" spans="1:21" x14ac:dyDescent="0.3">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c r="T227">
        <f>IF(Table1[[#This Row],[Discount_Applied]]="Yes", 1,0)</f>
        <v>1</v>
      </c>
      <c r="U227" t="str">
        <f>_xlfn.IFS(Table1[[#This Row],[Age]]&lt;=25, "Below 25", Table1[[#This Row],[Age]]&lt;=35, "Between 25-35", Table1[[#This Row],[Age]]&lt;=45, "Between 36-45", Table1[[#This Row],[Age]]&gt;45, "45+")</f>
        <v>Below 25</v>
      </c>
    </row>
    <row r="228" spans="1:21" x14ac:dyDescent="0.3">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c r="T228">
        <f>IF(Table1[[#This Row],[Discount_Applied]]="Yes", 1,0)</f>
        <v>1</v>
      </c>
      <c r="U228" t="str">
        <f>_xlfn.IFS(Table1[[#This Row],[Age]]&lt;=25, "Below 25", Table1[[#This Row],[Age]]&lt;=35, "Between 25-35", Table1[[#This Row],[Age]]&lt;=45, "Between 36-45", Table1[[#This Row],[Age]]&gt;45, "45+")</f>
        <v>Between 25-35</v>
      </c>
    </row>
    <row r="229" spans="1:21" x14ac:dyDescent="0.3">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c r="T229">
        <f>IF(Table1[[#This Row],[Discount_Applied]]="Yes", 1,0)</f>
        <v>1</v>
      </c>
      <c r="U229" t="str">
        <f>_xlfn.IFS(Table1[[#This Row],[Age]]&lt;=25, "Below 25", Table1[[#This Row],[Age]]&lt;=35, "Between 25-35", Table1[[#This Row],[Age]]&lt;=45, "Between 36-45", Table1[[#This Row],[Age]]&gt;45, "45+")</f>
        <v>45+</v>
      </c>
    </row>
    <row r="230" spans="1:21" x14ac:dyDescent="0.3">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c r="T230">
        <f>IF(Table1[[#This Row],[Discount_Applied]]="Yes", 1,0)</f>
        <v>1</v>
      </c>
      <c r="U230" t="str">
        <f>_xlfn.IFS(Table1[[#This Row],[Age]]&lt;=25, "Below 25", Table1[[#This Row],[Age]]&lt;=35, "Between 25-35", Table1[[#This Row],[Age]]&lt;=45, "Between 36-45", Table1[[#This Row],[Age]]&gt;45, "45+")</f>
        <v>Below 25</v>
      </c>
    </row>
    <row r="231" spans="1:21" x14ac:dyDescent="0.3">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c r="T231">
        <f>IF(Table1[[#This Row],[Discount_Applied]]="Yes", 1,0)</f>
        <v>1</v>
      </c>
      <c r="U231" t="str">
        <f>_xlfn.IFS(Table1[[#This Row],[Age]]&lt;=25, "Below 25", Table1[[#This Row],[Age]]&lt;=35, "Between 25-35", Table1[[#This Row],[Age]]&lt;=45, "Between 36-45", Table1[[#This Row],[Age]]&gt;45, "45+")</f>
        <v>45+</v>
      </c>
    </row>
    <row r="232" spans="1:21" x14ac:dyDescent="0.3">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c r="T232">
        <f>IF(Table1[[#This Row],[Discount_Applied]]="Yes", 1,0)</f>
        <v>1</v>
      </c>
      <c r="U232" t="str">
        <f>_xlfn.IFS(Table1[[#This Row],[Age]]&lt;=25, "Below 25", Table1[[#This Row],[Age]]&lt;=35, "Between 25-35", Table1[[#This Row],[Age]]&lt;=45, "Between 36-45", Table1[[#This Row],[Age]]&gt;45, "45+")</f>
        <v>45+</v>
      </c>
    </row>
    <row r="233" spans="1:21" x14ac:dyDescent="0.3">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c r="T233">
        <f>IF(Table1[[#This Row],[Discount_Applied]]="Yes", 1,0)</f>
        <v>1</v>
      </c>
      <c r="U233" t="str">
        <f>_xlfn.IFS(Table1[[#This Row],[Age]]&lt;=25, "Below 25", Table1[[#This Row],[Age]]&lt;=35, "Between 25-35", Table1[[#This Row],[Age]]&lt;=45, "Between 36-45", Table1[[#This Row],[Age]]&gt;45, "45+")</f>
        <v>Between 25-35</v>
      </c>
    </row>
    <row r="234" spans="1:21" x14ac:dyDescent="0.3">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c r="T234">
        <f>IF(Table1[[#This Row],[Discount_Applied]]="Yes", 1,0)</f>
        <v>1</v>
      </c>
      <c r="U234" t="str">
        <f>_xlfn.IFS(Table1[[#This Row],[Age]]&lt;=25, "Below 25", Table1[[#This Row],[Age]]&lt;=35, "Between 25-35", Table1[[#This Row],[Age]]&lt;=45, "Between 36-45", Table1[[#This Row],[Age]]&gt;45, "45+")</f>
        <v>45+</v>
      </c>
    </row>
    <row r="235" spans="1:21" x14ac:dyDescent="0.3">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c r="T235">
        <f>IF(Table1[[#This Row],[Discount_Applied]]="Yes", 1,0)</f>
        <v>1</v>
      </c>
      <c r="U235" t="str">
        <f>_xlfn.IFS(Table1[[#This Row],[Age]]&lt;=25, "Below 25", Table1[[#This Row],[Age]]&lt;=35, "Between 25-35", Table1[[#This Row],[Age]]&lt;=45, "Between 36-45", Table1[[#This Row],[Age]]&gt;45, "45+")</f>
        <v>Below 25</v>
      </c>
    </row>
    <row r="236" spans="1:21" x14ac:dyDescent="0.3">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c r="T236">
        <f>IF(Table1[[#This Row],[Discount_Applied]]="Yes", 1,0)</f>
        <v>1</v>
      </c>
      <c r="U236" t="str">
        <f>_xlfn.IFS(Table1[[#This Row],[Age]]&lt;=25, "Below 25", Table1[[#This Row],[Age]]&lt;=35, "Between 25-35", Table1[[#This Row],[Age]]&lt;=45, "Between 36-45", Table1[[#This Row],[Age]]&gt;45, "45+")</f>
        <v>Below 25</v>
      </c>
    </row>
    <row r="237" spans="1:21" x14ac:dyDescent="0.3">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c r="T237">
        <f>IF(Table1[[#This Row],[Discount_Applied]]="Yes", 1,0)</f>
        <v>1</v>
      </c>
      <c r="U237" t="str">
        <f>_xlfn.IFS(Table1[[#This Row],[Age]]&lt;=25, "Below 25", Table1[[#This Row],[Age]]&lt;=35, "Between 25-35", Table1[[#This Row],[Age]]&lt;=45, "Between 36-45", Table1[[#This Row],[Age]]&gt;45, "45+")</f>
        <v>Between 36-45</v>
      </c>
    </row>
    <row r="238" spans="1:21" x14ac:dyDescent="0.3">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c r="T238">
        <f>IF(Table1[[#This Row],[Discount_Applied]]="Yes", 1,0)</f>
        <v>1</v>
      </c>
      <c r="U238" t="str">
        <f>_xlfn.IFS(Table1[[#This Row],[Age]]&lt;=25, "Below 25", Table1[[#This Row],[Age]]&lt;=35, "Between 25-35", Table1[[#This Row],[Age]]&lt;=45, "Between 36-45", Table1[[#This Row],[Age]]&gt;45, "45+")</f>
        <v>Between 36-45</v>
      </c>
    </row>
    <row r="239" spans="1:21" x14ac:dyDescent="0.3">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c r="T239">
        <f>IF(Table1[[#This Row],[Discount_Applied]]="Yes", 1,0)</f>
        <v>1</v>
      </c>
      <c r="U239" t="str">
        <f>_xlfn.IFS(Table1[[#This Row],[Age]]&lt;=25, "Below 25", Table1[[#This Row],[Age]]&lt;=35, "Between 25-35", Table1[[#This Row],[Age]]&lt;=45, "Between 36-45", Table1[[#This Row],[Age]]&gt;45, "45+")</f>
        <v>45+</v>
      </c>
    </row>
    <row r="240" spans="1:21" x14ac:dyDescent="0.3">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c r="T240">
        <f>IF(Table1[[#This Row],[Discount_Applied]]="Yes", 1,0)</f>
        <v>1</v>
      </c>
      <c r="U240" t="str">
        <f>_xlfn.IFS(Table1[[#This Row],[Age]]&lt;=25, "Below 25", Table1[[#This Row],[Age]]&lt;=35, "Between 25-35", Table1[[#This Row],[Age]]&lt;=45, "Between 36-45", Table1[[#This Row],[Age]]&gt;45, "45+")</f>
        <v>45+</v>
      </c>
    </row>
    <row r="241" spans="1:21" x14ac:dyDescent="0.3">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c r="T241">
        <f>IF(Table1[[#This Row],[Discount_Applied]]="Yes", 1,0)</f>
        <v>1</v>
      </c>
      <c r="U241" t="str">
        <f>_xlfn.IFS(Table1[[#This Row],[Age]]&lt;=25, "Below 25", Table1[[#This Row],[Age]]&lt;=35, "Between 25-35", Table1[[#This Row],[Age]]&lt;=45, "Between 36-45", Table1[[#This Row],[Age]]&gt;45, "45+")</f>
        <v>45+</v>
      </c>
    </row>
    <row r="242" spans="1:21" x14ac:dyDescent="0.3">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c r="T242">
        <f>IF(Table1[[#This Row],[Discount_Applied]]="Yes", 1,0)</f>
        <v>1</v>
      </c>
      <c r="U242" t="str">
        <f>_xlfn.IFS(Table1[[#This Row],[Age]]&lt;=25, "Below 25", Table1[[#This Row],[Age]]&lt;=35, "Between 25-35", Table1[[#This Row],[Age]]&lt;=45, "Between 36-45", Table1[[#This Row],[Age]]&gt;45, "45+")</f>
        <v>45+</v>
      </c>
    </row>
    <row r="243" spans="1:21" x14ac:dyDescent="0.3">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c r="T243">
        <f>IF(Table1[[#This Row],[Discount_Applied]]="Yes", 1,0)</f>
        <v>1</v>
      </c>
      <c r="U243" t="str">
        <f>_xlfn.IFS(Table1[[#This Row],[Age]]&lt;=25, "Below 25", Table1[[#This Row],[Age]]&lt;=35, "Between 25-35", Table1[[#This Row],[Age]]&lt;=45, "Between 36-45", Table1[[#This Row],[Age]]&gt;45, "45+")</f>
        <v>Between 36-45</v>
      </c>
    </row>
    <row r="244" spans="1:21" x14ac:dyDescent="0.3">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c r="T244">
        <f>IF(Table1[[#This Row],[Discount_Applied]]="Yes", 1,0)</f>
        <v>1</v>
      </c>
      <c r="U244" t="str">
        <f>_xlfn.IFS(Table1[[#This Row],[Age]]&lt;=25, "Below 25", Table1[[#This Row],[Age]]&lt;=35, "Between 25-35", Table1[[#This Row],[Age]]&lt;=45, "Between 36-45", Table1[[#This Row],[Age]]&gt;45, "45+")</f>
        <v>45+</v>
      </c>
    </row>
    <row r="245" spans="1:21" x14ac:dyDescent="0.3">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c r="T245">
        <f>IF(Table1[[#This Row],[Discount_Applied]]="Yes", 1,0)</f>
        <v>1</v>
      </c>
      <c r="U245" t="str">
        <f>_xlfn.IFS(Table1[[#This Row],[Age]]&lt;=25, "Below 25", Table1[[#This Row],[Age]]&lt;=35, "Between 25-35", Table1[[#This Row],[Age]]&lt;=45, "Between 36-45", Table1[[#This Row],[Age]]&gt;45, "45+")</f>
        <v>Below 25</v>
      </c>
    </row>
    <row r="246" spans="1:21" x14ac:dyDescent="0.3">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c r="T246">
        <f>IF(Table1[[#This Row],[Discount_Applied]]="Yes", 1,0)</f>
        <v>1</v>
      </c>
      <c r="U246" t="str">
        <f>_xlfn.IFS(Table1[[#This Row],[Age]]&lt;=25, "Below 25", Table1[[#This Row],[Age]]&lt;=35, "Between 25-35", Table1[[#This Row],[Age]]&lt;=45, "Between 36-45", Table1[[#This Row],[Age]]&gt;45, "45+")</f>
        <v>45+</v>
      </c>
    </row>
    <row r="247" spans="1:21" x14ac:dyDescent="0.3">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c r="T247">
        <f>IF(Table1[[#This Row],[Discount_Applied]]="Yes", 1,0)</f>
        <v>1</v>
      </c>
      <c r="U247" t="str">
        <f>_xlfn.IFS(Table1[[#This Row],[Age]]&lt;=25, "Below 25", Table1[[#This Row],[Age]]&lt;=35, "Between 25-35", Table1[[#This Row],[Age]]&lt;=45, "Between 36-45", Table1[[#This Row],[Age]]&gt;45, "45+")</f>
        <v>45+</v>
      </c>
    </row>
    <row r="248" spans="1:21" x14ac:dyDescent="0.3">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c r="T248">
        <f>IF(Table1[[#This Row],[Discount_Applied]]="Yes", 1,0)</f>
        <v>1</v>
      </c>
      <c r="U248" t="str">
        <f>_xlfn.IFS(Table1[[#This Row],[Age]]&lt;=25, "Below 25", Table1[[#This Row],[Age]]&lt;=35, "Between 25-35", Table1[[#This Row],[Age]]&lt;=45, "Between 36-45", Table1[[#This Row],[Age]]&gt;45, "45+")</f>
        <v>Between 25-35</v>
      </c>
    </row>
    <row r="249" spans="1:21" x14ac:dyDescent="0.3">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c r="T249">
        <f>IF(Table1[[#This Row],[Discount_Applied]]="Yes", 1,0)</f>
        <v>1</v>
      </c>
      <c r="U249" t="str">
        <f>_xlfn.IFS(Table1[[#This Row],[Age]]&lt;=25, "Below 25", Table1[[#This Row],[Age]]&lt;=35, "Between 25-35", Table1[[#This Row],[Age]]&lt;=45, "Between 36-45", Table1[[#This Row],[Age]]&gt;45, "45+")</f>
        <v>Between 25-35</v>
      </c>
    </row>
    <row r="250" spans="1:21" x14ac:dyDescent="0.3">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c r="T250">
        <f>IF(Table1[[#This Row],[Discount_Applied]]="Yes", 1,0)</f>
        <v>1</v>
      </c>
      <c r="U250" t="str">
        <f>_xlfn.IFS(Table1[[#This Row],[Age]]&lt;=25, "Below 25", Table1[[#This Row],[Age]]&lt;=35, "Between 25-35", Table1[[#This Row],[Age]]&lt;=45, "Between 36-45", Table1[[#This Row],[Age]]&gt;45, "45+")</f>
        <v>45+</v>
      </c>
    </row>
    <row r="251" spans="1:21" x14ac:dyDescent="0.3">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c r="T251">
        <f>IF(Table1[[#This Row],[Discount_Applied]]="Yes", 1,0)</f>
        <v>1</v>
      </c>
      <c r="U251" t="str">
        <f>_xlfn.IFS(Table1[[#This Row],[Age]]&lt;=25, "Below 25", Table1[[#This Row],[Age]]&lt;=35, "Between 25-35", Table1[[#This Row],[Age]]&lt;=45, "Between 36-45", Table1[[#This Row],[Age]]&gt;45, "45+")</f>
        <v>45+</v>
      </c>
    </row>
    <row r="252" spans="1:21" x14ac:dyDescent="0.3">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c r="T252">
        <f>IF(Table1[[#This Row],[Discount_Applied]]="Yes", 1,0)</f>
        <v>1</v>
      </c>
      <c r="U252" t="str">
        <f>_xlfn.IFS(Table1[[#This Row],[Age]]&lt;=25, "Below 25", Table1[[#This Row],[Age]]&lt;=35, "Between 25-35", Table1[[#This Row],[Age]]&lt;=45, "Between 36-45", Table1[[#This Row],[Age]]&gt;45, "45+")</f>
        <v>Between 25-35</v>
      </c>
    </row>
    <row r="253" spans="1:21" x14ac:dyDescent="0.3">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c r="T253">
        <f>IF(Table1[[#This Row],[Discount_Applied]]="Yes", 1,0)</f>
        <v>1</v>
      </c>
      <c r="U253" t="str">
        <f>_xlfn.IFS(Table1[[#This Row],[Age]]&lt;=25, "Below 25", Table1[[#This Row],[Age]]&lt;=35, "Between 25-35", Table1[[#This Row],[Age]]&lt;=45, "Between 36-45", Table1[[#This Row],[Age]]&gt;45, "45+")</f>
        <v>Below 25</v>
      </c>
    </row>
    <row r="254" spans="1:21" x14ac:dyDescent="0.3">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c r="T254">
        <f>IF(Table1[[#This Row],[Discount_Applied]]="Yes", 1,0)</f>
        <v>1</v>
      </c>
      <c r="U254" t="str">
        <f>_xlfn.IFS(Table1[[#This Row],[Age]]&lt;=25, "Below 25", Table1[[#This Row],[Age]]&lt;=35, "Between 25-35", Table1[[#This Row],[Age]]&lt;=45, "Between 36-45", Table1[[#This Row],[Age]]&gt;45, "45+")</f>
        <v>Between 25-35</v>
      </c>
    </row>
    <row r="255" spans="1:21" x14ac:dyDescent="0.3">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c r="T255">
        <f>IF(Table1[[#This Row],[Discount_Applied]]="Yes", 1,0)</f>
        <v>1</v>
      </c>
      <c r="U255" t="str">
        <f>_xlfn.IFS(Table1[[#This Row],[Age]]&lt;=25, "Below 25", Table1[[#This Row],[Age]]&lt;=35, "Between 25-35", Table1[[#This Row],[Age]]&lt;=45, "Between 36-45", Table1[[#This Row],[Age]]&gt;45, "45+")</f>
        <v>45+</v>
      </c>
    </row>
    <row r="256" spans="1:21" x14ac:dyDescent="0.3">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c r="T256">
        <f>IF(Table1[[#This Row],[Discount_Applied]]="Yes", 1,0)</f>
        <v>1</v>
      </c>
      <c r="U256" t="str">
        <f>_xlfn.IFS(Table1[[#This Row],[Age]]&lt;=25, "Below 25", Table1[[#This Row],[Age]]&lt;=35, "Between 25-35", Table1[[#This Row],[Age]]&lt;=45, "Between 36-45", Table1[[#This Row],[Age]]&gt;45, "45+")</f>
        <v>45+</v>
      </c>
    </row>
    <row r="257" spans="1:21" x14ac:dyDescent="0.3">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c r="T257">
        <f>IF(Table1[[#This Row],[Discount_Applied]]="Yes", 1,0)</f>
        <v>1</v>
      </c>
      <c r="U257" t="str">
        <f>_xlfn.IFS(Table1[[#This Row],[Age]]&lt;=25, "Below 25", Table1[[#This Row],[Age]]&lt;=35, "Between 25-35", Table1[[#This Row],[Age]]&lt;=45, "Between 36-45", Table1[[#This Row],[Age]]&gt;45, "45+")</f>
        <v>Between 36-45</v>
      </c>
    </row>
    <row r="258" spans="1:21" x14ac:dyDescent="0.3">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c r="T258">
        <f>IF(Table1[[#This Row],[Discount_Applied]]="Yes", 1,0)</f>
        <v>1</v>
      </c>
      <c r="U258" t="str">
        <f>_xlfn.IFS(Table1[[#This Row],[Age]]&lt;=25, "Below 25", Table1[[#This Row],[Age]]&lt;=35, "Between 25-35", Table1[[#This Row],[Age]]&lt;=45, "Between 36-45", Table1[[#This Row],[Age]]&gt;45, "45+")</f>
        <v>45+</v>
      </c>
    </row>
    <row r="259" spans="1:21" x14ac:dyDescent="0.3">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c r="T259">
        <f>IF(Table1[[#This Row],[Discount_Applied]]="Yes", 1,0)</f>
        <v>1</v>
      </c>
      <c r="U259" t="str">
        <f>_xlfn.IFS(Table1[[#This Row],[Age]]&lt;=25, "Below 25", Table1[[#This Row],[Age]]&lt;=35, "Between 25-35", Table1[[#This Row],[Age]]&lt;=45, "Between 36-45", Table1[[#This Row],[Age]]&gt;45, "45+")</f>
        <v>Below 25</v>
      </c>
    </row>
    <row r="260" spans="1:21" x14ac:dyDescent="0.3">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c r="T260">
        <f>IF(Table1[[#This Row],[Discount_Applied]]="Yes", 1,0)</f>
        <v>1</v>
      </c>
      <c r="U260" t="str">
        <f>_xlfn.IFS(Table1[[#This Row],[Age]]&lt;=25, "Below 25", Table1[[#This Row],[Age]]&lt;=35, "Between 25-35", Table1[[#This Row],[Age]]&lt;=45, "Between 36-45", Table1[[#This Row],[Age]]&gt;45, "45+")</f>
        <v>45+</v>
      </c>
    </row>
    <row r="261" spans="1:21" x14ac:dyDescent="0.3">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c r="T261">
        <f>IF(Table1[[#This Row],[Discount_Applied]]="Yes", 1,0)</f>
        <v>1</v>
      </c>
      <c r="U261" t="str">
        <f>_xlfn.IFS(Table1[[#This Row],[Age]]&lt;=25, "Below 25", Table1[[#This Row],[Age]]&lt;=35, "Between 25-35", Table1[[#This Row],[Age]]&lt;=45, "Between 36-45", Table1[[#This Row],[Age]]&gt;45, "45+")</f>
        <v>Between 25-35</v>
      </c>
    </row>
    <row r="262" spans="1:21" x14ac:dyDescent="0.3">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c r="T262">
        <f>IF(Table1[[#This Row],[Discount_Applied]]="Yes", 1,0)</f>
        <v>1</v>
      </c>
      <c r="U262" t="str">
        <f>_xlfn.IFS(Table1[[#This Row],[Age]]&lt;=25, "Below 25", Table1[[#This Row],[Age]]&lt;=35, "Between 25-35", Table1[[#This Row],[Age]]&lt;=45, "Between 36-45", Table1[[#This Row],[Age]]&gt;45, "45+")</f>
        <v>Between 36-45</v>
      </c>
    </row>
    <row r="263" spans="1:21" x14ac:dyDescent="0.3">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c r="T263">
        <f>IF(Table1[[#This Row],[Discount_Applied]]="Yes", 1,0)</f>
        <v>1</v>
      </c>
      <c r="U263" t="str">
        <f>_xlfn.IFS(Table1[[#This Row],[Age]]&lt;=25, "Below 25", Table1[[#This Row],[Age]]&lt;=35, "Between 25-35", Table1[[#This Row],[Age]]&lt;=45, "Between 36-45", Table1[[#This Row],[Age]]&gt;45, "45+")</f>
        <v>Below 25</v>
      </c>
    </row>
    <row r="264" spans="1:21" x14ac:dyDescent="0.3">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c r="T264">
        <f>IF(Table1[[#This Row],[Discount_Applied]]="Yes", 1,0)</f>
        <v>1</v>
      </c>
      <c r="U264" t="str">
        <f>_xlfn.IFS(Table1[[#This Row],[Age]]&lt;=25, "Below 25", Table1[[#This Row],[Age]]&lt;=35, "Between 25-35", Table1[[#This Row],[Age]]&lt;=45, "Between 36-45", Table1[[#This Row],[Age]]&gt;45, "45+")</f>
        <v>Between 36-45</v>
      </c>
    </row>
    <row r="265" spans="1:21" x14ac:dyDescent="0.3">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c r="T265">
        <f>IF(Table1[[#This Row],[Discount_Applied]]="Yes", 1,0)</f>
        <v>1</v>
      </c>
      <c r="U265" t="str">
        <f>_xlfn.IFS(Table1[[#This Row],[Age]]&lt;=25, "Below 25", Table1[[#This Row],[Age]]&lt;=35, "Between 25-35", Table1[[#This Row],[Age]]&lt;=45, "Between 36-45", Table1[[#This Row],[Age]]&gt;45, "45+")</f>
        <v>Between 25-35</v>
      </c>
    </row>
    <row r="266" spans="1:21" x14ac:dyDescent="0.3">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c r="T266">
        <f>IF(Table1[[#This Row],[Discount_Applied]]="Yes", 1,0)</f>
        <v>1</v>
      </c>
      <c r="U266" t="str">
        <f>_xlfn.IFS(Table1[[#This Row],[Age]]&lt;=25, "Below 25", Table1[[#This Row],[Age]]&lt;=35, "Between 25-35", Table1[[#This Row],[Age]]&lt;=45, "Between 36-45", Table1[[#This Row],[Age]]&gt;45, "45+")</f>
        <v>Between 36-45</v>
      </c>
    </row>
    <row r="267" spans="1:21" x14ac:dyDescent="0.3">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c r="T267">
        <f>IF(Table1[[#This Row],[Discount_Applied]]="Yes", 1,0)</f>
        <v>1</v>
      </c>
      <c r="U267" t="str">
        <f>_xlfn.IFS(Table1[[#This Row],[Age]]&lt;=25, "Below 25", Table1[[#This Row],[Age]]&lt;=35, "Between 25-35", Table1[[#This Row],[Age]]&lt;=45, "Between 36-45", Table1[[#This Row],[Age]]&gt;45, "45+")</f>
        <v>Between 25-35</v>
      </c>
    </row>
    <row r="268" spans="1:21" x14ac:dyDescent="0.3">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c r="T268">
        <f>IF(Table1[[#This Row],[Discount_Applied]]="Yes", 1,0)</f>
        <v>1</v>
      </c>
      <c r="U268" t="str">
        <f>_xlfn.IFS(Table1[[#This Row],[Age]]&lt;=25, "Below 25", Table1[[#This Row],[Age]]&lt;=35, "Between 25-35", Table1[[#This Row],[Age]]&lt;=45, "Between 36-45", Table1[[#This Row],[Age]]&gt;45, "45+")</f>
        <v>45+</v>
      </c>
    </row>
    <row r="269" spans="1:21" x14ac:dyDescent="0.3">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c r="T269">
        <f>IF(Table1[[#This Row],[Discount_Applied]]="Yes", 1,0)</f>
        <v>1</v>
      </c>
      <c r="U269" t="str">
        <f>_xlfn.IFS(Table1[[#This Row],[Age]]&lt;=25, "Below 25", Table1[[#This Row],[Age]]&lt;=35, "Between 25-35", Table1[[#This Row],[Age]]&lt;=45, "Between 36-45", Table1[[#This Row],[Age]]&gt;45, "45+")</f>
        <v>45+</v>
      </c>
    </row>
    <row r="270" spans="1:21" x14ac:dyDescent="0.3">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c r="T270">
        <f>IF(Table1[[#This Row],[Discount_Applied]]="Yes", 1,0)</f>
        <v>1</v>
      </c>
      <c r="U270" t="str">
        <f>_xlfn.IFS(Table1[[#This Row],[Age]]&lt;=25, "Below 25", Table1[[#This Row],[Age]]&lt;=35, "Between 25-35", Table1[[#This Row],[Age]]&lt;=45, "Between 36-45", Table1[[#This Row],[Age]]&gt;45, "45+")</f>
        <v>45+</v>
      </c>
    </row>
    <row r="271" spans="1:21" x14ac:dyDescent="0.3">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c r="T271">
        <f>IF(Table1[[#This Row],[Discount_Applied]]="Yes", 1,0)</f>
        <v>1</v>
      </c>
      <c r="U271" t="str">
        <f>_xlfn.IFS(Table1[[#This Row],[Age]]&lt;=25, "Below 25", Table1[[#This Row],[Age]]&lt;=35, "Between 25-35", Table1[[#This Row],[Age]]&lt;=45, "Between 36-45", Table1[[#This Row],[Age]]&gt;45, "45+")</f>
        <v>45+</v>
      </c>
    </row>
    <row r="272" spans="1:21" x14ac:dyDescent="0.3">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c r="T272">
        <f>IF(Table1[[#This Row],[Discount_Applied]]="Yes", 1,0)</f>
        <v>1</v>
      </c>
      <c r="U272" t="str">
        <f>_xlfn.IFS(Table1[[#This Row],[Age]]&lt;=25, "Below 25", Table1[[#This Row],[Age]]&lt;=35, "Between 25-35", Table1[[#This Row],[Age]]&lt;=45, "Between 36-45", Table1[[#This Row],[Age]]&gt;45, "45+")</f>
        <v>Between 25-35</v>
      </c>
    </row>
    <row r="273" spans="1:21" x14ac:dyDescent="0.3">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c r="T273">
        <f>IF(Table1[[#This Row],[Discount_Applied]]="Yes", 1,0)</f>
        <v>1</v>
      </c>
      <c r="U273" t="str">
        <f>_xlfn.IFS(Table1[[#This Row],[Age]]&lt;=25, "Below 25", Table1[[#This Row],[Age]]&lt;=35, "Between 25-35", Table1[[#This Row],[Age]]&lt;=45, "Between 36-45", Table1[[#This Row],[Age]]&gt;45, "45+")</f>
        <v>45+</v>
      </c>
    </row>
    <row r="274" spans="1:21" x14ac:dyDescent="0.3">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c r="T274">
        <f>IF(Table1[[#This Row],[Discount_Applied]]="Yes", 1,0)</f>
        <v>1</v>
      </c>
      <c r="U274" t="str">
        <f>_xlfn.IFS(Table1[[#This Row],[Age]]&lt;=25, "Below 25", Table1[[#This Row],[Age]]&lt;=35, "Between 25-35", Table1[[#This Row],[Age]]&lt;=45, "Between 36-45", Table1[[#This Row],[Age]]&gt;45, "45+")</f>
        <v>45+</v>
      </c>
    </row>
    <row r="275" spans="1:21" x14ac:dyDescent="0.3">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c r="T275">
        <f>IF(Table1[[#This Row],[Discount_Applied]]="Yes", 1,0)</f>
        <v>1</v>
      </c>
      <c r="U275" t="str">
        <f>_xlfn.IFS(Table1[[#This Row],[Age]]&lt;=25, "Below 25", Table1[[#This Row],[Age]]&lt;=35, "Between 25-35", Table1[[#This Row],[Age]]&lt;=45, "Between 36-45", Table1[[#This Row],[Age]]&gt;45, "45+")</f>
        <v>45+</v>
      </c>
    </row>
    <row r="276" spans="1:21" x14ac:dyDescent="0.3">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c r="T276">
        <f>IF(Table1[[#This Row],[Discount_Applied]]="Yes", 1,0)</f>
        <v>1</v>
      </c>
      <c r="U276" t="str">
        <f>_xlfn.IFS(Table1[[#This Row],[Age]]&lt;=25, "Below 25", Table1[[#This Row],[Age]]&lt;=35, "Between 25-35", Table1[[#This Row],[Age]]&lt;=45, "Between 36-45", Table1[[#This Row],[Age]]&gt;45, "45+")</f>
        <v>45+</v>
      </c>
    </row>
    <row r="277" spans="1:21" x14ac:dyDescent="0.3">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c r="T277">
        <f>IF(Table1[[#This Row],[Discount_Applied]]="Yes", 1,0)</f>
        <v>1</v>
      </c>
      <c r="U277" t="str">
        <f>_xlfn.IFS(Table1[[#This Row],[Age]]&lt;=25, "Below 25", Table1[[#This Row],[Age]]&lt;=35, "Between 25-35", Table1[[#This Row],[Age]]&lt;=45, "Between 36-45", Table1[[#This Row],[Age]]&gt;45, "45+")</f>
        <v>45+</v>
      </c>
    </row>
    <row r="278" spans="1:21" x14ac:dyDescent="0.3">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c r="T278">
        <f>IF(Table1[[#This Row],[Discount_Applied]]="Yes", 1,0)</f>
        <v>1</v>
      </c>
      <c r="U278" t="str">
        <f>_xlfn.IFS(Table1[[#This Row],[Age]]&lt;=25, "Below 25", Table1[[#This Row],[Age]]&lt;=35, "Between 25-35", Table1[[#This Row],[Age]]&lt;=45, "Between 36-45", Table1[[#This Row],[Age]]&gt;45, "45+")</f>
        <v>Below 25</v>
      </c>
    </row>
    <row r="279" spans="1:21" x14ac:dyDescent="0.3">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c r="T279">
        <f>IF(Table1[[#This Row],[Discount_Applied]]="Yes", 1,0)</f>
        <v>1</v>
      </c>
      <c r="U279" t="str">
        <f>_xlfn.IFS(Table1[[#This Row],[Age]]&lt;=25, "Below 25", Table1[[#This Row],[Age]]&lt;=35, "Between 25-35", Table1[[#This Row],[Age]]&lt;=45, "Between 36-45", Table1[[#This Row],[Age]]&gt;45, "45+")</f>
        <v>Between 25-35</v>
      </c>
    </row>
    <row r="280" spans="1:21" x14ac:dyDescent="0.3">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c r="T280">
        <f>IF(Table1[[#This Row],[Discount_Applied]]="Yes", 1,0)</f>
        <v>1</v>
      </c>
      <c r="U280" t="str">
        <f>_xlfn.IFS(Table1[[#This Row],[Age]]&lt;=25, "Below 25", Table1[[#This Row],[Age]]&lt;=35, "Between 25-35", Table1[[#This Row],[Age]]&lt;=45, "Between 36-45", Table1[[#This Row],[Age]]&gt;45, "45+")</f>
        <v>45+</v>
      </c>
    </row>
    <row r="281" spans="1:21" x14ac:dyDescent="0.3">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c r="T281">
        <f>IF(Table1[[#This Row],[Discount_Applied]]="Yes", 1,0)</f>
        <v>1</v>
      </c>
      <c r="U281" t="str">
        <f>_xlfn.IFS(Table1[[#This Row],[Age]]&lt;=25, "Below 25", Table1[[#This Row],[Age]]&lt;=35, "Between 25-35", Table1[[#This Row],[Age]]&lt;=45, "Between 36-45", Table1[[#This Row],[Age]]&gt;45, "45+")</f>
        <v>Below 25</v>
      </c>
    </row>
    <row r="282" spans="1:21" x14ac:dyDescent="0.3">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c r="T282">
        <f>IF(Table1[[#This Row],[Discount_Applied]]="Yes", 1,0)</f>
        <v>1</v>
      </c>
      <c r="U282" t="str">
        <f>_xlfn.IFS(Table1[[#This Row],[Age]]&lt;=25, "Below 25", Table1[[#This Row],[Age]]&lt;=35, "Between 25-35", Table1[[#This Row],[Age]]&lt;=45, "Between 36-45", Table1[[#This Row],[Age]]&gt;45, "45+")</f>
        <v>Between 36-45</v>
      </c>
    </row>
    <row r="283" spans="1:21" x14ac:dyDescent="0.3">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c r="T283">
        <f>IF(Table1[[#This Row],[Discount_Applied]]="Yes", 1,0)</f>
        <v>1</v>
      </c>
      <c r="U283" t="str">
        <f>_xlfn.IFS(Table1[[#This Row],[Age]]&lt;=25, "Below 25", Table1[[#This Row],[Age]]&lt;=35, "Between 25-35", Table1[[#This Row],[Age]]&lt;=45, "Between 36-45", Table1[[#This Row],[Age]]&gt;45, "45+")</f>
        <v>Between 36-45</v>
      </c>
    </row>
    <row r="284" spans="1:21" x14ac:dyDescent="0.3">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c r="T284">
        <f>IF(Table1[[#This Row],[Discount_Applied]]="Yes", 1,0)</f>
        <v>1</v>
      </c>
      <c r="U284" t="str">
        <f>_xlfn.IFS(Table1[[#This Row],[Age]]&lt;=25, "Below 25", Table1[[#This Row],[Age]]&lt;=35, "Between 25-35", Table1[[#This Row],[Age]]&lt;=45, "Between 36-45", Table1[[#This Row],[Age]]&gt;45, "45+")</f>
        <v>Below 25</v>
      </c>
    </row>
    <row r="285" spans="1:21" x14ac:dyDescent="0.3">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c r="T285">
        <f>IF(Table1[[#This Row],[Discount_Applied]]="Yes", 1,0)</f>
        <v>1</v>
      </c>
      <c r="U285" t="str">
        <f>_xlfn.IFS(Table1[[#This Row],[Age]]&lt;=25, "Below 25", Table1[[#This Row],[Age]]&lt;=35, "Between 25-35", Table1[[#This Row],[Age]]&lt;=45, "Between 36-45", Table1[[#This Row],[Age]]&gt;45, "45+")</f>
        <v>Between 25-35</v>
      </c>
    </row>
    <row r="286" spans="1:21" x14ac:dyDescent="0.3">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c r="T286">
        <f>IF(Table1[[#This Row],[Discount_Applied]]="Yes", 1,0)</f>
        <v>1</v>
      </c>
      <c r="U286" t="str">
        <f>_xlfn.IFS(Table1[[#This Row],[Age]]&lt;=25, "Below 25", Table1[[#This Row],[Age]]&lt;=35, "Between 25-35", Table1[[#This Row],[Age]]&lt;=45, "Between 36-45", Table1[[#This Row],[Age]]&gt;45, "45+")</f>
        <v>45+</v>
      </c>
    </row>
    <row r="287" spans="1:21" x14ac:dyDescent="0.3">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c r="T287">
        <f>IF(Table1[[#This Row],[Discount_Applied]]="Yes", 1,0)</f>
        <v>1</v>
      </c>
      <c r="U287" t="str">
        <f>_xlfn.IFS(Table1[[#This Row],[Age]]&lt;=25, "Below 25", Table1[[#This Row],[Age]]&lt;=35, "Between 25-35", Table1[[#This Row],[Age]]&lt;=45, "Between 36-45", Table1[[#This Row],[Age]]&gt;45, "45+")</f>
        <v>Between 25-35</v>
      </c>
    </row>
    <row r="288" spans="1:21" x14ac:dyDescent="0.3">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c r="T288">
        <f>IF(Table1[[#This Row],[Discount_Applied]]="Yes", 1,0)</f>
        <v>1</v>
      </c>
      <c r="U288" t="str">
        <f>_xlfn.IFS(Table1[[#This Row],[Age]]&lt;=25, "Below 25", Table1[[#This Row],[Age]]&lt;=35, "Between 25-35", Table1[[#This Row],[Age]]&lt;=45, "Between 36-45", Table1[[#This Row],[Age]]&gt;45, "45+")</f>
        <v>Between 25-35</v>
      </c>
    </row>
    <row r="289" spans="1:21" x14ac:dyDescent="0.3">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c r="T289">
        <f>IF(Table1[[#This Row],[Discount_Applied]]="Yes", 1,0)</f>
        <v>1</v>
      </c>
      <c r="U289" t="str">
        <f>_xlfn.IFS(Table1[[#This Row],[Age]]&lt;=25, "Below 25", Table1[[#This Row],[Age]]&lt;=35, "Between 25-35", Table1[[#This Row],[Age]]&lt;=45, "Between 36-45", Table1[[#This Row],[Age]]&gt;45, "45+")</f>
        <v>45+</v>
      </c>
    </row>
    <row r="290" spans="1:21" x14ac:dyDescent="0.3">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c r="T290">
        <f>IF(Table1[[#This Row],[Discount_Applied]]="Yes", 1,0)</f>
        <v>1</v>
      </c>
      <c r="U290" t="str">
        <f>_xlfn.IFS(Table1[[#This Row],[Age]]&lt;=25, "Below 25", Table1[[#This Row],[Age]]&lt;=35, "Between 25-35", Table1[[#This Row],[Age]]&lt;=45, "Between 36-45", Table1[[#This Row],[Age]]&gt;45, "45+")</f>
        <v>Between 25-35</v>
      </c>
    </row>
    <row r="291" spans="1:21" x14ac:dyDescent="0.3">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c r="T291">
        <f>IF(Table1[[#This Row],[Discount_Applied]]="Yes", 1,0)</f>
        <v>1</v>
      </c>
      <c r="U291" t="str">
        <f>_xlfn.IFS(Table1[[#This Row],[Age]]&lt;=25, "Below 25", Table1[[#This Row],[Age]]&lt;=35, "Between 25-35", Table1[[#This Row],[Age]]&lt;=45, "Between 36-45", Table1[[#This Row],[Age]]&gt;45, "45+")</f>
        <v>45+</v>
      </c>
    </row>
    <row r="292" spans="1:21" x14ac:dyDescent="0.3">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c r="T292">
        <f>IF(Table1[[#This Row],[Discount_Applied]]="Yes", 1,0)</f>
        <v>1</v>
      </c>
      <c r="U292" t="str">
        <f>_xlfn.IFS(Table1[[#This Row],[Age]]&lt;=25, "Below 25", Table1[[#This Row],[Age]]&lt;=35, "Between 25-35", Table1[[#This Row],[Age]]&lt;=45, "Between 36-45", Table1[[#This Row],[Age]]&gt;45, "45+")</f>
        <v>45+</v>
      </c>
    </row>
    <row r="293" spans="1:21" x14ac:dyDescent="0.3">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c r="T293">
        <f>IF(Table1[[#This Row],[Discount_Applied]]="Yes", 1,0)</f>
        <v>1</v>
      </c>
      <c r="U293" t="str">
        <f>_xlfn.IFS(Table1[[#This Row],[Age]]&lt;=25, "Below 25", Table1[[#This Row],[Age]]&lt;=35, "Between 25-35", Table1[[#This Row],[Age]]&lt;=45, "Between 36-45", Table1[[#This Row],[Age]]&gt;45, "45+")</f>
        <v>45+</v>
      </c>
    </row>
    <row r="294" spans="1:21" x14ac:dyDescent="0.3">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c r="T294">
        <f>IF(Table1[[#This Row],[Discount_Applied]]="Yes", 1,0)</f>
        <v>1</v>
      </c>
      <c r="U294" t="str">
        <f>_xlfn.IFS(Table1[[#This Row],[Age]]&lt;=25, "Below 25", Table1[[#This Row],[Age]]&lt;=35, "Between 25-35", Table1[[#This Row],[Age]]&lt;=45, "Between 36-45", Table1[[#This Row],[Age]]&gt;45, "45+")</f>
        <v>45+</v>
      </c>
    </row>
    <row r="295" spans="1:21" x14ac:dyDescent="0.3">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c r="T295">
        <f>IF(Table1[[#This Row],[Discount_Applied]]="Yes", 1,0)</f>
        <v>1</v>
      </c>
      <c r="U295" t="str">
        <f>_xlfn.IFS(Table1[[#This Row],[Age]]&lt;=25, "Below 25", Table1[[#This Row],[Age]]&lt;=35, "Between 25-35", Table1[[#This Row],[Age]]&lt;=45, "Between 36-45", Table1[[#This Row],[Age]]&gt;45, "45+")</f>
        <v>45+</v>
      </c>
    </row>
    <row r="296" spans="1:21" x14ac:dyDescent="0.3">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c r="T296">
        <f>IF(Table1[[#This Row],[Discount_Applied]]="Yes", 1,0)</f>
        <v>1</v>
      </c>
      <c r="U296" t="str">
        <f>_xlfn.IFS(Table1[[#This Row],[Age]]&lt;=25, "Below 25", Table1[[#This Row],[Age]]&lt;=35, "Between 25-35", Table1[[#This Row],[Age]]&lt;=45, "Between 36-45", Table1[[#This Row],[Age]]&gt;45, "45+")</f>
        <v>45+</v>
      </c>
    </row>
    <row r="297" spans="1:21" x14ac:dyDescent="0.3">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c r="T297">
        <f>IF(Table1[[#This Row],[Discount_Applied]]="Yes", 1,0)</f>
        <v>1</v>
      </c>
      <c r="U297" t="str">
        <f>_xlfn.IFS(Table1[[#This Row],[Age]]&lt;=25, "Below 25", Table1[[#This Row],[Age]]&lt;=35, "Between 25-35", Table1[[#This Row],[Age]]&lt;=45, "Between 36-45", Table1[[#This Row],[Age]]&gt;45, "45+")</f>
        <v>45+</v>
      </c>
    </row>
    <row r="298" spans="1:21" x14ac:dyDescent="0.3">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c r="T298">
        <f>IF(Table1[[#This Row],[Discount_Applied]]="Yes", 1,0)</f>
        <v>1</v>
      </c>
      <c r="U298" t="str">
        <f>_xlfn.IFS(Table1[[#This Row],[Age]]&lt;=25, "Below 25", Table1[[#This Row],[Age]]&lt;=35, "Between 25-35", Table1[[#This Row],[Age]]&lt;=45, "Between 36-45", Table1[[#This Row],[Age]]&gt;45, "45+")</f>
        <v>Below 25</v>
      </c>
    </row>
    <row r="299" spans="1:21" x14ac:dyDescent="0.3">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c r="T299">
        <f>IF(Table1[[#This Row],[Discount_Applied]]="Yes", 1,0)</f>
        <v>1</v>
      </c>
      <c r="U299" t="str">
        <f>_xlfn.IFS(Table1[[#This Row],[Age]]&lt;=25, "Below 25", Table1[[#This Row],[Age]]&lt;=35, "Between 25-35", Table1[[#This Row],[Age]]&lt;=45, "Between 36-45", Table1[[#This Row],[Age]]&gt;45, "45+")</f>
        <v>45+</v>
      </c>
    </row>
    <row r="300" spans="1:21" x14ac:dyDescent="0.3">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c r="T300">
        <f>IF(Table1[[#This Row],[Discount_Applied]]="Yes", 1,0)</f>
        <v>1</v>
      </c>
      <c r="U300" t="str">
        <f>_xlfn.IFS(Table1[[#This Row],[Age]]&lt;=25, "Below 25", Table1[[#This Row],[Age]]&lt;=35, "Between 25-35", Table1[[#This Row],[Age]]&lt;=45, "Between 36-45", Table1[[#This Row],[Age]]&gt;45, "45+")</f>
        <v>45+</v>
      </c>
    </row>
    <row r="301" spans="1:21" x14ac:dyDescent="0.3">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c r="T301">
        <f>IF(Table1[[#This Row],[Discount_Applied]]="Yes", 1,0)</f>
        <v>1</v>
      </c>
      <c r="U301" t="str">
        <f>_xlfn.IFS(Table1[[#This Row],[Age]]&lt;=25, "Below 25", Table1[[#This Row],[Age]]&lt;=35, "Between 25-35", Table1[[#This Row],[Age]]&lt;=45, "Between 36-45", Table1[[#This Row],[Age]]&gt;45, "45+")</f>
        <v>Below 25</v>
      </c>
    </row>
    <row r="302" spans="1:21" x14ac:dyDescent="0.3">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c r="T302">
        <f>IF(Table1[[#This Row],[Discount_Applied]]="Yes", 1,0)</f>
        <v>1</v>
      </c>
      <c r="U302" t="str">
        <f>_xlfn.IFS(Table1[[#This Row],[Age]]&lt;=25, "Below 25", Table1[[#This Row],[Age]]&lt;=35, "Between 25-35", Table1[[#This Row],[Age]]&lt;=45, "Between 36-45", Table1[[#This Row],[Age]]&gt;45, "45+")</f>
        <v>Between 25-35</v>
      </c>
    </row>
    <row r="303" spans="1:21" x14ac:dyDescent="0.3">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c r="T303">
        <f>IF(Table1[[#This Row],[Discount_Applied]]="Yes", 1,0)</f>
        <v>1</v>
      </c>
      <c r="U303" t="str">
        <f>_xlfn.IFS(Table1[[#This Row],[Age]]&lt;=25, "Below 25", Table1[[#This Row],[Age]]&lt;=35, "Between 25-35", Table1[[#This Row],[Age]]&lt;=45, "Between 36-45", Table1[[#This Row],[Age]]&gt;45, "45+")</f>
        <v>45+</v>
      </c>
    </row>
    <row r="304" spans="1:21" x14ac:dyDescent="0.3">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c r="T304">
        <f>IF(Table1[[#This Row],[Discount_Applied]]="Yes", 1,0)</f>
        <v>1</v>
      </c>
      <c r="U304" t="str">
        <f>_xlfn.IFS(Table1[[#This Row],[Age]]&lt;=25, "Below 25", Table1[[#This Row],[Age]]&lt;=35, "Between 25-35", Table1[[#This Row],[Age]]&lt;=45, "Between 36-45", Table1[[#This Row],[Age]]&gt;45, "45+")</f>
        <v>Between 36-45</v>
      </c>
    </row>
    <row r="305" spans="1:21" x14ac:dyDescent="0.3">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c r="T305">
        <f>IF(Table1[[#This Row],[Discount_Applied]]="Yes", 1,0)</f>
        <v>1</v>
      </c>
      <c r="U305" t="str">
        <f>_xlfn.IFS(Table1[[#This Row],[Age]]&lt;=25, "Below 25", Table1[[#This Row],[Age]]&lt;=35, "Between 25-35", Table1[[#This Row],[Age]]&lt;=45, "Between 36-45", Table1[[#This Row],[Age]]&gt;45, "45+")</f>
        <v>Below 25</v>
      </c>
    </row>
    <row r="306" spans="1:21" x14ac:dyDescent="0.3">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c r="T306">
        <f>IF(Table1[[#This Row],[Discount_Applied]]="Yes", 1,0)</f>
        <v>1</v>
      </c>
      <c r="U306" t="str">
        <f>_xlfn.IFS(Table1[[#This Row],[Age]]&lt;=25, "Below 25", Table1[[#This Row],[Age]]&lt;=35, "Between 25-35", Table1[[#This Row],[Age]]&lt;=45, "Between 36-45", Table1[[#This Row],[Age]]&gt;45, "45+")</f>
        <v>Between 36-45</v>
      </c>
    </row>
    <row r="307" spans="1:21" x14ac:dyDescent="0.3">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c r="T307">
        <f>IF(Table1[[#This Row],[Discount_Applied]]="Yes", 1,0)</f>
        <v>1</v>
      </c>
      <c r="U307" t="str">
        <f>_xlfn.IFS(Table1[[#This Row],[Age]]&lt;=25, "Below 25", Table1[[#This Row],[Age]]&lt;=35, "Between 25-35", Table1[[#This Row],[Age]]&lt;=45, "Between 36-45", Table1[[#This Row],[Age]]&gt;45, "45+")</f>
        <v>45+</v>
      </c>
    </row>
    <row r="308" spans="1:21" x14ac:dyDescent="0.3">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c r="T308">
        <f>IF(Table1[[#This Row],[Discount_Applied]]="Yes", 1,0)</f>
        <v>1</v>
      </c>
      <c r="U308" t="str">
        <f>_xlfn.IFS(Table1[[#This Row],[Age]]&lt;=25, "Below 25", Table1[[#This Row],[Age]]&lt;=35, "Between 25-35", Table1[[#This Row],[Age]]&lt;=45, "Between 36-45", Table1[[#This Row],[Age]]&gt;45, "45+")</f>
        <v>Between 25-35</v>
      </c>
    </row>
    <row r="309" spans="1:21" x14ac:dyDescent="0.3">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c r="T309">
        <f>IF(Table1[[#This Row],[Discount_Applied]]="Yes", 1,0)</f>
        <v>1</v>
      </c>
      <c r="U309" t="str">
        <f>_xlfn.IFS(Table1[[#This Row],[Age]]&lt;=25, "Below 25", Table1[[#This Row],[Age]]&lt;=35, "Between 25-35", Table1[[#This Row],[Age]]&lt;=45, "Between 36-45", Table1[[#This Row],[Age]]&gt;45, "45+")</f>
        <v>Between 25-35</v>
      </c>
    </row>
    <row r="310" spans="1:21" x14ac:dyDescent="0.3">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c r="T310">
        <f>IF(Table1[[#This Row],[Discount_Applied]]="Yes", 1,0)</f>
        <v>1</v>
      </c>
      <c r="U310" t="str">
        <f>_xlfn.IFS(Table1[[#This Row],[Age]]&lt;=25, "Below 25", Table1[[#This Row],[Age]]&lt;=35, "Between 25-35", Table1[[#This Row],[Age]]&lt;=45, "Between 36-45", Table1[[#This Row],[Age]]&gt;45, "45+")</f>
        <v>45+</v>
      </c>
    </row>
    <row r="311" spans="1:21" x14ac:dyDescent="0.3">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c r="T311">
        <f>IF(Table1[[#This Row],[Discount_Applied]]="Yes", 1,0)</f>
        <v>1</v>
      </c>
      <c r="U311" t="str">
        <f>_xlfn.IFS(Table1[[#This Row],[Age]]&lt;=25, "Below 25", Table1[[#This Row],[Age]]&lt;=35, "Between 25-35", Table1[[#This Row],[Age]]&lt;=45, "Between 36-45", Table1[[#This Row],[Age]]&gt;45, "45+")</f>
        <v>45+</v>
      </c>
    </row>
    <row r="312" spans="1:21" x14ac:dyDescent="0.3">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c r="T312">
        <f>IF(Table1[[#This Row],[Discount_Applied]]="Yes", 1,0)</f>
        <v>1</v>
      </c>
      <c r="U312" t="str">
        <f>_xlfn.IFS(Table1[[#This Row],[Age]]&lt;=25, "Below 25", Table1[[#This Row],[Age]]&lt;=35, "Between 25-35", Table1[[#This Row],[Age]]&lt;=45, "Between 36-45", Table1[[#This Row],[Age]]&gt;45, "45+")</f>
        <v>45+</v>
      </c>
    </row>
    <row r="313" spans="1:21" x14ac:dyDescent="0.3">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c r="T313">
        <f>IF(Table1[[#This Row],[Discount_Applied]]="Yes", 1,0)</f>
        <v>1</v>
      </c>
      <c r="U313" t="str">
        <f>_xlfn.IFS(Table1[[#This Row],[Age]]&lt;=25, "Below 25", Table1[[#This Row],[Age]]&lt;=35, "Between 25-35", Table1[[#This Row],[Age]]&lt;=45, "Between 36-45", Table1[[#This Row],[Age]]&gt;45, "45+")</f>
        <v>45+</v>
      </c>
    </row>
    <row r="314" spans="1:21" x14ac:dyDescent="0.3">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c r="T314">
        <f>IF(Table1[[#This Row],[Discount_Applied]]="Yes", 1,0)</f>
        <v>1</v>
      </c>
      <c r="U314" t="str">
        <f>_xlfn.IFS(Table1[[#This Row],[Age]]&lt;=25, "Below 25", Table1[[#This Row],[Age]]&lt;=35, "Between 25-35", Table1[[#This Row],[Age]]&lt;=45, "Between 36-45", Table1[[#This Row],[Age]]&gt;45, "45+")</f>
        <v>Between 36-45</v>
      </c>
    </row>
    <row r="315" spans="1:21" x14ac:dyDescent="0.3">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c r="T315">
        <f>IF(Table1[[#This Row],[Discount_Applied]]="Yes", 1,0)</f>
        <v>1</v>
      </c>
      <c r="U315" t="str">
        <f>_xlfn.IFS(Table1[[#This Row],[Age]]&lt;=25, "Below 25", Table1[[#This Row],[Age]]&lt;=35, "Between 25-35", Table1[[#This Row],[Age]]&lt;=45, "Between 36-45", Table1[[#This Row],[Age]]&gt;45, "45+")</f>
        <v>Between 36-45</v>
      </c>
    </row>
    <row r="316" spans="1:21" x14ac:dyDescent="0.3">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c r="T316">
        <f>IF(Table1[[#This Row],[Discount_Applied]]="Yes", 1,0)</f>
        <v>1</v>
      </c>
      <c r="U316" t="str">
        <f>_xlfn.IFS(Table1[[#This Row],[Age]]&lt;=25, "Below 25", Table1[[#This Row],[Age]]&lt;=35, "Between 25-35", Table1[[#This Row],[Age]]&lt;=45, "Between 36-45", Table1[[#This Row],[Age]]&gt;45, "45+")</f>
        <v>Between 25-35</v>
      </c>
    </row>
    <row r="317" spans="1:21" x14ac:dyDescent="0.3">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c r="T317">
        <f>IF(Table1[[#This Row],[Discount_Applied]]="Yes", 1,0)</f>
        <v>1</v>
      </c>
      <c r="U317" t="str">
        <f>_xlfn.IFS(Table1[[#This Row],[Age]]&lt;=25, "Below 25", Table1[[#This Row],[Age]]&lt;=35, "Between 25-35", Table1[[#This Row],[Age]]&lt;=45, "Between 36-45", Table1[[#This Row],[Age]]&gt;45, "45+")</f>
        <v>45+</v>
      </c>
    </row>
    <row r="318" spans="1:21" x14ac:dyDescent="0.3">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c r="T318">
        <f>IF(Table1[[#This Row],[Discount_Applied]]="Yes", 1,0)</f>
        <v>1</v>
      </c>
      <c r="U318" t="str">
        <f>_xlfn.IFS(Table1[[#This Row],[Age]]&lt;=25, "Below 25", Table1[[#This Row],[Age]]&lt;=35, "Between 25-35", Table1[[#This Row],[Age]]&lt;=45, "Between 36-45", Table1[[#This Row],[Age]]&gt;45, "45+")</f>
        <v>Between 36-45</v>
      </c>
    </row>
    <row r="319" spans="1:21" x14ac:dyDescent="0.3">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c r="T319">
        <f>IF(Table1[[#This Row],[Discount_Applied]]="Yes", 1,0)</f>
        <v>1</v>
      </c>
      <c r="U319" t="str">
        <f>_xlfn.IFS(Table1[[#This Row],[Age]]&lt;=25, "Below 25", Table1[[#This Row],[Age]]&lt;=35, "Between 25-35", Table1[[#This Row],[Age]]&lt;=45, "Between 36-45", Table1[[#This Row],[Age]]&gt;45, "45+")</f>
        <v>45+</v>
      </c>
    </row>
    <row r="320" spans="1:21" x14ac:dyDescent="0.3">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c r="T320">
        <f>IF(Table1[[#This Row],[Discount_Applied]]="Yes", 1,0)</f>
        <v>1</v>
      </c>
      <c r="U320" t="str">
        <f>_xlfn.IFS(Table1[[#This Row],[Age]]&lt;=25, "Below 25", Table1[[#This Row],[Age]]&lt;=35, "Between 25-35", Table1[[#This Row],[Age]]&lt;=45, "Between 36-45", Table1[[#This Row],[Age]]&gt;45, "45+")</f>
        <v>Between 36-45</v>
      </c>
    </row>
    <row r="321" spans="1:21" x14ac:dyDescent="0.3">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c r="T321">
        <f>IF(Table1[[#This Row],[Discount_Applied]]="Yes", 1,0)</f>
        <v>1</v>
      </c>
      <c r="U321" t="str">
        <f>_xlfn.IFS(Table1[[#This Row],[Age]]&lt;=25, "Below 25", Table1[[#This Row],[Age]]&lt;=35, "Between 25-35", Table1[[#This Row],[Age]]&lt;=45, "Between 36-45", Table1[[#This Row],[Age]]&gt;45, "45+")</f>
        <v>45+</v>
      </c>
    </row>
    <row r="322" spans="1:21" x14ac:dyDescent="0.3">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c r="T322">
        <f>IF(Table1[[#This Row],[Discount_Applied]]="Yes", 1,0)</f>
        <v>1</v>
      </c>
      <c r="U322" t="str">
        <f>_xlfn.IFS(Table1[[#This Row],[Age]]&lt;=25, "Below 25", Table1[[#This Row],[Age]]&lt;=35, "Between 25-35", Table1[[#This Row],[Age]]&lt;=45, "Between 36-45", Table1[[#This Row],[Age]]&gt;45, "45+")</f>
        <v>45+</v>
      </c>
    </row>
    <row r="323" spans="1:21" x14ac:dyDescent="0.3">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c r="T323">
        <f>IF(Table1[[#This Row],[Discount_Applied]]="Yes", 1,0)</f>
        <v>1</v>
      </c>
      <c r="U323" t="str">
        <f>_xlfn.IFS(Table1[[#This Row],[Age]]&lt;=25, "Below 25", Table1[[#This Row],[Age]]&lt;=35, "Between 25-35", Table1[[#This Row],[Age]]&lt;=45, "Between 36-45", Table1[[#This Row],[Age]]&gt;45, "45+")</f>
        <v>Between 36-45</v>
      </c>
    </row>
    <row r="324" spans="1:21" x14ac:dyDescent="0.3">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c r="T324">
        <f>IF(Table1[[#This Row],[Discount_Applied]]="Yes", 1,0)</f>
        <v>1</v>
      </c>
      <c r="U324" t="str">
        <f>_xlfn.IFS(Table1[[#This Row],[Age]]&lt;=25, "Below 25", Table1[[#This Row],[Age]]&lt;=35, "Between 25-35", Table1[[#This Row],[Age]]&lt;=45, "Between 36-45", Table1[[#This Row],[Age]]&gt;45, "45+")</f>
        <v>Between 36-45</v>
      </c>
    </row>
    <row r="325" spans="1:21" x14ac:dyDescent="0.3">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c r="T325">
        <f>IF(Table1[[#This Row],[Discount_Applied]]="Yes", 1,0)</f>
        <v>1</v>
      </c>
      <c r="U325" t="str">
        <f>_xlfn.IFS(Table1[[#This Row],[Age]]&lt;=25, "Below 25", Table1[[#This Row],[Age]]&lt;=35, "Between 25-35", Table1[[#This Row],[Age]]&lt;=45, "Between 36-45", Table1[[#This Row],[Age]]&gt;45, "45+")</f>
        <v>45+</v>
      </c>
    </row>
    <row r="326" spans="1:21" x14ac:dyDescent="0.3">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c r="T326">
        <f>IF(Table1[[#This Row],[Discount_Applied]]="Yes", 1,0)</f>
        <v>1</v>
      </c>
      <c r="U326" t="str">
        <f>_xlfn.IFS(Table1[[#This Row],[Age]]&lt;=25, "Below 25", Table1[[#This Row],[Age]]&lt;=35, "Between 25-35", Table1[[#This Row],[Age]]&lt;=45, "Between 36-45", Table1[[#This Row],[Age]]&gt;45, "45+")</f>
        <v>Between 36-45</v>
      </c>
    </row>
    <row r="327" spans="1:21" x14ac:dyDescent="0.3">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c r="T327">
        <f>IF(Table1[[#This Row],[Discount_Applied]]="Yes", 1,0)</f>
        <v>1</v>
      </c>
      <c r="U327" t="str">
        <f>_xlfn.IFS(Table1[[#This Row],[Age]]&lt;=25, "Below 25", Table1[[#This Row],[Age]]&lt;=35, "Between 25-35", Table1[[#This Row],[Age]]&lt;=45, "Between 36-45", Table1[[#This Row],[Age]]&gt;45, "45+")</f>
        <v>45+</v>
      </c>
    </row>
    <row r="328" spans="1:21" x14ac:dyDescent="0.3">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c r="T328">
        <f>IF(Table1[[#This Row],[Discount_Applied]]="Yes", 1,0)</f>
        <v>1</v>
      </c>
      <c r="U328" t="str">
        <f>_xlfn.IFS(Table1[[#This Row],[Age]]&lt;=25, "Below 25", Table1[[#This Row],[Age]]&lt;=35, "Between 25-35", Table1[[#This Row],[Age]]&lt;=45, "Between 36-45", Table1[[#This Row],[Age]]&gt;45, "45+")</f>
        <v>45+</v>
      </c>
    </row>
    <row r="329" spans="1:21" x14ac:dyDescent="0.3">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c r="T329">
        <f>IF(Table1[[#This Row],[Discount_Applied]]="Yes", 1,0)</f>
        <v>1</v>
      </c>
      <c r="U329" t="str">
        <f>_xlfn.IFS(Table1[[#This Row],[Age]]&lt;=25, "Below 25", Table1[[#This Row],[Age]]&lt;=35, "Between 25-35", Table1[[#This Row],[Age]]&lt;=45, "Between 36-45", Table1[[#This Row],[Age]]&gt;45, "45+")</f>
        <v>45+</v>
      </c>
    </row>
    <row r="330" spans="1:21" x14ac:dyDescent="0.3">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c r="T330">
        <f>IF(Table1[[#This Row],[Discount_Applied]]="Yes", 1,0)</f>
        <v>1</v>
      </c>
      <c r="U330" t="str">
        <f>_xlfn.IFS(Table1[[#This Row],[Age]]&lt;=25, "Below 25", Table1[[#This Row],[Age]]&lt;=35, "Between 25-35", Table1[[#This Row],[Age]]&lt;=45, "Between 36-45", Table1[[#This Row],[Age]]&gt;45, "45+")</f>
        <v>45+</v>
      </c>
    </row>
    <row r="331" spans="1:21" x14ac:dyDescent="0.3">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c r="T331">
        <f>IF(Table1[[#This Row],[Discount_Applied]]="Yes", 1,0)</f>
        <v>1</v>
      </c>
      <c r="U331" t="str">
        <f>_xlfn.IFS(Table1[[#This Row],[Age]]&lt;=25, "Below 25", Table1[[#This Row],[Age]]&lt;=35, "Between 25-35", Table1[[#This Row],[Age]]&lt;=45, "Between 36-45", Table1[[#This Row],[Age]]&gt;45, "45+")</f>
        <v>45+</v>
      </c>
    </row>
    <row r="332" spans="1:21" x14ac:dyDescent="0.3">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c r="T332">
        <f>IF(Table1[[#This Row],[Discount_Applied]]="Yes", 1,0)</f>
        <v>1</v>
      </c>
      <c r="U332" t="str">
        <f>_xlfn.IFS(Table1[[#This Row],[Age]]&lt;=25, "Below 25", Table1[[#This Row],[Age]]&lt;=35, "Between 25-35", Table1[[#This Row],[Age]]&lt;=45, "Between 36-45", Table1[[#This Row],[Age]]&gt;45, "45+")</f>
        <v>45+</v>
      </c>
    </row>
    <row r="333" spans="1:21" x14ac:dyDescent="0.3">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c r="T333">
        <f>IF(Table1[[#This Row],[Discount_Applied]]="Yes", 1,0)</f>
        <v>1</v>
      </c>
      <c r="U333" t="str">
        <f>_xlfn.IFS(Table1[[#This Row],[Age]]&lt;=25, "Below 25", Table1[[#This Row],[Age]]&lt;=35, "Between 25-35", Table1[[#This Row],[Age]]&lt;=45, "Between 36-45", Table1[[#This Row],[Age]]&gt;45, "45+")</f>
        <v>Between 25-35</v>
      </c>
    </row>
    <row r="334" spans="1:21" x14ac:dyDescent="0.3">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c r="T334">
        <f>IF(Table1[[#This Row],[Discount_Applied]]="Yes", 1,0)</f>
        <v>1</v>
      </c>
      <c r="U334" t="str">
        <f>_xlfn.IFS(Table1[[#This Row],[Age]]&lt;=25, "Below 25", Table1[[#This Row],[Age]]&lt;=35, "Between 25-35", Table1[[#This Row],[Age]]&lt;=45, "Between 36-45", Table1[[#This Row],[Age]]&gt;45, "45+")</f>
        <v>Below 25</v>
      </c>
    </row>
    <row r="335" spans="1:21" x14ac:dyDescent="0.3">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c r="T335">
        <f>IF(Table1[[#This Row],[Discount_Applied]]="Yes", 1,0)</f>
        <v>1</v>
      </c>
      <c r="U335" t="str">
        <f>_xlfn.IFS(Table1[[#This Row],[Age]]&lt;=25, "Below 25", Table1[[#This Row],[Age]]&lt;=35, "Between 25-35", Table1[[#This Row],[Age]]&lt;=45, "Between 36-45", Table1[[#This Row],[Age]]&gt;45, "45+")</f>
        <v>Between 36-45</v>
      </c>
    </row>
    <row r="336" spans="1:21" x14ac:dyDescent="0.3">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c r="T336">
        <f>IF(Table1[[#This Row],[Discount_Applied]]="Yes", 1,0)</f>
        <v>1</v>
      </c>
      <c r="U336" t="str">
        <f>_xlfn.IFS(Table1[[#This Row],[Age]]&lt;=25, "Below 25", Table1[[#This Row],[Age]]&lt;=35, "Between 25-35", Table1[[#This Row],[Age]]&lt;=45, "Between 36-45", Table1[[#This Row],[Age]]&gt;45, "45+")</f>
        <v>Between 36-45</v>
      </c>
    </row>
    <row r="337" spans="1:21" x14ac:dyDescent="0.3">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c r="T337">
        <f>IF(Table1[[#This Row],[Discount_Applied]]="Yes", 1,0)</f>
        <v>1</v>
      </c>
      <c r="U337" t="str">
        <f>_xlfn.IFS(Table1[[#This Row],[Age]]&lt;=25, "Below 25", Table1[[#This Row],[Age]]&lt;=35, "Between 25-35", Table1[[#This Row],[Age]]&lt;=45, "Between 36-45", Table1[[#This Row],[Age]]&gt;45, "45+")</f>
        <v>Below 25</v>
      </c>
    </row>
    <row r="338" spans="1:21" x14ac:dyDescent="0.3">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c r="T338">
        <f>IF(Table1[[#This Row],[Discount_Applied]]="Yes", 1,0)</f>
        <v>1</v>
      </c>
      <c r="U338" t="str">
        <f>_xlfn.IFS(Table1[[#This Row],[Age]]&lt;=25, "Below 25", Table1[[#This Row],[Age]]&lt;=35, "Between 25-35", Table1[[#This Row],[Age]]&lt;=45, "Between 36-45", Table1[[#This Row],[Age]]&gt;45, "45+")</f>
        <v>Between 36-45</v>
      </c>
    </row>
    <row r="339" spans="1:21" x14ac:dyDescent="0.3">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c r="T339">
        <f>IF(Table1[[#This Row],[Discount_Applied]]="Yes", 1,0)</f>
        <v>1</v>
      </c>
      <c r="U339" t="str">
        <f>_xlfn.IFS(Table1[[#This Row],[Age]]&lt;=25, "Below 25", Table1[[#This Row],[Age]]&lt;=35, "Between 25-35", Table1[[#This Row],[Age]]&lt;=45, "Between 36-45", Table1[[#This Row],[Age]]&gt;45, "45+")</f>
        <v>Between 25-35</v>
      </c>
    </row>
    <row r="340" spans="1:21" x14ac:dyDescent="0.3">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c r="T340">
        <f>IF(Table1[[#This Row],[Discount_Applied]]="Yes", 1,0)</f>
        <v>1</v>
      </c>
      <c r="U340" t="str">
        <f>_xlfn.IFS(Table1[[#This Row],[Age]]&lt;=25, "Below 25", Table1[[#This Row],[Age]]&lt;=35, "Between 25-35", Table1[[#This Row],[Age]]&lt;=45, "Between 36-45", Table1[[#This Row],[Age]]&gt;45, "45+")</f>
        <v>45+</v>
      </c>
    </row>
    <row r="341" spans="1:21" x14ac:dyDescent="0.3">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c r="T341">
        <f>IF(Table1[[#This Row],[Discount_Applied]]="Yes", 1,0)</f>
        <v>1</v>
      </c>
      <c r="U341" t="str">
        <f>_xlfn.IFS(Table1[[#This Row],[Age]]&lt;=25, "Below 25", Table1[[#This Row],[Age]]&lt;=35, "Between 25-35", Table1[[#This Row],[Age]]&lt;=45, "Between 36-45", Table1[[#This Row],[Age]]&gt;45, "45+")</f>
        <v>Between 36-45</v>
      </c>
    </row>
    <row r="342" spans="1:21" x14ac:dyDescent="0.3">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c r="T342">
        <f>IF(Table1[[#This Row],[Discount_Applied]]="Yes", 1,0)</f>
        <v>1</v>
      </c>
      <c r="U342" t="str">
        <f>_xlfn.IFS(Table1[[#This Row],[Age]]&lt;=25, "Below 25", Table1[[#This Row],[Age]]&lt;=35, "Between 25-35", Table1[[#This Row],[Age]]&lt;=45, "Between 36-45", Table1[[#This Row],[Age]]&gt;45, "45+")</f>
        <v>Between 36-45</v>
      </c>
    </row>
    <row r="343" spans="1:21" x14ac:dyDescent="0.3">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c r="T343">
        <f>IF(Table1[[#This Row],[Discount_Applied]]="Yes", 1,0)</f>
        <v>1</v>
      </c>
      <c r="U343" t="str">
        <f>_xlfn.IFS(Table1[[#This Row],[Age]]&lt;=25, "Below 25", Table1[[#This Row],[Age]]&lt;=35, "Between 25-35", Table1[[#This Row],[Age]]&lt;=45, "Between 36-45", Table1[[#This Row],[Age]]&gt;45, "45+")</f>
        <v>Below 25</v>
      </c>
    </row>
    <row r="344" spans="1:21" x14ac:dyDescent="0.3">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c r="T344">
        <f>IF(Table1[[#This Row],[Discount_Applied]]="Yes", 1,0)</f>
        <v>1</v>
      </c>
      <c r="U344" t="str">
        <f>_xlfn.IFS(Table1[[#This Row],[Age]]&lt;=25, "Below 25", Table1[[#This Row],[Age]]&lt;=35, "Between 25-35", Table1[[#This Row],[Age]]&lt;=45, "Between 36-45", Table1[[#This Row],[Age]]&gt;45, "45+")</f>
        <v>45+</v>
      </c>
    </row>
    <row r="345" spans="1:21" x14ac:dyDescent="0.3">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c r="T345">
        <f>IF(Table1[[#This Row],[Discount_Applied]]="Yes", 1,0)</f>
        <v>1</v>
      </c>
      <c r="U345" t="str">
        <f>_xlfn.IFS(Table1[[#This Row],[Age]]&lt;=25, "Below 25", Table1[[#This Row],[Age]]&lt;=35, "Between 25-35", Table1[[#This Row],[Age]]&lt;=45, "Between 36-45", Table1[[#This Row],[Age]]&gt;45, "45+")</f>
        <v>Between 25-35</v>
      </c>
    </row>
    <row r="346" spans="1:21" x14ac:dyDescent="0.3">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c r="T346">
        <f>IF(Table1[[#This Row],[Discount_Applied]]="Yes", 1,0)</f>
        <v>1</v>
      </c>
      <c r="U346" t="str">
        <f>_xlfn.IFS(Table1[[#This Row],[Age]]&lt;=25, "Below 25", Table1[[#This Row],[Age]]&lt;=35, "Between 25-35", Table1[[#This Row],[Age]]&lt;=45, "Between 36-45", Table1[[#This Row],[Age]]&gt;45, "45+")</f>
        <v>Below 25</v>
      </c>
    </row>
    <row r="347" spans="1:21" x14ac:dyDescent="0.3">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c r="T347">
        <f>IF(Table1[[#This Row],[Discount_Applied]]="Yes", 1,0)</f>
        <v>1</v>
      </c>
      <c r="U347" t="str">
        <f>_xlfn.IFS(Table1[[#This Row],[Age]]&lt;=25, "Below 25", Table1[[#This Row],[Age]]&lt;=35, "Between 25-35", Table1[[#This Row],[Age]]&lt;=45, "Between 36-45", Table1[[#This Row],[Age]]&gt;45, "45+")</f>
        <v>45+</v>
      </c>
    </row>
    <row r="348" spans="1:21" x14ac:dyDescent="0.3">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c r="T348">
        <f>IF(Table1[[#This Row],[Discount_Applied]]="Yes", 1,0)</f>
        <v>1</v>
      </c>
      <c r="U348" t="str">
        <f>_xlfn.IFS(Table1[[#This Row],[Age]]&lt;=25, "Below 25", Table1[[#This Row],[Age]]&lt;=35, "Between 25-35", Table1[[#This Row],[Age]]&lt;=45, "Between 36-45", Table1[[#This Row],[Age]]&gt;45, "45+")</f>
        <v>45+</v>
      </c>
    </row>
    <row r="349" spans="1:21" x14ac:dyDescent="0.3">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c r="T349">
        <f>IF(Table1[[#This Row],[Discount_Applied]]="Yes", 1,0)</f>
        <v>1</v>
      </c>
      <c r="U349" t="str">
        <f>_xlfn.IFS(Table1[[#This Row],[Age]]&lt;=25, "Below 25", Table1[[#This Row],[Age]]&lt;=35, "Between 25-35", Table1[[#This Row],[Age]]&lt;=45, "Between 36-45", Table1[[#This Row],[Age]]&gt;45, "45+")</f>
        <v>Between 36-45</v>
      </c>
    </row>
    <row r="350" spans="1:21" x14ac:dyDescent="0.3">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c r="T350">
        <f>IF(Table1[[#This Row],[Discount_Applied]]="Yes", 1,0)</f>
        <v>1</v>
      </c>
      <c r="U350" t="str">
        <f>_xlfn.IFS(Table1[[#This Row],[Age]]&lt;=25, "Below 25", Table1[[#This Row],[Age]]&lt;=35, "Between 25-35", Table1[[#This Row],[Age]]&lt;=45, "Between 36-45", Table1[[#This Row],[Age]]&gt;45, "45+")</f>
        <v>45+</v>
      </c>
    </row>
    <row r="351" spans="1:21" x14ac:dyDescent="0.3">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c r="T351">
        <f>IF(Table1[[#This Row],[Discount_Applied]]="Yes", 1,0)</f>
        <v>1</v>
      </c>
      <c r="U351" t="str">
        <f>_xlfn.IFS(Table1[[#This Row],[Age]]&lt;=25, "Below 25", Table1[[#This Row],[Age]]&lt;=35, "Between 25-35", Table1[[#This Row],[Age]]&lt;=45, "Between 36-45", Table1[[#This Row],[Age]]&gt;45, "45+")</f>
        <v>Between 36-45</v>
      </c>
    </row>
    <row r="352" spans="1:21" x14ac:dyDescent="0.3">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c r="T352">
        <f>IF(Table1[[#This Row],[Discount_Applied]]="Yes", 1,0)</f>
        <v>1</v>
      </c>
      <c r="U352" t="str">
        <f>_xlfn.IFS(Table1[[#This Row],[Age]]&lt;=25, "Below 25", Table1[[#This Row],[Age]]&lt;=35, "Between 25-35", Table1[[#This Row],[Age]]&lt;=45, "Between 36-45", Table1[[#This Row],[Age]]&gt;45, "45+")</f>
        <v>Between 36-45</v>
      </c>
    </row>
    <row r="353" spans="1:21" x14ac:dyDescent="0.3">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c r="T353">
        <f>IF(Table1[[#This Row],[Discount_Applied]]="Yes", 1,0)</f>
        <v>1</v>
      </c>
      <c r="U353" t="str">
        <f>_xlfn.IFS(Table1[[#This Row],[Age]]&lt;=25, "Below 25", Table1[[#This Row],[Age]]&lt;=35, "Between 25-35", Table1[[#This Row],[Age]]&lt;=45, "Between 36-45", Table1[[#This Row],[Age]]&gt;45, "45+")</f>
        <v>Between 25-35</v>
      </c>
    </row>
    <row r="354" spans="1:21" x14ac:dyDescent="0.3">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c r="T354">
        <f>IF(Table1[[#This Row],[Discount_Applied]]="Yes", 1,0)</f>
        <v>1</v>
      </c>
      <c r="U354" t="str">
        <f>_xlfn.IFS(Table1[[#This Row],[Age]]&lt;=25, "Below 25", Table1[[#This Row],[Age]]&lt;=35, "Between 25-35", Table1[[#This Row],[Age]]&lt;=45, "Between 36-45", Table1[[#This Row],[Age]]&gt;45, "45+")</f>
        <v>Between 25-35</v>
      </c>
    </row>
    <row r="355" spans="1:21" x14ac:dyDescent="0.3">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c r="T355">
        <f>IF(Table1[[#This Row],[Discount_Applied]]="Yes", 1,0)</f>
        <v>1</v>
      </c>
      <c r="U355" t="str">
        <f>_xlfn.IFS(Table1[[#This Row],[Age]]&lt;=25, "Below 25", Table1[[#This Row],[Age]]&lt;=35, "Between 25-35", Table1[[#This Row],[Age]]&lt;=45, "Between 36-45", Table1[[#This Row],[Age]]&gt;45, "45+")</f>
        <v>45+</v>
      </c>
    </row>
    <row r="356" spans="1:21" x14ac:dyDescent="0.3">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c r="T356">
        <f>IF(Table1[[#This Row],[Discount_Applied]]="Yes", 1,0)</f>
        <v>1</v>
      </c>
      <c r="U356" t="str">
        <f>_xlfn.IFS(Table1[[#This Row],[Age]]&lt;=25, "Below 25", Table1[[#This Row],[Age]]&lt;=35, "Between 25-35", Table1[[#This Row],[Age]]&lt;=45, "Between 36-45", Table1[[#This Row],[Age]]&gt;45, "45+")</f>
        <v>45+</v>
      </c>
    </row>
    <row r="357" spans="1:21" x14ac:dyDescent="0.3">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c r="T357">
        <f>IF(Table1[[#This Row],[Discount_Applied]]="Yes", 1,0)</f>
        <v>1</v>
      </c>
      <c r="U357" t="str">
        <f>_xlfn.IFS(Table1[[#This Row],[Age]]&lt;=25, "Below 25", Table1[[#This Row],[Age]]&lt;=35, "Between 25-35", Table1[[#This Row],[Age]]&lt;=45, "Between 36-45", Table1[[#This Row],[Age]]&gt;45, "45+")</f>
        <v>Between 36-45</v>
      </c>
    </row>
    <row r="358" spans="1:21" x14ac:dyDescent="0.3">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c r="T358">
        <f>IF(Table1[[#This Row],[Discount_Applied]]="Yes", 1,0)</f>
        <v>1</v>
      </c>
      <c r="U358" t="str">
        <f>_xlfn.IFS(Table1[[#This Row],[Age]]&lt;=25, "Below 25", Table1[[#This Row],[Age]]&lt;=35, "Between 25-35", Table1[[#This Row],[Age]]&lt;=45, "Between 36-45", Table1[[#This Row],[Age]]&gt;45, "45+")</f>
        <v>45+</v>
      </c>
    </row>
    <row r="359" spans="1:21" x14ac:dyDescent="0.3">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c r="T359">
        <f>IF(Table1[[#This Row],[Discount_Applied]]="Yes", 1,0)</f>
        <v>1</v>
      </c>
      <c r="U359" t="str">
        <f>_xlfn.IFS(Table1[[#This Row],[Age]]&lt;=25, "Below 25", Table1[[#This Row],[Age]]&lt;=35, "Between 25-35", Table1[[#This Row],[Age]]&lt;=45, "Between 36-45", Table1[[#This Row],[Age]]&gt;45, "45+")</f>
        <v>Below 25</v>
      </c>
    </row>
    <row r="360" spans="1:21" x14ac:dyDescent="0.3">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c r="T360">
        <f>IF(Table1[[#This Row],[Discount_Applied]]="Yes", 1,0)</f>
        <v>1</v>
      </c>
      <c r="U360" t="str">
        <f>_xlfn.IFS(Table1[[#This Row],[Age]]&lt;=25, "Below 25", Table1[[#This Row],[Age]]&lt;=35, "Between 25-35", Table1[[#This Row],[Age]]&lt;=45, "Between 36-45", Table1[[#This Row],[Age]]&gt;45, "45+")</f>
        <v>45+</v>
      </c>
    </row>
    <row r="361" spans="1:21" x14ac:dyDescent="0.3">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c r="T361">
        <f>IF(Table1[[#This Row],[Discount_Applied]]="Yes", 1,0)</f>
        <v>1</v>
      </c>
      <c r="U361" t="str">
        <f>_xlfn.IFS(Table1[[#This Row],[Age]]&lt;=25, "Below 25", Table1[[#This Row],[Age]]&lt;=35, "Between 25-35", Table1[[#This Row],[Age]]&lt;=45, "Between 36-45", Table1[[#This Row],[Age]]&gt;45, "45+")</f>
        <v>Between 25-35</v>
      </c>
    </row>
    <row r="362" spans="1:21" x14ac:dyDescent="0.3">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c r="T362">
        <f>IF(Table1[[#This Row],[Discount_Applied]]="Yes", 1,0)</f>
        <v>1</v>
      </c>
      <c r="U362" t="str">
        <f>_xlfn.IFS(Table1[[#This Row],[Age]]&lt;=25, "Below 25", Table1[[#This Row],[Age]]&lt;=35, "Between 25-35", Table1[[#This Row],[Age]]&lt;=45, "Between 36-45", Table1[[#This Row],[Age]]&gt;45, "45+")</f>
        <v>45+</v>
      </c>
    </row>
    <row r="363" spans="1:21" x14ac:dyDescent="0.3">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c r="T363">
        <f>IF(Table1[[#This Row],[Discount_Applied]]="Yes", 1,0)</f>
        <v>1</v>
      </c>
      <c r="U363" t="str">
        <f>_xlfn.IFS(Table1[[#This Row],[Age]]&lt;=25, "Below 25", Table1[[#This Row],[Age]]&lt;=35, "Between 25-35", Table1[[#This Row],[Age]]&lt;=45, "Between 36-45", Table1[[#This Row],[Age]]&gt;45, "45+")</f>
        <v>45+</v>
      </c>
    </row>
    <row r="364" spans="1:21" x14ac:dyDescent="0.3">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c r="T364">
        <f>IF(Table1[[#This Row],[Discount_Applied]]="Yes", 1,0)</f>
        <v>1</v>
      </c>
      <c r="U364" t="str">
        <f>_xlfn.IFS(Table1[[#This Row],[Age]]&lt;=25, "Below 25", Table1[[#This Row],[Age]]&lt;=35, "Between 25-35", Table1[[#This Row],[Age]]&lt;=45, "Between 36-45", Table1[[#This Row],[Age]]&gt;45, "45+")</f>
        <v>45+</v>
      </c>
    </row>
    <row r="365" spans="1:21" x14ac:dyDescent="0.3">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c r="T365">
        <f>IF(Table1[[#This Row],[Discount_Applied]]="Yes", 1,0)</f>
        <v>1</v>
      </c>
      <c r="U365" t="str">
        <f>_xlfn.IFS(Table1[[#This Row],[Age]]&lt;=25, "Below 25", Table1[[#This Row],[Age]]&lt;=35, "Between 25-35", Table1[[#This Row],[Age]]&lt;=45, "Between 36-45", Table1[[#This Row],[Age]]&gt;45, "45+")</f>
        <v>45+</v>
      </c>
    </row>
    <row r="366" spans="1:21" x14ac:dyDescent="0.3">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c r="T366">
        <f>IF(Table1[[#This Row],[Discount_Applied]]="Yes", 1,0)</f>
        <v>1</v>
      </c>
      <c r="U366" t="str">
        <f>_xlfn.IFS(Table1[[#This Row],[Age]]&lt;=25, "Below 25", Table1[[#This Row],[Age]]&lt;=35, "Between 25-35", Table1[[#This Row],[Age]]&lt;=45, "Between 36-45", Table1[[#This Row],[Age]]&gt;45, "45+")</f>
        <v>45+</v>
      </c>
    </row>
    <row r="367" spans="1:21" x14ac:dyDescent="0.3">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c r="T367">
        <f>IF(Table1[[#This Row],[Discount_Applied]]="Yes", 1,0)</f>
        <v>1</v>
      </c>
      <c r="U367" t="str">
        <f>_xlfn.IFS(Table1[[#This Row],[Age]]&lt;=25, "Below 25", Table1[[#This Row],[Age]]&lt;=35, "Between 25-35", Table1[[#This Row],[Age]]&lt;=45, "Between 36-45", Table1[[#This Row],[Age]]&gt;45, "45+")</f>
        <v>45+</v>
      </c>
    </row>
    <row r="368" spans="1:21" x14ac:dyDescent="0.3">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c r="T368">
        <f>IF(Table1[[#This Row],[Discount_Applied]]="Yes", 1,0)</f>
        <v>1</v>
      </c>
      <c r="U368" t="str">
        <f>_xlfn.IFS(Table1[[#This Row],[Age]]&lt;=25, "Below 25", Table1[[#This Row],[Age]]&lt;=35, "Between 25-35", Table1[[#This Row],[Age]]&lt;=45, "Between 36-45", Table1[[#This Row],[Age]]&gt;45, "45+")</f>
        <v>45+</v>
      </c>
    </row>
    <row r="369" spans="1:21" x14ac:dyDescent="0.3">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c r="T369">
        <f>IF(Table1[[#This Row],[Discount_Applied]]="Yes", 1,0)</f>
        <v>1</v>
      </c>
      <c r="U369" t="str">
        <f>_xlfn.IFS(Table1[[#This Row],[Age]]&lt;=25, "Below 25", Table1[[#This Row],[Age]]&lt;=35, "Between 25-35", Table1[[#This Row],[Age]]&lt;=45, "Between 36-45", Table1[[#This Row],[Age]]&gt;45, "45+")</f>
        <v>45+</v>
      </c>
    </row>
    <row r="370" spans="1:21" x14ac:dyDescent="0.3">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c r="T370">
        <f>IF(Table1[[#This Row],[Discount_Applied]]="Yes", 1,0)</f>
        <v>1</v>
      </c>
      <c r="U370" t="str">
        <f>_xlfn.IFS(Table1[[#This Row],[Age]]&lt;=25, "Below 25", Table1[[#This Row],[Age]]&lt;=35, "Between 25-35", Table1[[#This Row],[Age]]&lt;=45, "Between 36-45", Table1[[#This Row],[Age]]&gt;45, "45+")</f>
        <v>Below 25</v>
      </c>
    </row>
    <row r="371" spans="1:21" x14ac:dyDescent="0.3">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c r="T371">
        <f>IF(Table1[[#This Row],[Discount_Applied]]="Yes", 1,0)</f>
        <v>1</v>
      </c>
      <c r="U371" t="str">
        <f>_xlfn.IFS(Table1[[#This Row],[Age]]&lt;=25, "Below 25", Table1[[#This Row],[Age]]&lt;=35, "Between 25-35", Table1[[#This Row],[Age]]&lt;=45, "Between 36-45", Table1[[#This Row],[Age]]&gt;45, "45+")</f>
        <v>Between 36-45</v>
      </c>
    </row>
    <row r="372" spans="1:21" x14ac:dyDescent="0.3">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c r="T372">
        <f>IF(Table1[[#This Row],[Discount_Applied]]="Yes", 1,0)</f>
        <v>1</v>
      </c>
      <c r="U372" t="str">
        <f>_xlfn.IFS(Table1[[#This Row],[Age]]&lt;=25, "Below 25", Table1[[#This Row],[Age]]&lt;=35, "Between 25-35", Table1[[#This Row],[Age]]&lt;=45, "Between 36-45", Table1[[#This Row],[Age]]&gt;45, "45+")</f>
        <v>45+</v>
      </c>
    </row>
    <row r="373" spans="1:21" x14ac:dyDescent="0.3">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c r="T373">
        <f>IF(Table1[[#This Row],[Discount_Applied]]="Yes", 1,0)</f>
        <v>1</v>
      </c>
      <c r="U373" t="str">
        <f>_xlfn.IFS(Table1[[#This Row],[Age]]&lt;=25, "Below 25", Table1[[#This Row],[Age]]&lt;=35, "Between 25-35", Table1[[#This Row],[Age]]&lt;=45, "Between 36-45", Table1[[#This Row],[Age]]&gt;45, "45+")</f>
        <v>Between 25-35</v>
      </c>
    </row>
    <row r="374" spans="1:21" x14ac:dyDescent="0.3">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c r="T374">
        <f>IF(Table1[[#This Row],[Discount_Applied]]="Yes", 1,0)</f>
        <v>1</v>
      </c>
      <c r="U374" t="str">
        <f>_xlfn.IFS(Table1[[#This Row],[Age]]&lt;=25, "Below 25", Table1[[#This Row],[Age]]&lt;=35, "Between 25-35", Table1[[#This Row],[Age]]&lt;=45, "Between 36-45", Table1[[#This Row],[Age]]&gt;45, "45+")</f>
        <v>Below 25</v>
      </c>
    </row>
    <row r="375" spans="1:21" x14ac:dyDescent="0.3">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c r="T375">
        <f>IF(Table1[[#This Row],[Discount_Applied]]="Yes", 1,0)</f>
        <v>1</v>
      </c>
      <c r="U375" t="str">
        <f>_xlfn.IFS(Table1[[#This Row],[Age]]&lt;=25, "Below 25", Table1[[#This Row],[Age]]&lt;=35, "Between 25-35", Table1[[#This Row],[Age]]&lt;=45, "Between 36-45", Table1[[#This Row],[Age]]&gt;45, "45+")</f>
        <v>Below 25</v>
      </c>
    </row>
    <row r="376" spans="1:21" x14ac:dyDescent="0.3">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c r="T376">
        <f>IF(Table1[[#This Row],[Discount_Applied]]="Yes", 1,0)</f>
        <v>1</v>
      </c>
      <c r="U376" t="str">
        <f>_xlfn.IFS(Table1[[#This Row],[Age]]&lt;=25, "Below 25", Table1[[#This Row],[Age]]&lt;=35, "Between 25-35", Table1[[#This Row],[Age]]&lt;=45, "Between 36-45", Table1[[#This Row],[Age]]&gt;45, "45+")</f>
        <v>45+</v>
      </c>
    </row>
    <row r="377" spans="1:21" x14ac:dyDescent="0.3">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c r="T377">
        <f>IF(Table1[[#This Row],[Discount_Applied]]="Yes", 1,0)</f>
        <v>1</v>
      </c>
      <c r="U377" t="str">
        <f>_xlfn.IFS(Table1[[#This Row],[Age]]&lt;=25, "Below 25", Table1[[#This Row],[Age]]&lt;=35, "Between 25-35", Table1[[#This Row],[Age]]&lt;=45, "Between 36-45", Table1[[#This Row],[Age]]&gt;45, "45+")</f>
        <v>45+</v>
      </c>
    </row>
    <row r="378" spans="1:21" x14ac:dyDescent="0.3">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c r="T378">
        <f>IF(Table1[[#This Row],[Discount_Applied]]="Yes", 1,0)</f>
        <v>1</v>
      </c>
      <c r="U378" t="str">
        <f>_xlfn.IFS(Table1[[#This Row],[Age]]&lt;=25, "Below 25", Table1[[#This Row],[Age]]&lt;=35, "Between 25-35", Table1[[#This Row],[Age]]&lt;=45, "Between 36-45", Table1[[#This Row],[Age]]&gt;45, "45+")</f>
        <v>45+</v>
      </c>
    </row>
    <row r="379" spans="1:21" x14ac:dyDescent="0.3">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c r="T379">
        <f>IF(Table1[[#This Row],[Discount_Applied]]="Yes", 1,0)</f>
        <v>1</v>
      </c>
      <c r="U379" t="str">
        <f>_xlfn.IFS(Table1[[#This Row],[Age]]&lt;=25, "Below 25", Table1[[#This Row],[Age]]&lt;=35, "Between 25-35", Table1[[#This Row],[Age]]&lt;=45, "Between 36-45", Table1[[#This Row],[Age]]&gt;45, "45+")</f>
        <v>45+</v>
      </c>
    </row>
    <row r="380" spans="1:21" x14ac:dyDescent="0.3">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c r="T380">
        <f>IF(Table1[[#This Row],[Discount_Applied]]="Yes", 1,0)</f>
        <v>1</v>
      </c>
      <c r="U380" t="str">
        <f>_xlfn.IFS(Table1[[#This Row],[Age]]&lt;=25, "Below 25", Table1[[#This Row],[Age]]&lt;=35, "Between 25-35", Table1[[#This Row],[Age]]&lt;=45, "Between 36-45", Table1[[#This Row],[Age]]&gt;45, "45+")</f>
        <v>45+</v>
      </c>
    </row>
    <row r="381" spans="1:21" x14ac:dyDescent="0.3">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c r="T381">
        <f>IF(Table1[[#This Row],[Discount_Applied]]="Yes", 1,0)</f>
        <v>1</v>
      </c>
      <c r="U381" t="str">
        <f>_xlfn.IFS(Table1[[#This Row],[Age]]&lt;=25, "Below 25", Table1[[#This Row],[Age]]&lt;=35, "Between 25-35", Table1[[#This Row],[Age]]&lt;=45, "Between 36-45", Table1[[#This Row],[Age]]&gt;45, "45+")</f>
        <v>Between 25-35</v>
      </c>
    </row>
    <row r="382" spans="1:21" x14ac:dyDescent="0.3">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c r="T382">
        <f>IF(Table1[[#This Row],[Discount_Applied]]="Yes", 1,0)</f>
        <v>1</v>
      </c>
      <c r="U382" t="str">
        <f>_xlfn.IFS(Table1[[#This Row],[Age]]&lt;=25, "Below 25", Table1[[#This Row],[Age]]&lt;=35, "Between 25-35", Table1[[#This Row],[Age]]&lt;=45, "Between 36-45", Table1[[#This Row],[Age]]&gt;45, "45+")</f>
        <v>Between 36-45</v>
      </c>
    </row>
    <row r="383" spans="1:21" x14ac:dyDescent="0.3">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c r="T383">
        <f>IF(Table1[[#This Row],[Discount_Applied]]="Yes", 1,0)</f>
        <v>1</v>
      </c>
      <c r="U383" t="str">
        <f>_xlfn.IFS(Table1[[#This Row],[Age]]&lt;=25, "Below 25", Table1[[#This Row],[Age]]&lt;=35, "Between 25-35", Table1[[#This Row],[Age]]&lt;=45, "Between 36-45", Table1[[#This Row],[Age]]&gt;45, "45+")</f>
        <v>45+</v>
      </c>
    </row>
    <row r="384" spans="1:21" x14ac:dyDescent="0.3">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c r="T384">
        <f>IF(Table1[[#This Row],[Discount_Applied]]="Yes", 1,0)</f>
        <v>1</v>
      </c>
      <c r="U384" t="str">
        <f>_xlfn.IFS(Table1[[#This Row],[Age]]&lt;=25, "Below 25", Table1[[#This Row],[Age]]&lt;=35, "Between 25-35", Table1[[#This Row],[Age]]&lt;=45, "Between 36-45", Table1[[#This Row],[Age]]&gt;45, "45+")</f>
        <v>Between 25-35</v>
      </c>
    </row>
    <row r="385" spans="1:21" x14ac:dyDescent="0.3">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c r="T385">
        <f>IF(Table1[[#This Row],[Discount_Applied]]="Yes", 1,0)</f>
        <v>1</v>
      </c>
      <c r="U385" t="str">
        <f>_xlfn.IFS(Table1[[#This Row],[Age]]&lt;=25, "Below 25", Table1[[#This Row],[Age]]&lt;=35, "Between 25-35", Table1[[#This Row],[Age]]&lt;=45, "Between 36-45", Table1[[#This Row],[Age]]&gt;45, "45+")</f>
        <v>45+</v>
      </c>
    </row>
    <row r="386" spans="1:21" x14ac:dyDescent="0.3">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c r="T386">
        <f>IF(Table1[[#This Row],[Discount_Applied]]="Yes", 1,0)</f>
        <v>1</v>
      </c>
      <c r="U386" t="str">
        <f>_xlfn.IFS(Table1[[#This Row],[Age]]&lt;=25, "Below 25", Table1[[#This Row],[Age]]&lt;=35, "Between 25-35", Table1[[#This Row],[Age]]&lt;=45, "Between 36-45", Table1[[#This Row],[Age]]&gt;45, "45+")</f>
        <v>45+</v>
      </c>
    </row>
    <row r="387" spans="1:21" x14ac:dyDescent="0.3">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c r="T387">
        <f>IF(Table1[[#This Row],[Discount_Applied]]="Yes", 1,0)</f>
        <v>1</v>
      </c>
      <c r="U387" t="str">
        <f>_xlfn.IFS(Table1[[#This Row],[Age]]&lt;=25, "Below 25", Table1[[#This Row],[Age]]&lt;=35, "Between 25-35", Table1[[#This Row],[Age]]&lt;=45, "Between 36-45", Table1[[#This Row],[Age]]&gt;45, "45+")</f>
        <v>45+</v>
      </c>
    </row>
    <row r="388" spans="1:21" x14ac:dyDescent="0.3">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c r="T388">
        <f>IF(Table1[[#This Row],[Discount_Applied]]="Yes", 1,0)</f>
        <v>1</v>
      </c>
      <c r="U388" t="str">
        <f>_xlfn.IFS(Table1[[#This Row],[Age]]&lt;=25, "Below 25", Table1[[#This Row],[Age]]&lt;=35, "Between 25-35", Table1[[#This Row],[Age]]&lt;=45, "Between 36-45", Table1[[#This Row],[Age]]&gt;45, "45+")</f>
        <v>45+</v>
      </c>
    </row>
    <row r="389" spans="1:21" x14ac:dyDescent="0.3">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c r="T389">
        <f>IF(Table1[[#This Row],[Discount_Applied]]="Yes", 1,0)</f>
        <v>1</v>
      </c>
      <c r="U389" t="str">
        <f>_xlfn.IFS(Table1[[#This Row],[Age]]&lt;=25, "Below 25", Table1[[#This Row],[Age]]&lt;=35, "Between 25-35", Table1[[#This Row],[Age]]&lt;=45, "Between 36-45", Table1[[#This Row],[Age]]&gt;45, "45+")</f>
        <v>Between 36-45</v>
      </c>
    </row>
    <row r="390" spans="1:21" x14ac:dyDescent="0.3">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c r="T390">
        <f>IF(Table1[[#This Row],[Discount_Applied]]="Yes", 1,0)</f>
        <v>1</v>
      </c>
      <c r="U390" t="str">
        <f>_xlfn.IFS(Table1[[#This Row],[Age]]&lt;=25, "Below 25", Table1[[#This Row],[Age]]&lt;=35, "Between 25-35", Table1[[#This Row],[Age]]&lt;=45, "Between 36-45", Table1[[#This Row],[Age]]&gt;45, "45+")</f>
        <v>Below 25</v>
      </c>
    </row>
    <row r="391" spans="1:21" x14ac:dyDescent="0.3">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c r="T391">
        <f>IF(Table1[[#This Row],[Discount_Applied]]="Yes", 1,0)</f>
        <v>1</v>
      </c>
      <c r="U391" t="str">
        <f>_xlfn.IFS(Table1[[#This Row],[Age]]&lt;=25, "Below 25", Table1[[#This Row],[Age]]&lt;=35, "Between 25-35", Table1[[#This Row],[Age]]&lt;=45, "Between 36-45", Table1[[#This Row],[Age]]&gt;45, "45+")</f>
        <v>Between 25-35</v>
      </c>
    </row>
    <row r="392" spans="1:21" x14ac:dyDescent="0.3">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c r="T392">
        <f>IF(Table1[[#This Row],[Discount_Applied]]="Yes", 1,0)</f>
        <v>1</v>
      </c>
      <c r="U392" t="str">
        <f>_xlfn.IFS(Table1[[#This Row],[Age]]&lt;=25, "Below 25", Table1[[#This Row],[Age]]&lt;=35, "Between 25-35", Table1[[#This Row],[Age]]&lt;=45, "Between 36-45", Table1[[#This Row],[Age]]&gt;45, "45+")</f>
        <v>Below 25</v>
      </c>
    </row>
    <row r="393" spans="1:21" x14ac:dyDescent="0.3">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c r="T393">
        <f>IF(Table1[[#This Row],[Discount_Applied]]="Yes", 1,0)</f>
        <v>1</v>
      </c>
      <c r="U393" t="str">
        <f>_xlfn.IFS(Table1[[#This Row],[Age]]&lt;=25, "Below 25", Table1[[#This Row],[Age]]&lt;=35, "Between 25-35", Table1[[#This Row],[Age]]&lt;=45, "Between 36-45", Table1[[#This Row],[Age]]&gt;45, "45+")</f>
        <v>Between 36-45</v>
      </c>
    </row>
    <row r="394" spans="1:21" x14ac:dyDescent="0.3">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c r="T394">
        <f>IF(Table1[[#This Row],[Discount_Applied]]="Yes", 1,0)</f>
        <v>1</v>
      </c>
      <c r="U394" t="str">
        <f>_xlfn.IFS(Table1[[#This Row],[Age]]&lt;=25, "Below 25", Table1[[#This Row],[Age]]&lt;=35, "Between 25-35", Table1[[#This Row],[Age]]&lt;=45, "Between 36-45", Table1[[#This Row],[Age]]&gt;45, "45+")</f>
        <v>Between 25-35</v>
      </c>
    </row>
    <row r="395" spans="1:21" x14ac:dyDescent="0.3">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c r="T395">
        <f>IF(Table1[[#This Row],[Discount_Applied]]="Yes", 1,0)</f>
        <v>1</v>
      </c>
      <c r="U395" t="str">
        <f>_xlfn.IFS(Table1[[#This Row],[Age]]&lt;=25, "Below 25", Table1[[#This Row],[Age]]&lt;=35, "Between 25-35", Table1[[#This Row],[Age]]&lt;=45, "Between 36-45", Table1[[#This Row],[Age]]&gt;45, "45+")</f>
        <v>Between 25-35</v>
      </c>
    </row>
    <row r="396" spans="1:21" x14ac:dyDescent="0.3">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c r="T396">
        <f>IF(Table1[[#This Row],[Discount_Applied]]="Yes", 1,0)</f>
        <v>1</v>
      </c>
      <c r="U396" t="str">
        <f>_xlfn.IFS(Table1[[#This Row],[Age]]&lt;=25, "Below 25", Table1[[#This Row],[Age]]&lt;=35, "Between 25-35", Table1[[#This Row],[Age]]&lt;=45, "Between 36-45", Table1[[#This Row],[Age]]&gt;45, "45+")</f>
        <v>Between 36-45</v>
      </c>
    </row>
    <row r="397" spans="1:21" x14ac:dyDescent="0.3">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c r="T397">
        <f>IF(Table1[[#This Row],[Discount_Applied]]="Yes", 1,0)</f>
        <v>1</v>
      </c>
      <c r="U397" t="str">
        <f>_xlfn.IFS(Table1[[#This Row],[Age]]&lt;=25, "Below 25", Table1[[#This Row],[Age]]&lt;=35, "Between 25-35", Table1[[#This Row],[Age]]&lt;=45, "Between 36-45", Table1[[#This Row],[Age]]&gt;45, "45+")</f>
        <v>Between 36-45</v>
      </c>
    </row>
    <row r="398" spans="1:21" x14ac:dyDescent="0.3">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c r="T398">
        <f>IF(Table1[[#This Row],[Discount_Applied]]="Yes", 1,0)</f>
        <v>1</v>
      </c>
      <c r="U398" t="str">
        <f>_xlfn.IFS(Table1[[#This Row],[Age]]&lt;=25, "Below 25", Table1[[#This Row],[Age]]&lt;=35, "Between 25-35", Table1[[#This Row],[Age]]&lt;=45, "Between 36-45", Table1[[#This Row],[Age]]&gt;45, "45+")</f>
        <v>45+</v>
      </c>
    </row>
    <row r="399" spans="1:21" x14ac:dyDescent="0.3">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c r="T399">
        <f>IF(Table1[[#This Row],[Discount_Applied]]="Yes", 1,0)</f>
        <v>1</v>
      </c>
      <c r="U399" t="str">
        <f>_xlfn.IFS(Table1[[#This Row],[Age]]&lt;=25, "Below 25", Table1[[#This Row],[Age]]&lt;=35, "Between 25-35", Table1[[#This Row],[Age]]&lt;=45, "Between 36-45", Table1[[#This Row],[Age]]&gt;45, "45+")</f>
        <v>Below 25</v>
      </c>
    </row>
    <row r="400" spans="1:21" x14ac:dyDescent="0.3">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c r="T400">
        <f>IF(Table1[[#This Row],[Discount_Applied]]="Yes", 1,0)</f>
        <v>1</v>
      </c>
      <c r="U400" t="str">
        <f>_xlfn.IFS(Table1[[#This Row],[Age]]&lt;=25, "Below 25", Table1[[#This Row],[Age]]&lt;=35, "Between 25-35", Table1[[#This Row],[Age]]&lt;=45, "Between 36-45", Table1[[#This Row],[Age]]&gt;45, "45+")</f>
        <v>Below 25</v>
      </c>
    </row>
    <row r="401" spans="1:21" x14ac:dyDescent="0.3">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c r="T401">
        <f>IF(Table1[[#This Row],[Discount_Applied]]="Yes", 1,0)</f>
        <v>1</v>
      </c>
      <c r="U401" t="str">
        <f>_xlfn.IFS(Table1[[#This Row],[Age]]&lt;=25, "Below 25", Table1[[#This Row],[Age]]&lt;=35, "Between 25-35", Table1[[#This Row],[Age]]&lt;=45, "Between 36-45", Table1[[#This Row],[Age]]&gt;45, "45+")</f>
        <v>45+</v>
      </c>
    </row>
    <row r="402" spans="1:21" x14ac:dyDescent="0.3">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c r="T402">
        <f>IF(Table1[[#This Row],[Discount_Applied]]="Yes", 1,0)</f>
        <v>1</v>
      </c>
      <c r="U402" t="str">
        <f>_xlfn.IFS(Table1[[#This Row],[Age]]&lt;=25, "Below 25", Table1[[#This Row],[Age]]&lt;=35, "Between 25-35", Table1[[#This Row],[Age]]&lt;=45, "Between 36-45", Table1[[#This Row],[Age]]&gt;45, "45+")</f>
        <v>Between 36-45</v>
      </c>
    </row>
    <row r="403" spans="1:21" x14ac:dyDescent="0.3">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c r="T403">
        <f>IF(Table1[[#This Row],[Discount_Applied]]="Yes", 1,0)</f>
        <v>1</v>
      </c>
      <c r="U403" t="str">
        <f>_xlfn.IFS(Table1[[#This Row],[Age]]&lt;=25, "Below 25", Table1[[#This Row],[Age]]&lt;=35, "Between 25-35", Table1[[#This Row],[Age]]&lt;=45, "Between 36-45", Table1[[#This Row],[Age]]&gt;45, "45+")</f>
        <v>Between 36-45</v>
      </c>
    </row>
    <row r="404" spans="1:21" x14ac:dyDescent="0.3">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c r="T404">
        <f>IF(Table1[[#This Row],[Discount_Applied]]="Yes", 1,0)</f>
        <v>1</v>
      </c>
      <c r="U404" t="str">
        <f>_xlfn.IFS(Table1[[#This Row],[Age]]&lt;=25, "Below 25", Table1[[#This Row],[Age]]&lt;=35, "Between 25-35", Table1[[#This Row],[Age]]&lt;=45, "Between 36-45", Table1[[#This Row],[Age]]&gt;45, "45+")</f>
        <v>Between 25-35</v>
      </c>
    </row>
    <row r="405" spans="1:21" x14ac:dyDescent="0.3">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c r="T405">
        <f>IF(Table1[[#This Row],[Discount_Applied]]="Yes", 1,0)</f>
        <v>1</v>
      </c>
      <c r="U405" t="str">
        <f>_xlfn.IFS(Table1[[#This Row],[Age]]&lt;=25, "Below 25", Table1[[#This Row],[Age]]&lt;=35, "Between 25-35", Table1[[#This Row],[Age]]&lt;=45, "Between 36-45", Table1[[#This Row],[Age]]&gt;45, "45+")</f>
        <v>Below 25</v>
      </c>
    </row>
    <row r="406" spans="1:21" x14ac:dyDescent="0.3">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c r="T406">
        <f>IF(Table1[[#This Row],[Discount_Applied]]="Yes", 1,0)</f>
        <v>1</v>
      </c>
      <c r="U406" t="str">
        <f>_xlfn.IFS(Table1[[#This Row],[Age]]&lt;=25, "Below 25", Table1[[#This Row],[Age]]&lt;=35, "Between 25-35", Table1[[#This Row],[Age]]&lt;=45, "Between 36-45", Table1[[#This Row],[Age]]&gt;45, "45+")</f>
        <v>Between 25-35</v>
      </c>
    </row>
    <row r="407" spans="1:21" x14ac:dyDescent="0.3">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c r="T407">
        <f>IF(Table1[[#This Row],[Discount_Applied]]="Yes", 1,0)</f>
        <v>1</v>
      </c>
      <c r="U407" t="str">
        <f>_xlfn.IFS(Table1[[#This Row],[Age]]&lt;=25, "Below 25", Table1[[#This Row],[Age]]&lt;=35, "Between 25-35", Table1[[#This Row],[Age]]&lt;=45, "Between 36-45", Table1[[#This Row],[Age]]&gt;45, "45+")</f>
        <v>Between 36-45</v>
      </c>
    </row>
    <row r="408" spans="1:21" x14ac:dyDescent="0.3">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c r="T408">
        <f>IF(Table1[[#This Row],[Discount_Applied]]="Yes", 1,0)</f>
        <v>1</v>
      </c>
      <c r="U408" t="str">
        <f>_xlfn.IFS(Table1[[#This Row],[Age]]&lt;=25, "Below 25", Table1[[#This Row],[Age]]&lt;=35, "Between 25-35", Table1[[#This Row],[Age]]&lt;=45, "Between 36-45", Table1[[#This Row],[Age]]&gt;45, "45+")</f>
        <v>45+</v>
      </c>
    </row>
    <row r="409" spans="1:21" x14ac:dyDescent="0.3">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c r="T409">
        <f>IF(Table1[[#This Row],[Discount_Applied]]="Yes", 1,0)</f>
        <v>1</v>
      </c>
      <c r="U409" t="str">
        <f>_xlfn.IFS(Table1[[#This Row],[Age]]&lt;=25, "Below 25", Table1[[#This Row],[Age]]&lt;=35, "Between 25-35", Table1[[#This Row],[Age]]&lt;=45, "Between 36-45", Table1[[#This Row],[Age]]&gt;45, "45+")</f>
        <v>Between 36-45</v>
      </c>
    </row>
    <row r="410" spans="1:21" x14ac:dyDescent="0.3">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c r="T410">
        <f>IF(Table1[[#This Row],[Discount_Applied]]="Yes", 1,0)</f>
        <v>1</v>
      </c>
      <c r="U410" t="str">
        <f>_xlfn.IFS(Table1[[#This Row],[Age]]&lt;=25, "Below 25", Table1[[#This Row],[Age]]&lt;=35, "Between 25-35", Table1[[#This Row],[Age]]&lt;=45, "Between 36-45", Table1[[#This Row],[Age]]&gt;45, "45+")</f>
        <v>Between 25-35</v>
      </c>
    </row>
    <row r="411" spans="1:21" x14ac:dyDescent="0.3">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c r="T411">
        <f>IF(Table1[[#This Row],[Discount_Applied]]="Yes", 1,0)</f>
        <v>1</v>
      </c>
      <c r="U411" t="str">
        <f>_xlfn.IFS(Table1[[#This Row],[Age]]&lt;=25, "Below 25", Table1[[#This Row],[Age]]&lt;=35, "Between 25-35", Table1[[#This Row],[Age]]&lt;=45, "Between 36-45", Table1[[#This Row],[Age]]&gt;45, "45+")</f>
        <v>Between 25-35</v>
      </c>
    </row>
    <row r="412" spans="1:21" x14ac:dyDescent="0.3">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c r="T412">
        <f>IF(Table1[[#This Row],[Discount_Applied]]="Yes", 1,0)</f>
        <v>1</v>
      </c>
      <c r="U412" t="str">
        <f>_xlfn.IFS(Table1[[#This Row],[Age]]&lt;=25, "Below 25", Table1[[#This Row],[Age]]&lt;=35, "Between 25-35", Table1[[#This Row],[Age]]&lt;=45, "Between 36-45", Table1[[#This Row],[Age]]&gt;45, "45+")</f>
        <v>Between 25-35</v>
      </c>
    </row>
    <row r="413" spans="1:21" x14ac:dyDescent="0.3">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c r="T413">
        <f>IF(Table1[[#This Row],[Discount_Applied]]="Yes", 1,0)</f>
        <v>1</v>
      </c>
      <c r="U413" t="str">
        <f>_xlfn.IFS(Table1[[#This Row],[Age]]&lt;=25, "Below 25", Table1[[#This Row],[Age]]&lt;=35, "Between 25-35", Table1[[#This Row],[Age]]&lt;=45, "Between 36-45", Table1[[#This Row],[Age]]&gt;45, "45+")</f>
        <v>45+</v>
      </c>
    </row>
    <row r="414" spans="1:21" x14ac:dyDescent="0.3">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c r="T414">
        <f>IF(Table1[[#This Row],[Discount_Applied]]="Yes", 1,0)</f>
        <v>1</v>
      </c>
      <c r="U414" t="str">
        <f>_xlfn.IFS(Table1[[#This Row],[Age]]&lt;=25, "Below 25", Table1[[#This Row],[Age]]&lt;=35, "Between 25-35", Table1[[#This Row],[Age]]&lt;=45, "Between 36-45", Table1[[#This Row],[Age]]&gt;45, "45+")</f>
        <v>Below 25</v>
      </c>
    </row>
    <row r="415" spans="1:21" x14ac:dyDescent="0.3">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c r="T415">
        <f>IF(Table1[[#This Row],[Discount_Applied]]="Yes", 1,0)</f>
        <v>1</v>
      </c>
      <c r="U415" t="str">
        <f>_xlfn.IFS(Table1[[#This Row],[Age]]&lt;=25, "Below 25", Table1[[#This Row],[Age]]&lt;=35, "Between 25-35", Table1[[#This Row],[Age]]&lt;=45, "Between 36-45", Table1[[#This Row],[Age]]&gt;45, "45+")</f>
        <v>45+</v>
      </c>
    </row>
    <row r="416" spans="1:21" x14ac:dyDescent="0.3">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c r="T416">
        <f>IF(Table1[[#This Row],[Discount_Applied]]="Yes", 1,0)</f>
        <v>1</v>
      </c>
      <c r="U416" t="str">
        <f>_xlfn.IFS(Table1[[#This Row],[Age]]&lt;=25, "Below 25", Table1[[#This Row],[Age]]&lt;=35, "Between 25-35", Table1[[#This Row],[Age]]&lt;=45, "Between 36-45", Table1[[#This Row],[Age]]&gt;45, "45+")</f>
        <v>Between 25-35</v>
      </c>
    </row>
    <row r="417" spans="1:21" x14ac:dyDescent="0.3">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c r="T417">
        <f>IF(Table1[[#This Row],[Discount_Applied]]="Yes", 1,0)</f>
        <v>1</v>
      </c>
      <c r="U417" t="str">
        <f>_xlfn.IFS(Table1[[#This Row],[Age]]&lt;=25, "Below 25", Table1[[#This Row],[Age]]&lt;=35, "Between 25-35", Table1[[#This Row],[Age]]&lt;=45, "Between 36-45", Table1[[#This Row],[Age]]&gt;45, "45+")</f>
        <v>45+</v>
      </c>
    </row>
    <row r="418" spans="1:21" x14ac:dyDescent="0.3">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c r="T418">
        <f>IF(Table1[[#This Row],[Discount_Applied]]="Yes", 1,0)</f>
        <v>1</v>
      </c>
      <c r="U418" t="str">
        <f>_xlfn.IFS(Table1[[#This Row],[Age]]&lt;=25, "Below 25", Table1[[#This Row],[Age]]&lt;=35, "Between 25-35", Table1[[#This Row],[Age]]&lt;=45, "Between 36-45", Table1[[#This Row],[Age]]&gt;45, "45+")</f>
        <v>Between 36-45</v>
      </c>
    </row>
    <row r="419" spans="1:21" x14ac:dyDescent="0.3">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c r="T419">
        <f>IF(Table1[[#This Row],[Discount_Applied]]="Yes", 1,0)</f>
        <v>1</v>
      </c>
      <c r="U419" t="str">
        <f>_xlfn.IFS(Table1[[#This Row],[Age]]&lt;=25, "Below 25", Table1[[#This Row],[Age]]&lt;=35, "Between 25-35", Table1[[#This Row],[Age]]&lt;=45, "Between 36-45", Table1[[#This Row],[Age]]&gt;45, "45+")</f>
        <v>Below 25</v>
      </c>
    </row>
    <row r="420" spans="1:21" x14ac:dyDescent="0.3">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c r="T420">
        <f>IF(Table1[[#This Row],[Discount_Applied]]="Yes", 1,0)</f>
        <v>1</v>
      </c>
      <c r="U420" t="str">
        <f>_xlfn.IFS(Table1[[#This Row],[Age]]&lt;=25, "Below 25", Table1[[#This Row],[Age]]&lt;=35, "Between 25-35", Table1[[#This Row],[Age]]&lt;=45, "Between 36-45", Table1[[#This Row],[Age]]&gt;45, "45+")</f>
        <v>Below 25</v>
      </c>
    </row>
    <row r="421" spans="1:21" x14ac:dyDescent="0.3">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c r="T421">
        <f>IF(Table1[[#This Row],[Discount_Applied]]="Yes", 1,0)</f>
        <v>1</v>
      </c>
      <c r="U421" t="str">
        <f>_xlfn.IFS(Table1[[#This Row],[Age]]&lt;=25, "Below 25", Table1[[#This Row],[Age]]&lt;=35, "Between 25-35", Table1[[#This Row],[Age]]&lt;=45, "Between 36-45", Table1[[#This Row],[Age]]&gt;45, "45+")</f>
        <v>45+</v>
      </c>
    </row>
    <row r="422" spans="1:21" x14ac:dyDescent="0.3">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c r="T422">
        <f>IF(Table1[[#This Row],[Discount_Applied]]="Yes", 1,0)</f>
        <v>1</v>
      </c>
      <c r="U422" t="str">
        <f>_xlfn.IFS(Table1[[#This Row],[Age]]&lt;=25, "Below 25", Table1[[#This Row],[Age]]&lt;=35, "Between 25-35", Table1[[#This Row],[Age]]&lt;=45, "Between 36-45", Table1[[#This Row],[Age]]&gt;45, "45+")</f>
        <v>Between 25-35</v>
      </c>
    </row>
    <row r="423" spans="1:21" x14ac:dyDescent="0.3">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c r="T423">
        <f>IF(Table1[[#This Row],[Discount_Applied]]="Yes", 1,0)</f>
        <v>1</v>
      </c>
      <c r="U423" t="str">
        <f>_xlfn.IFS(Table1[[#This Row],[Age]]&lt;=25, "Below 25", Table1[[#This Row],[Age]]&lt;=35, "Between 25-35", Table1[[#This Row],[Age]]&lt;=45, "Between 36-45", Table1[[#This Row],[Age]]&gt;45, "45+")</f>
        <v>Between 36-45</v>
      </c>
    </row>
    <row r="424" spans="1:21" x14ac:dyDescent="0.3">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c r="T424">
        <f>IF(Table1[[#This Row],[Discount_Applied]]="Yes", 1,0)</f>
        <v>1</v>
      </c>
      <c r="U424" t="str">
        <f>_xlfn.IFS(Table1[[#This Row],[Age]]&lt;=25, "Below 25", Table1[[#This Row],[Age]]&lt;=35, "Between 25-35", Table1[[#This Row],[Age]]&lt;=45, "Between 36-45", Table1[[#This Row],[Age]]&gt;45, "45+")</f>
        <v>45+</v>
      </c>
    </row>
    <row r="425" spans="1:21" x14ac:dyDescent="0.3">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c r="T425">
        <f>IF(Table1[[#This Row],[Discount_Applied]]="Yes", 1,0)</f>
        <v>1</v>
      </c>
      <c r="U425" t="str">
        <f>_xlfn.IFS(Table1[[#This Row],[Age]]&lt;=25, "Below 25", Table1[[#This Row],[Age]]&lt;=35, "Between 25-35", Table1[[#This Row],[Age]]&lt;=45, "Between 36-45", Table1[[#This Row],[Age]]&gt;45, "45+")</f>
        <v>45+</v>
      </c>
    </row>
    <row r="426" spans="1:21" x14ac:dyDescent="0.3">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c r="T426">
        <f>IF(Table1[[#This Row],[Discount_Applied]]="Yes", 1,0)</f>
        <v>1</v>
      </c>
      <c r="U426" t="str">
        <f>_xlfn.IFS(Table1[[#This Row],[Age]]&lt;=25, "Below 25", Table1[[#This Row],[Age]]&lt;=35, "Between 25-35", Table1[[#This Row],[Age]]&lt;=45, "Between 36-45", Table1[[#This Row],[Age]]&gt;45, "45+")</f>
        <v>45+</v>
      </c>
    </row>
    <row r="427" spans="1:21" x14ac:dyDescent="0.3">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c r="T427">
        <f>IF(Table1[[#This Row],[Discount_Applied]]="Yes", 1,0)</f>
        <v>1</v>
      </c>
      <c r="U427" t="str">
        <f>_xlfn.IFS(Table1[[#This Row],[Age]]&lt;=25, "Below 25", Table1[[#This Row],[Age]]&lt;=35, "Between 25-35", Table1[[#This Row],[Age]]&lt;=45, "Between 36-45", Table1[[#This Row],[Age]]&gt;45, "45+")</f>
        <v>Between 36-45</v>
      </c>
    </row>
    <row r="428" spans="1:21" x14ac:dyDescent="0.3">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c r="T428">
        <f>IF(Table1[[#This Row],[Discount_Applied]]="Yes", 1,0)</f>
        <v>1</v>
      </c>
      <c r="U428" t="str">
        <f>_xlfn.IFS(Table1[[#This Row],[Age]]&lt;=25, "Below 25", Table1[[#This Row],[Age]]&lt;=35, "Between 25-35", Table1[[#This Row],[Age]]&lt;=45, "Between 36-45", Table1[[#This Row],[Age]]&gt;45, "45+")</f>
        <v>Between 36-45</v>
      </c>
    </row>
    <row r="429" spans="1:21" x14ac:dyDescent="0.3">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c r="T429">
        <f>IF(Table1[[#This Row],[Discount_Applied]]="Yes", 1,0)</f>
        <v>1</v>
      </c>
      <c r="U429" t="str">
        <f>_xlfn.IFS(Table1[[#This Row],[Age]]&lt;=25, "Below 25", Table1[[#This Row],[Age]]&lt;=35, "Between 25-35", Table1[[#This Row],[Age]]&lt;=45, "Between 36-45", Table1[[#This Row],[Age]]&gt;45, "45+")</f>
        <v>45+</v>
      </c>
    </row>
    <row r="430" spans="1:21" x14ac:dyDescent="0.3">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c r="T430">
        <f>IF(Table1[[#This Row],[Discount_Applied]]="Yes", 1,0)</f>
        <v>1</v>
      </c>
      <c r="U430" t="str">
        <f>_xlfn.IFS(Table1[[#This Row],[Age]]&lt;=25, "Below 25", Table1[[#This Row],[Age]]&lt;=35, "Between 25-35", Table1[[#This Row],[Age]]&lt;=45, "Between 36-45", Table1[[#This Row],[Age]]&gt;45, "45+")</f>
        <v>Below 25</v>
      </c>
    </row>
    <row r="431" spans="1:21" x14ac:dyDescent="0.3">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c r="T431">
        <f>IF(Table1[[#This Row],[Discount_Applied]]="Yes", 1,0)</f>
        <v>1</v>
      </c>
      <c r="U431" t="str">
        <f>_xlfn.IFS(Table1[[#This Row],[Age]]&lt;=25, "Below 25", Table1[[#This Row],[Age]]&lt;=35, "Between 25-35", Table1[[#This Row],[Age]]&lt;=45, "Between 36-45", Table1[[#This Row],[Age]]&gt;45, "45+")</f>
        <v>Between 36-45</v>
      </c>
    </row>
    <row r="432" spans="1:21" x14ac:dyDescent="0.3">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c r="T432">
        <f>IF(Table1[[#This Row],[Discount_Applied]]="Yes", 1,0)</f>
        <v>1</v>
      </c>
      <c r="U432" t="str">
        <f>_xlfn.IFS(Table1[[#This Row],[Age]]&lt;=25, "Below 25", Table1[[#This Row],[Age]]&lt;=35, "Between 25-35", Table1[[#This Row],[Age]]&lt;=45, "Between 36-45", Table1[[#This Row],[Age]]&gt;45, "45+")</f>
        <v>Below 25</v>
      </c>
    </row>
    <row r="433" spans="1:21" x14ac:dyDescent="0.3">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c r="T433">
        <f>IF(Table1[[#This Row],[Discount_Applied]]="Yes", 1,0)</f>
        <v>1</v>
      </c>
      <c r="U433" t="str">
        <f>_xlfn.IFS(Table1[[#This Row],[Age]]&lt;=25, "Below 25", Table1[[#This Row],[Age]]&lt;=35, "Between 25-35", Table1[[#This Row],[Age]]&lt;=45, "Between 36-45", Table1[[#This Row],[Age]]&gt;45, "45+")</f>
        <v>Between 36-45</v>
      </c>
    </row>
    <row r="434" spans="1:21" x14ac:dyDescent="0.3">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c r="T434">
        <f>IF(Table1[[#This Row],[Discount_Applied]]="Yes", 1,0)</f>
        <v>1</v>
      </c>
      <c r="U434" t="str">
        <f>_xlfn.IFS(Table1[[#This Row],[Age]]&lt;=25, "Below 25", Table1[[#This Row],[Age]]&lt;=35, "Between 25-35", Table1[[#This Row],[Age]]&lt;=45, "Between 36-45", Table1[[#This Row],[Age]]&gt;45, "45+")</f>
        <v>45+</v>
      </c>
    </row>
    <row r="435" spans="1:21" x14ac:dyDescent="0.3">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c r="T435">
        <f>IF(Table1[[#This Row],[Discount_Applied]]="Yes", 1,0)</f>
        <v>1</v>
      </c>
      <c r="U435" t="str">
        <f>_xlfn.IFS(Table1[[#This Row],[Age]]&lt;=25, "Below 25", Table1[[#This Row],[Age]]&lt;=35, "Between 25-35", Table1[[#This Row],[Age]]&lt;=45, "Between 36-45", Table1[[#This Row],[Age]]&gt;45, "45+")</f>
        <v>45+</v>
      </c>
    </row>
    <row r="436" spans="1:21" x14ac:dyDescent="0.3">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c r="T436">
        <f>IF(Table1[[#This Row],[Discount_Applied]]="Yes", 1,0)</f>
        <v>1</v>
      </c>
      <c r="U436" t="str">
        <f>_xlfn.IFS(Table1[[#This Row],[Age]]&lt;=25, "Below 25", Table1[[#This Row],[Age]]&lt;=35, "Between 25-35", Table1[[#This Row],[Age]]&lt;=45, "Between 36-45", Table1[[#This Row],[Age]]&gt;45, "45+")</f>
        <v>45+</v>
      </c>
    </row>
    <row r="437" spans="1:21" x14ac:dyDescent="0.3">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c r="T437">
        <f>IF(Table1[[#This Row],[Discount_Applied]]="Yes", 1,0)</f>
        <v>1</v>
      </c>
      <c r="U437" t="str">
        <f>_xlfn.IFS(Table1[[#This Row],[Age]]&lt;=25, "Below 25", Table1[[#This Row],[Age]]&lt;=35, "Between 25-35", Table1[[#This Row],[Age]]&lt;=45, "Between 36-45", Table1[[#This Row],[Age]]&gt;45, "45+")</f>
        <v>45+</v>
      </c>
    </row>
    <row r="438" spans="1:21" x14ac:dyDescent="0.3">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c r="T438">
        <f>IF(Table1[[#This Row],[Discount_Applied]]="Yes", 1,0)</f>
        <v>1</v>
      </c>
      <c r="U438" t="str">
        <f>_xlfn.IFS(Table1[[#This Row],[Age]]&lt;=25, "Below 25", Table1[[#This Row],[Age]]&lt;=35, "Between 25-35", Table1[[#This Row],[Age]]&lt;=45, "Between 36-45", Table1[[#This Row],[Age]]&gt;45, "45+")</f>
        <v>Between 36-45</v>
      </c>
    </row>
    <row r="439" spans="1:21" x14ac:dyDescent="0.3">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c r="T439">
        <f>IF(Table1[[#This Row],[Discount_Applied]]="Yes", 1,0)</f>
        <v>1</v>
      </c>
      <c r="U439" t="str">
        <f>_xlfn.IFS(Table1[[#This Row],[Age]]&lt;=25, "Below 25", Table1[[#This Row],[Age]]&lt;=35, "Between 25-35", Table1[[#This Row],[Age]]&lt;=45, "Between 36-45", Table1[[#This Row],[Age]]&gt;45, "45+")</f>
        <v>Between 36-45</v>
      </c>
    </row>
    <row r="440" spans="1:21" x14ac:dyDescent="0.3">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c r="T440">
        <f>IF(Table1[[#This Row],[Discount_Applied]]="Yes", 1,0)</f>
        <v>1</v>
      </c>
      <c r="U440" t="str">
        <f>_xlfn.IFS(Table1[[#This Row],[Age]]&lt;=25, "Below 25", Table1[[#This Row],[Age]]&lt;=35, "Between 25-35", Table1[[#This Row],[Age]]&lt;=45, "Between 36-45", Table1[[#This Row],[Age]]&gt;45, "45+")</f>
        <v>45+</v>
      </c>
    </row>
    <row r="441" spans="1:21" x14ac:dyDescent="0.3">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c r="T441">
        <f>IF(Table1[[#This Row],[Discount_Applied]]="Yes", 1,0)</f>
        <v>1</v>
      </c>
      <c r="U441" t="str">
        <f>_xlfn.IFS(Table1[[#This Row],[Age]]&lt;=25, "Below 25", Table1[[#This Row],[Age]]&lt;=35, "Between 25-35", Table1[[#This Row],[Age]]&lt;=45, "Between 36-45", Table1[[#This Row],[Age]]&gt;45, "45+")</f>
        <v>45+</v>
      </c>
    </row>
    <row r="442" spans="1:21" x14ac:dyDescent="0.3">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c r="T442">
        <f>IF(Table1[[#This Row],[Discount_Applied]]="Yes", 1,0)</f>
        <v>1</v>
      </c>
      <c r="U442" t="str">
        <f>_xlfn.IFS(Table1[[#This Row],[Age]]&lt;=25, "Below 25", Table1[[#This Row],[Age]]&lt;=35, "Between 25-35", Table1[[#This Row],[Age]]&lt;=45, "Between 36-45", Table1[[#This Row],[Age]]&gt;45, "45+")</f>
        <v>Below 25</v>
      </c>
    </row>
    <row r="443" spans="1:21" x14ac:dyDescent="0.3">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c r="T443">
        <f>IF(Table1[[#This Row],[Discount_Applied]]="Yes", 1,0)</f>
        <v>1</v>
      </c>
      <c r="U443" t="str">
        <f>_xlfn.IFS(Table1[[#This Row],[Age]]&lt;=25, "Below 25", Table1[[#This Row],[Age]]&lt;=35, "Between 25-35", Table1[[#This Row],[Age]]&lt;=45, "Between 36-45", Table1[[#This Row],[Age]]&gt;45, "45+")</f>
        <v>Between 36-45</v>
      </c>
    </row>
    <row r="444" spans="1:21" x14ac:dyDescent="0.3">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c r="T444">
        <f>IF(Table1[[#This Row],[Discount_Applied]]="Yes", 1,0)</f>
        <v>1</v>
      </c>
      <c r="U444" t="str">
        <f>_xlfn.IFS(Table1[[#This Row],[Age]]&lt;=25, "Below 25", Table1[[#This Row],[Age]]&lt;=35, "Between 25-35", Table1[[#This Row],[Age]]&lt;=45, "Between 36-45", Table1[[#This Row],[Age]]&gt;45, "45+")</f>
        <v>Between 25-35</v>
      </c>
    </row>
    <row r="445" spans="1:21" x14ac:dyDescent="0.3">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c r="T445">
        <f>IF(Table1[[#This Row],[Discount_Applied]]="Yes", 1,0)</f>
        <v>1</v>
      </c>
      <c r="U445" t="str">
        <f>_xlfn.IFS(Table1[[#This Row],[Age]]&lt;=25, "Below 25", Table1[[#This Row],[Age]]&lt;=35, "Between 25-35", Table1[[#This Row],[Age]]&lt;=45, "Between 36-45", Table1[[#This Row],[Age]]&gt;45, "45+")</f>
        <v>Below 25</v>
      </c>
    </row>
    <row r="446" spans="1:21" x14ac:dyDescent="0.3">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c r="T446">
        <f>IF(Table1[[#This Row],[Discount_Applied]]="Yes", 1,0)</f>
        <v>1</v>
      </c>
      <c r="U446" t="str">
        <f>_xlfn.IFS(Table1[[#This Row],[Age]]&lt;=25, "Below 25", Table1[[#This Row],[Age]]&lt;=35, "Between 25-35", Table1[[#This Row],[Age]]&lt;=45, "Between 36-45", Table1[[#This Row],[Age]]&gt;45, "45+")</f>
        <v>45+</v>
      </c>
    </row>
    <row r="447" spans="1:21" x14ac:dyDescent="0.3">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c r="T447">
        <f>IF(Table1[[#This Row],[Discount_Applied]]="Yes", 1,0)</f>
        <v>1</v>
      </c>
      <c r="U447" t="str">
        <f>_xlfn.IFS(Table1[[#This Row],[Age]]&lt;=25, "Below 25", Table1[[#This Row],[Age]]&lt;=35, "Between 25-35", Table1[[#This Row],[Age]]&lt;=45, "Between 36-45", Table1[[#This Row],[Age]]&gt;45, "45+")</f>
        <v>Between 36-45</v>
      </c>
    </row>
    <row r="448" spans="1:21" x14ac:dyDescent="0.3">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c r="T448">
        <f>IF(Table1[[#This Row],[Discount_Applied]]="Yes", 1,0)</f>
        <v>1</v>
      </c>
      <c r="U448" t="str">
        <f>_xlfn.IFS(Table1[[#This Row],[Age]]&lt;=25, "Below 25", Table1[[#This Row],[Age]]&lt;=35, "Between 25-35", Table1[[#This Row],[Age]]&lt;=45, "Between 36-45", Table1[[#This Row],[Age]]&gt;45, "45+")</f>
        <v>Below 25</v>
      </c>
    </row>
    <row r="449" spans="1:21" x14ac:dyDescent="0.3">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c r="T449">
        <f>IF(Table1[[#This Row],[Discount_Applied]]="Yes", 1,0)</f>
        <v>1</v>
      </c>
      <c r="U449" t="str">
        <f>_xlfn.IFS(Table1[[#This Row],[Age]]&lt;=25, "Below 25", Table1[[#This Row],[Age]]&lt;=35, "Between 25-35", Table1[[#This Row],[Age]]&lt;=45, "Between 36-45", Table1[[#This Row],[Age]]&gt;45, "45+")</f>
        <v>45+</v>
      </c>
    </row>
    <row r="450" spans="1:21" x14ac:dyDescent="0.3">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c r="T450">
        <f>IF(Table1[[#This Row],[Discount_Applied]]="Yes", 1,0)</f>
        <v>1</v>
      </c>
      <c r="U450" t="str">
        <f>_xlfn.IFS(Table1[[#This Row],[Age]]&lt;=25, "Below 25", Table1[[#This Row],[Age]]&lt;=35, "Between 25-35", Table1[[#This Row],[Age]]&lt;=45, "Between 36-45", Table1[[#This Row],[Age]]&gt;45, "45+")</f>
        <v>Between 25-35</v>
      </c>
    </row>
    <row r="451" spans="1:21" x14ac:dyDescent="0.3">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c r="T451">
        <f>IF(Table1[[#This Row],[Discount_Applied]]="Yes", 1,0)</f>
        <v>1</v>
      </c>
      <c r="U451" t="str">
        <f>_xlfn.IFS(Table1[[#This Row],[Age]]&lt;=25, "Below 25", Table1[[#This Row],[Age]]&lt;=35, "Between 25-35", Table1[[#This Row],[Age]]&lt;=45, "Between 36-45", Table1[[#This Row],[Age]]&gt;45, "45+")</f>
        <v>Between 25-35</v>
      </c>
    </row>
    <row r="452" spans="1:21" x14ac:dyDescent="0.3">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c r="T452">
        <f>IF(Table1[[#This Row],[Discount_Applied]]="Yes", 1,0)</f>
        <v>1</v>
      </c>
      <c r="U452" t="str">
        <f>_xlfn.IFS(Table1[[#This Row],[Age]]&lt;=25, "Below 25", Table1[[#This Row],[Age]]&lt;=35, "Between 25-35", Table1[[#This Row],[Age]]&lt;=45, "Between 36-45", Table1[[#This Row],[Age]]&gt;45, "45+")</f>
        <v>Below 25</v>
      </c>
    </row>
    <row r="453" spans="1:21" x14ac:dyDescent="0.3">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c r="T453">
        <f>IF(Table1[[#This Row],[Discount_Applied]]="Yes", 1,0)</f>
        <v>1</v>
      </c>
      <c r="U453" t="str">
        <f>_xlfn.IFS(Table1[[#This Row],[Age]]&lt;=25, "Below 25", Table1[[#This Row],[Age]]&lt;=35, "Between 25-35", Table1[[#This Row],[Age]]&lt;=45, "Between 36-45", Table1[[#This Row],[Age]]&gt;45, "45+")</f>
        <v>45+</v>
      </c>
    </row>
    <row r="454" spans="1:21" x14ac:dyDescent="0.3">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c r="T454">
        <f>IF(Table1[[#This Row],[Discount_Applied]]="Yes", 1,0)</f>
        <v>1</v>
      </c>
      <c r="U454" t="str">
        <f>_xlfn.IFS(Table1[[#This Row],[Age]]&lt;=25, "Below 25", Table1[[#This Row],[Age]]&lt;=35, "Between 25-35", Table1[[#This Row],[Age]]&lt;=45, "Between 36-45", Table1[[#This Row],[Age]]&gt;45, "45+")</f>
        <v>Between 36-45</v>
      </c>
    </row>
    <row r="455" spans="1:21" x14ac:dyDescent="0.3">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c r="T455">
        <f>IF(Table1[[#This Row],[Discount_Applied]]="Yes", 1,0)</f>
        <v>1</v>
      </c>
      <c r="U455" t="str">
        <f>_xlfn.IFS(Table1[[#This Row],[Age]]&lt;=25, "Below 25", Table1[[#This Row],[Age]]&lt;=35, "Between 25-35", Table1[[#This Row],[Age]]&lt;=45, "Between 36-45", Table1[[#This Row],[Age]]&gt;45, "45+")</f>
        <v>45+</v>
      </c>
    </row>
    <row r="456" spans="1:21" x14ac:dyDescent="0.3">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c r="T456">
        <f>IF(Table1[[#This Row],[Discount_Applied]]="Yes", 1,0)</f>
        <v>1</v>
      </c>
      <c r="U456" t="str">
        <f>_xlfn.IFS(Table1[[#This Row],[Age]]&lt;=25, "Below 25", Table1[[#This Row],[Age]]&lt;=35, "Between 25-35", Table1[[#This Row],[Age]]&lt;=45, "Between 36-45", Table1[[#This Row],[Age]]&gt;45, "45+")</f>
        <v>Between 36-45</v>
      </c>
    </row>
    <row r="457" spans="1:21" x14ac:dyDescent="0.3">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c r="T457">
        <f>IF(Table1[[#This Row],[Discount_Applied]]="Yes", 1,0)</f>
        <v>1</v>
      </c>
      <c r="U457" t="str">
        <f>_xlfn.IFS(Table1[[#This Row],[Age]]&lt;=25, "Below 25", Table1[[#This Row],[Age]]&lt;=35, "Between 25-35", Table1[[#This Row],[Age]]&lt;=45, "Between 36-45", Table1[[#This Row],[Age]]&gt;45, "45+")</f>
        <v>45+</v>
      </c>
    </row>
    <row r="458" spans="1:21" x14ac:dyDescent="0.3">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c r="T458">
        <f>IF(Table1[[#This Row],[Discount_Applied]]="Yes", 1,0)</f>
        <v>1</v>
      </c>
      <c r="U458" t="str">
        <f>_xlfn.IFS(Table1[[#This Row],[Age]]&lt;=25, "Below 25", Table1[[#This Row],[Age]]&lt;=35, "Between 25-35", Table1[[#This Row],[Age]]&lt;=45, "Between 36-45", Table1[[#This Row],[Age]]&gt;45, "45+")</f>
        <v>45+</v>
      </c>
    </row>
    <row r="459" spans="1:21" x14ac:dyDescent="0.3">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c r="T459">
        <f>IF(Table1[[#This Row],[Discount_Applied]]="Yes", 1,0)</f>
        <v>1</v>
      </c>
      <c r="U459" t="str">
        <f>_xlfn.IFS(Table1[[#This Row],[Age]]&lt;=25, "Below 25", Table1[[#This Row],[Age]]&lt;=35, "Between 25-35", Table1[[#This Row],[Age]]&lt;=45, "Between 36-45", Table1[[#This Row],[Age]]&gt;45, "45+")</f>
        <v>Below 25</v>
      </c>
    </row>
    <row r="460" spans="1:21" x14ac:dyDescent="0.3">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c r="T460">
        <f>IF(Table1[[#This Row],[Discount_Applied]]="Yes", 1,0)</f>
        <v>1</v>
      </c>
      <c r="U460" t="str">
        <f>_xlfn.IFS(Table1[[#This Row],[Age]]&lt;=25, "Below 25", Table1[[#This Row],[Age]]&lt;=35, "Between 25-35", Table1[[#This Row],[Age]]&lt;=45, "Between 36-45", Table1[[#This Row],[Age]]&gt;45, "45+")</f>
        <v>45+</v>
      </c>
    </row>
    <row r="461" spans="1:21" x14ac:dyDescent="0.3">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c r="T461">
        <f>IF(Table1[[#This Row],[Discount_Applied]]="Yes", 1,0)</f>
        <v>1</v>
      </c>
      <c r="U461" t="str">
        <f>_xlfn.IFS(Table1[[#This Row],[Age]]&lt;=25, "Below 25", Table1[[#This Row],[Age]]&lt;=35, "Between 25-35", Table1[[#This Row],[Age]]&lt;=45, "Between 36-45", Table1[[#This Row],[Age]]&gt;45, "45+")</f>
        <v>45+</v>
      </c>
    </row>
    <row r="462" spans="1:21" x14ac:dyDescent="0.3">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c r="T462">
        <f>IF(Table1[[#This Row],[Discount_Applied]]="Yes", 1,0)</f>
        <v>1</v>
      </c>
      <c r="U462" t="str">
        <f>_xlfn.IFS(Table1[[#This Row],[Age]]&lt;=25, "Below 25", Table1[[#This Row],[Age]]&lt;=35, "Between 25-35", Table1[[#This Row],[Age]]&lt;=45, "Between 36-45", Table1[[#This Row],[Age]]&gt;45, "45+")</f>
        <v>45+</v>
      </c>
    </row>
    <row r="463" spans="1:21" x14ac:dyDescent="0.3">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c r="T463">
        <f>IF(Table1[[#This Row],[Discount_Applied]]="Yes", 1,0)</f>
        <v>1</v>
      </c>
      <c r="U463" t="str">
        <f>_xlfn.IFS(Table1[[#This Row],[Age]]&lt;=25, "Below 25", Table1[[#This Row],[Age]]&lt;=35, "Between 25-35", Table1[[#This Row],[Age]]&lt;=45, "Between 36-45", Table1[[#This Row],[Age]]&gt;45, "45+")</f>
        <v>Below 25</v>
      </c>
    </row>
    <row r="464" spans="1:21" x14ac:dyDescent="0.3">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c r="T464">
        <f>IF(Table1[[#This Row],[Discount_Applied]]="Yes", 1,0)</f>
        <v>1</v>
      </c>
      <c r="U464" t="str">
        <f>_xlfn.IFS(Table1[[#This Row],[Age]]&lt;=25, "Below 25", Table1[[#This Row],[Age]]&lt;=35, "Between 25-35", Table1[[#This Row],[Age]]&lt;=45, "Between 36-45", Table1[[#This Row],[Age]]&gt;45, "45+")</f>
        <v>45+</v>
      </c>
    </row>
    <row r="465" spans="1:21" x14ac:dyDescent="0.3">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c r="T465">
        <f>IF(Table1[[#This Row],[Discount_Applied]]="Yes", 1,0)</f>
        <v>1</v>
      </c>
      <c r="U465" t="str">
        <f>_xlfn.IFS(Table1[[#This Row],[Age]]&lt;=25, "Below 25", Table1[[#This Row],[Age]]&lt;=35, "Between 25-35", Table1[[#This Row],[Age]]&lt;=45, "Between 36-45", Table1[[#This Row],[Age]]&gt;45, "45+")</f>
        <v>Between 36-45</v>
      </c>
    </row>
    <row r="466" spans="1:21" x14ac:dyDescent="0.3">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c r="T466">
        <f>IF(Table1[[#This Row],[Discount_Applied]]="Yes", 1,0)</f>
        <v>1</v>
      </c>
      <c r="U466" t="str">
        <f>_xlfn.IFS(Table1[[#This Row],[Age]]&lt;=25, "Below 25", Table1[[#This Row],[Age]]&lt;=35, "Between 25-35", Table1[[#This Row],[Age]]&lt;=45, "Between 36-45", Table1[[#This Row],[Age]]&gt;45, "45+")</f>
        <v>Below 25</v>
      </c>
    </row>
    <row r="467" spans="1:21" x14ac:dyDescent="0.3">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c r="T467">
        <f>IF(Table1[[#This Row],[Discount_Applied]]="Yes", 1,0)</f>
        <v>1</v>
      </c>
      <c r="U467" t="str">
        <f>_xlfn.IFS(Table1[[#This Row],[Age]]&lt;=25, "Below 25", Table1[[#This Row],[Age]]&lt;=35, "Between 25-35", Table1[[#This Row],[Age]]&lt;=45, "Between 36-45", Table1[[#This Row],[Age]]&gt;45, "45+")</f>
        <v>45+</v>
      </c>
    </row>
    <row r="468" spans="1:21" x14ac:dyDescent="0.3">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c r="T468">
        <f>IF(Table1[[#This Row],[Discount_Applied]]="Yes", 1,0)</f>
        <v>1</v>
      </c>
      <c r="U468" t="str">
        <f>_xlfn.IFS(Table1[[#This Row],[Age]]&lt;=25, "Below 25", Table1[[#This Row],[Age]]&lt;=35, "Between 25-35", Table1[[#This Row],[Age]]&lt;=45, "Between 36-45", Table1[[#This Row],[Age]]&gt;45, "45+")</f>
        <v>Between 36-45</v>
      </c>
    </row>
    <row r="469" spans="1:21" x14ac:dyDescent="0.3">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c r="T469">
        <f>IF(Table1[[#This Row],[Discount_Applied]]="Yes", 1,0)</f>
        <v>1</v>
      </c>
      <c r="U469" t="str">
        <f>_xlfn.IFS(Table1[[#This Row],[Age]]&lt;=25, "Below 25", Table1[[#This Row],[Age]]&lt;=35, "Between 25-35", Table1[[#This Row],[Age]]&lt;=45, "Between 36-45", Table1[[#This Row],[Age]]&gt;45, "45+")</f>
        <v>Below 25</v>
      </c>
    </row>
    <row r="470" spans="1:21" x14ac:dyDescent="0.3">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c r="T470">
        <f>IF(Table1[[#This Row],[Discount_Applied]]="Yes", 1,0)</f>
        <v>1</v>
      </c>
      <c r="U470" t="str">
        <f>_xlfn.IFS(Table1[[#This Row],[Age]]&lt;=25, "Below 25", Table1[[#This Row],[Age]]&lt;=35, "Between 25-35", Table1[[#This Row],[Age]]&lt;=45, "Between 36-45", Table1[[#This Row],[Age]]&gt;45, "45+")</f>
        <v>Between 25-35</v>
      </c>
    </row>
    <row r="471" spans="1:21" x14ac:dyDescent="0.3">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c r="T471">
        <f>IF(Table1[[#This Row],[Discount_Applied]]="Yes", 1,0)</f>
        <v>1</v>
      </c>
      <c r="U471" t="str">
        <f>_xlfn.IFS(Table1[[#This Row],[Age]]&lt;=25, "Below 25", Table1[[#This Row],[Age]]&lt;=35, "Between 25-35", Table1[[#This Row],[Age]]&lt;=45, "Between 36-45", Table1[[#This Row],[Age]]&gt;45, "45+")</f>
        <v>Below 25</v>
      </c>
    </row>
    <row r="472" spans="1:21" x14ac:dyDescent="0.3">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c r="T472">
        <f>IF(Table1[[#This Row],[Discount_Applied]]="Yes", 1,0)</f>
        <v>1</v>
      </c>
      <c r="U472" t="str">
        <f>_xlfn.IFS(Table1[[#This Row],[Age]]&lt;=25, "Below 25", Table1[[#This Row],[Age]]&lt;=35, "Between 25-35", Table1[[#This Row],[Age]]&lt;=45, "Between 36-45", Table1[[#This Row],[Age]]&gt;45, "45+")</f>
        <v>45+</v>
      </c>
    </row>
    <row r="473" spans="1:21" x14ac:dyDescent="0.3">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c r="T473">
        <f>IF(Table1[[#This Row],[Discount_Applied]]="Yes", 1,0)</f>
        <v>1</v>
      </c>
      <c r="U473" t="str">
        <f>_xlfn.IFS(Table1[[#This Row],[Age]]&lt;=25, "Below 25", Table1[[#This Row],[Age]]&lt;=35, "Between 25-35", Table1[[#This Row],[Age]]&lt;=45, "Between 36-45", Table1[[#This Row],[Age]]&gt;45, "45+")</f>
        <v>45+</v>
      </c>
    </row>
    <row r="474" spans="1:21" x14ac:dyDescent="0.3">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c r="T474">
        <f>IF(Table1[[#This Row],[Discount_Applied]]="Yes", 1,0)</f>
        <v>1</v>
      </c>
      <c r="U474" t="str">
        <f>_xlfn.IFS(Table1[[#This Row],[Age]]&lt;=25, "Below 25", Table1[[#This Row],[Age]]&lt;=35, "Between 25-35", Table1[[#This Row],[Age]]&lt;=45, "Between 36-45", Table1[[#This Row],[Age]]&gt;45, "45+")</f>
        <v>Below 25</v>
      </c>
    </row>
    <row r="475" spans="1:21" x14ac:dyDescent="0.3">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c r="T475">
        <f>IF(Table1[[#This Row],[Discount_Applied]]="Yes", 1,0)</f>
        <v>1</v>
      </c>
      <c r="U475" t="str">
        <f>_xlfn.IFS(Table1[[#This Row],[Age]]&lt;=25, "Below 25", Table1[[#This Row],[Age]]&lt;=35, "Between 25-35", Table1[[#This Row],[Age]]&lt;=45, "Between 36-45", Table1[[#This Row],[Age]]&gt;45, "45+")</f>
        <v>Between 25-35</v>
      </c>
    </row>
    <row r="476" spans="1:21" x14ac:dyDescent="0.3">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c r="T476">
        <f>IF(Table1[[#This Row],[Discount_Applied]]="Yes", 1,0)</f>
        <v>1</v>
      </c>
      <c r="U476" t="str">
        <f>_xlfn.IFS(Table1[[#This Row],[Age]]&lt;=25, "Below 25", Table1[[#This Row],[Age]]&lt;=35, "Between 25-35", Table1[[#This Row],[Age]]&lt;=45, "Between 36-45", Table1[[#This Row],[Age]]&gt;45, "45+")</f>
        <v>45+</v>
      </c>
    </row>
    <row r="477" spans="1:21" x14ac:dyDescent="0.3">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c r="T477">
        <f>IF(Table1[[#This Row],[Discount_Applied]]="Yes", 1,0)</f>
        <v>1</v>
      </c>
      <c r="U477" t="str">
        <f>_xlfn.IFS(Table1[[#This Row],[Age]]&lt;=25, "Below 25", Table1[[#This Row],[Age]]&lt;=35, "Between 25-35", Table1[[#This Row],[Age]]&lt;=45, "Between 36-45", Table1[[#This Row],[Age]]&gt;45, "45+")</f>
        <v>Below 25</v>
      </c>
    </row>
    <row r="478" spans="1:21" x14ac:dyDescent="0.3">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c r="T478">
        <f>IF(Table1[[#This Row],[Discount_Applied]]="Yes", 1,0)</f>
        <v>1</v>
      </c>
      <c r="U478" t="str">
        <f>_xlfn.IFS(Table1[[#This Row],[Age]]&lt;=25, "Below 25", Table1[[#This Row],[Age]]&lt;=35, "Between 25-35", Table1[[#This Row],[Age]]&lt;=45, "Between 36-45", Table1[[#This Row],[Age]]&gt;45, "45+")</f>
        <v>Below 25</v>
      </c>
    </row>
    <row r="479" spans="1:21" x14ac:dyDescent="0.3">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c r="T479">
        <f>IF(Table1[[#This Row],[Discount_Applied]]="Yes", 1,0)</f>
        <v>1</v>
      </c>
      <c r="U479" t="str">
        <f>_xlfn.IFS(Table1[[#This Row],[Age]]&lt;=25, "Below 25", Table1[[#This Row],[Age]]&lt;=35, "Between 25-35", Table1[[#This Row],[Age]]&lt;=45, "Between 36-45", Table1[[#This Row],[Age]]&gt;45, "45+")</f>
        <v>Between 36-45</v>
      </c>
    </row>
    <row r="480" spans="1:21" x14ac:dyDescent="0.3">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c r="T480">
        <f>IF(Table1[[#This Row],[Discount_Applied]]="Yes", 1,0)</f>
        <v>1</v>
      </c>
      <c r="U480" t="str">
        <f>_xlfn.IFS(Table1[[#This Row],[Age]]&lt;=25, "Below 25", Table1[[#This Row],[Age]]&lt;=35, "Between 25-35", Table1[[#This Row],[Age]]&lt;=45, "Between 36-45", Table1[[#This Row],[Age]]&gt;45, "45+")</f>
        <v>Between 25-35</v>
      </c>
    </row>
    <row r="481" spans="1:21" x14ac:dyDescent="0.3">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c r="T481">
        <f>IF(Table1[[#This Row],[Discount_Applied]]="Yes", 1,0)</f>
        <v>1</v>
      </c>
      <c r="U481" t="str">
        <f>_xlfn.IFS(Table1[[#This Row],[Age]]&lt;=25, "Below 25", Table1[[#This Row],[Age]]&lt;=35, "Between 25-35", Table1[[#This Row],[Age]]&lt;=45, "Between 36-45", Table1[[#This Row],[Age]]&gt;45, "45+")</f>
        <v>Between 36-45</v>
      </c>
    </row>
    <row r="482" spans="1:21" x14ac:dyDescent="0.3">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c r="T482">
        <f>IF(Table1[[#This Row],[Discount_Applied]]="Yes", 1,0)</f>
        <v>1</v>
      </c>
      <c r="U482" t="str">
        <f>_xlfn.IFS(Table1[[#This Row],[Age]]&lt;=25, "Below 25", Table1[[#This Row],[Age]]&lt;=35, "Between 25-35", Table1[[#This Row],[Age]]&lt;=45, "Between 36-45", Table1[[#This Row],[Age]]&gt;45, "45+")</f>
        <v>45+</v>
      </c>
    </row>
    <row r="483" spans="1:21" x14ac:dyDescent="0.3">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c r="T483">
        <f>IF(Table1[[#This Row],[Discount_Applied]]="Yes", 1,0)</f>
        <v>1</v>
      </c>
      <c r="U483" t="str">
        <f>_xlfn.IFS(Table1[[#This Row],[Age]]&lt;=25, "Below 25", Table1[[#This Row],[Age]]&lt;=35, "Between 25-35", Table1[[#This Row],[Age]]&lt;=45, "Between 36-45", Table1[[#This Row],[Age]]&gt;45, "45+")</f>
        <v>45+</v>
      </c>
    </row>
    <row r="484" spans="1:21" x14ac:dyDescent="0.3">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c r="T484">
        <f>IF(Table1[[#This Row],[Discount_Applied]]="Yes", 1,0)</f>
        <v>1</v>
      </c>
      <c r="U484" t="str">
        <f>_xlfn.IFS(Table1[[#This Row],[Age]]&lt;=25, "Below 25", Table1[[#This Row],[Age]]&lt;=35, "Between 25-35", Table1[[#This Row],[Age]]&lt;=45, "Between 36-45", Table1[[#This Row],[Age]]&gt;45, "45+")</f>
        <v>Between 36-45</v>
      </c>
    </row>
    <row r="485" spans="1:21" x14ac:dyDescent="0.3">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c r="T485">
        <f>IF(Table1[[#This Row],[Discount_Applied]]="Yes", 1,0)</f>
        <v>1</v>
      </c>
      <c r="U485" t="str">
        <f>_xlfn.IFS(Table1[[#This Row],[Age]]&lt;=25, "Below 25", Table1[[#This Row],[Age]]&lt;=35, "Between 25-35", Table1[[#This Row],[Age]]&lt;=45, "Between 36-45", Table1[[#This Row],[Age]]&gt;45, "45+")</f>
        <v>Below 25</v>
      </c>
    </row>
    <row r="486" spans="1:21" x14ac:dyDescent="0.3">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c r="T486">
        <f>IF(Table1[[#This Row],[Discount_Applied]]="Yes", 1,0)</f>
        <v>1</v>
      </c>
      <c r="U486" t="str">
        <f>_xlfn.IFS(Table1[[#This Row],[Age]]&lt;=25, "Below 25", Table1[[#This Row],[Age]]&lt;=35, "Between 25-35", Table1[[#This Row],[Age]]&lt;=45, "Between 36-45", Table1[[#This Row],[Age]]&gt;45, "45+")</f>
        <v>45+</v>
      </c>
    </row>
    <row r="487" spans="1:21" x14ac:dyDescent="0.3">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c r="T487">
        <f>IF(Table1[[#This Row],[Discount_Applied]]="Yes", 1,0)</f>
        <v>1</v>
      </c>
      <c r="U487" t="str">
        <f>_xlfn.IFS(Table1[[#This Row],[Age]]&lt;=25, "Below 25", Table1[[#This Row],[Age]]&lt;=35, "Between 25-35", Table1[[#This Row],[Age]]&lt;=45, "Between 36-45", Table1[[#This Row],[Age]]&gt;45, "45+")</f>
        <v>45+</v>
      </c>
    </row>
    <row r="488" spans="1:21" x14ac:dyDescent="0.3">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c r="T488">
        <f>IF(Table1[[#This Row],[Discount_Applied]]="Yes", 1,0)</f>
        <v>1</v>
      </c>
      <c r="U488" t="str">
        <f>_xlfn.IFS(Table1[[#This Row],[Age]]&lt;=25, "Below 25", Table1[[#This Row],[Age]]&lt;=35, "Between 25-35", Table1[[#This Row],[Age]]&lt;=45, "Between 36-45", Table1[[#This Row],[Age]]&gt;45, "45+")</f>
        <v>Between 36-45</v>
      </c>
    </row>
    <row r="489" spans="1:21" x14ac:dyDescent="0.3">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c r="T489">
        <f>IF(Table1[[#This Row],[Discount_Applied]]="Yes", 1,0)</f>
        <v>1</v>
      </c>
      <c r="U489" t="str">
        <f>_xlfn.IFS(Table1[[#This Row],[Age]]&lt;=25, "Below 25", Table1[[#This Row],[Age]]&lt;=35, "Between 25-35", Table1[[#This Row],[Age]]&lt;=45, "Between 36-45", Table1[[#This Row],[Age]]&gt;45, "45+")</f>
        <v>Between 36-45</v>
      </c>
    </row>
    <row r="490" spans="1:21" x14ac:dyDescent="0.3">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c r="T490">
        <f>IF(Table1[[#This Row],[Discount_Applied]]="Yes", 1,0)</f>
        <v>1</v>
      </c>
      <c r="U490" t="str">
        <f>_xlfn.IFS(Table1[[#This Row],[Age]]&lt;=25, "Below 25", Table1[[#This Row],[Age]]&lt;=35, "Between 25-35", Table1[[#This Row],[Age]]&lt;=45, "Between 36-45", Table1[[#This Row],[Age]]&gt;45, "45+")</f>
        <v>45+</v>
      </c>
    </row>
    <row r="491" spans="1:21" x14ac:dyDescent="0.3">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c r="T491">
        <f>IF(Table1[[#This Row],[Discount_Applied]]="Yes", 1,0)</f>
        <v>1</v>
      </c>
      <c r="U491" t="str">
        <f>_xlfn.IFS(Table1[[#This Row],[Age]]&lt;=25, "Below 25", Table1[[#This Row],[Age]]&lt;=35, "Between 25-35", Table1[[#This Row],[Age]]&lt;=45, "Between 36-45", Table1[[#This Row],[Age]]&gt;45, "45+")</f>
        <v>45+</v>
      </c>
    </row>
    <row r="492" spans="1:21" x14ac:dyDescent="0.3">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c r="T492">
        <f>IF(Table1[[#This Row],[Discount_Applied]]="Yes", 1,0)</f>
        <v>1</v>
      </c>
      <c r="U492" t="str">
        <f>_xlfn.IFS(Table1[[#This Row],[Age]]&lt;=25, "Below 25", Table1[[#This Row],[Age]]&lt;=35, "Between 25-35", Table1[[#This Row],[Age]]&lt;=45, "Between 36-45", Table1[[#This Row],[Age]]&gt;45, "45+")</f>
        <v>45+</v>
      </c>
    </row>
    <row r="493" spans="1:21" x14ac:dyDescent="0.3">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c r="T493">
        <f>IF(Table1[[#This Row],[Discount_Applied]]="Yes", 1,0)</f>
        <v>1</v>
      </c>
      <c r="U493" t="str">
        <f>_xlfn.IFS(Table1[[#This Row],[Age]]&lt;=25, "Below 25", Table1[[#This Row],[Age]]&lt;=35, "Between 25-35", Table1[[#This Row],[Age]]&lt;=45, "Between 36-45", Table1[[#This Row],[Age]]&gt;45, "45+")</f>
        <v>45+</v>
      </c>
    </row>
    <row r="494" spans="1:21" x14ac:dyDescent="0.3">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c r="T494">
        <f>IF(Table1[[#This Row],[Discount_Applied]]="Yes", 1,0)</f>
        <v>1</v>
      </c>
      <c r="U494" t="str">
        <f>_xlfn.IFS(Table1[[#This Row],[Age]]&lt;=25, "Below 25", Table1[[#This Row],[Age]]&lt;=35, "Between 25-35", Table1[[#This Row],[Age]]&lt;=45, "Between 36-45", Table1[[#This Row],[Age]]&gt;45, "45+")</f>
        <v>45+</v>
      </c>
    </row>
    <row r="495" spans="1:21" x14ac:dyDescent="0.3">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c r="T495">
        <f>IF(Table1[[#This Row],[Discount_Applied]]="Yes", 1,0)</f>
        <v>1</v>
      </c>
      <c r="U495" t="str">
        <f>_xlfn.IFS(Table1[[#This Row],[Age]]&lt;=25, "Below 25", Table1[[#This Row],[Age]]&lt;=35, "Between 25-35", Table1[[#This Row],[Age]]&lt;=45, "Between 36-45", Table1[[#This Row],[Age]]&gt;45, "45+")</f>
        <v>Between 25-35</v>
      </c>
    </row>
    <row r="496" spans="1:21" x14ac:dyDescent="0.3">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c r="T496">
        <f>IF(Table1[[#This Row],[Discount_Applied]]="Yes", 1,0)</f>
        <v>1</v>
      </c>
      <c r="U496" t="str">
        <f>_xlfn.IFS(Table1[[#This Row],[Age]]&lt;=25, "Below 25", Table1[[#This Row],[Age]]&lt;=35, "Between 25-35", Table1[[#This Row],[Age]]&lt;=45, "Between 36-45", Table1[[#This Row],[Age]]&gt;45, "45+")</f>
        <v>Between 36-45</v>
      </c>
    </row>
    <row r="497" spans="1:21" x14ac:dyDescent="0.3">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c r="T497">
        <f>IF(Table1[[#This Row],[Discount_Applied]]="Yes", 1,0)</f>
        <v>1</v>
      </c>
      <c r="U497" t="str">
        <f>_xlfn.IFS(Table1[[#This Row],[Age]]&lt;=25, "Below 25", Table1[[#This Row],[Age]]&lt;=35, "Between 25-35", Table1[[#This Row],[Age]]&lt;=45, "Between 36-45", Table1[[#This Row],[Age]]&gt;45, "45+")</f>
        <v>Between 25-35</v>
      </c>
    </row>
    <row r="498" spans="1:21" x14ac:dyDescent="0.3">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c r="T498">
        <f>IF(Table1[[#This Row],[Discount_Applied]]="Yes", 1,0)</f>
        <v>1</v>
      </c>
      <c r="U498" t="str">
        <f>_xlfn.IFS(Table1[[#This Row],[Age]]&lt;=25, "Below 25", Table1[[#This Row],[Age]]&lt;=35, "Between 25-35", Table1[[#This Row],[Age]]&lt;=45, "Between 36-45", Table1[[#This Row],[Age]]&gt;45, "45+")</f>
        <v>Between 25-35</v>
      </c>
    </row>
    <row r="499" spans="1:21" x14ac:dyDescent="0.3">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c r="T499">
        <f>IF(Table1[[#This Row],[Discount_Applied]]="Yes", 1,0)</f>
        <v>1</v>
      </c>
      <c r="U499" t="str">
        <f>_xlfn.IFS(Table1[[#This Row],[Age]]&lt;=25, "Below 25", Table1[[#This Row],[Age]]&lt;=35, "Between 25-35", Table1[[#This Row],[Age]]&lt;=45, "Between 36-45", Table1[[#This Row],[Age]]&gt;45, "45+")</f>
        <v>Between 36-45</v>
      </c>
    </row>
    <row r="500" spans="1:21" x14ac:dyDescent="0.3">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c r="T500">
        <f>IF(Table1[[#This Row],[Discount_Applied]]="Yes", 1,0)</f>
        <v>1</v>
      </c>
      <c r="U500" t="str">
        <f>_xlfn.IFS(Table1[[#This Row],[Age]]&lt;=25, "Below 25", Table1[[#This Row],[Age]]&lt;=35, "Between 25-35", Table1[[#This Row],[Age]]&lt;=45, "Between 36-45", Table1[[#This Row],[Age]]&gt;45, "45+")</f>
        <v>Between 36-45</v>
      </c>
    </row>
    <row r="501" spans="1:21" x14ac:dyDescent="0.3">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c r="T501">
        <f>IF(Table1[[#This Row],[Discount_Applied]]="Yes", 1,0)</f>
        <v>1</v>
      </c>
      <c r="U501" t="str">
        <f>_xlfn.IFS(Table1[[#This Row],[Age]]&lt;=25, "Below 25", Table1[[#This Row],[Age]]&lt;=35, "Between 25-35", Table1[[#This Row],[Age]]&lt;=45, "Between 36-45", Table1[[#This Row],[Age]]&gt;45, "45+")</f>
        <v>Between 36-45</v>
      </c>
    </row>
    <row r="502" spans="1:21" x14ac:dyDescent="0.3">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c r="T502">
        <f>IF(Table1[[#This Row],[Discount_Applied]]="Yes", 1,0)</f>
        <v>1</v>
      </c>
      <c r="U502" t="str">
        <f>_xlfn.IFS(Table1[[#This Row],[Age]]&lt;=25, "Below 25", Table1[[#This Row],[Age]]&lt;=35, "Between 25-35", Table1[[#This Row],[Age]]&lt;=45, "Between 36-45", Table1[[#This Row],[Age]]&gt;45, "45+")</f>
        <v>Between 36-45</v>
      </c>
    </row>
    <row r="503" spans="1:21" x14ac:dyDescent="0.3">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c r="T503">
        <f>IF(Table1[[#This Row],[Discount_Applied]]="Yes", 1,0)</f>
        <v>1</v>
      </c>
      <c r="U503" t="str">
        <f>_xlfn.IFS(Table1[[#This Row],[Age]]&lt;=25, "Below 25", Table1[[#This Row],[Age]]&lt;=35, "Between 25-35", Table1[[#This Row],[Age]]&lt;=45, "Between 36-45", Table1[[#This Row],[Age]]&gt;45, "45+")</f>
        <v>45+</v>
      </c>
    </row>
    <row r="504" spans="1:21" x14ac:dyDescent="0.3">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c r="T504">
        <f>IF(Table1[[#This Row],[Discount_Applied]]="Yes", 1,0)</f>
        <v>1</v>
      </c>
      <c r="U504" t="str">
        <f>_xlfn.IFS(Table1[[#This Row],[Age]]&lt;=25, "Below 25", Table1[[#This Row],[Age]]&lt;=35, "Between 25-35", Table1[[#This Row],[Age]]&lt;=45, "Between 36-45", Table1[[#This Row],[Age]]&gt;45, "45+")</f>
        <v>45+</v>
      </c>
    </row>
    <row r="505" spans="1:21" x14ac:dyDescent="0.3">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c r="T505">
        <f>IF(Table1[[#This Row],[Discount_Applied]]="Yes", 1,0)</f>
        <v>1</v>
      </c>
      <c r="U505" t="str">
        <f>_xlfn.IFS(Table1[[#This Row],[Age]]&lt;=25, "Below 25", Table1[[#This Row],[Age]]&lt;=35, "Between 25-35", Table1[[#This Row],[Age]]&lt;=45, "Between 36-45", Table1[[#This Row],[Age]]&gt;45, "45+")</f>
        <v>45+</v>
      </c>
    </row>
    <row r="506" spans="1:21" x14ac:dyDescent="0.3">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c r="T506">
        <f>IF(Table1[[#This Row],[Discount_Applied]]="Yes", 1,0)</f>
        <v>1</v>
      </c>
      <c r="U506" t="str">
        <f>_xlfn.IFS(Table1[[#This Row],[Age]]&lt;=25, "Below 25", Table1[[#This Row],[Age]]&lt;=35, "Between 25-35", Table1[[#This Row],[Age]]&lt;=45, "Between 36-45", Table1[[#This Row],[Age]]&gt;45, "45+")</f>
        <v>Between 36-45</v>
      </c>
    </row>
    <row r="507" spans="1:21" x14ac:dyDescent="0.3">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c r="T507">
        <f>IF(Table1[[#This Row],[Discount_Applied]]="Yes", 1,0)</f>
        <v>1</v>
      </c>
      <c r="U507" t="str">
        <f>_xlfn.IFS(Table1[[#This Row],[Age]]&lt;=25, "Below 25", Table1[[#This Row],[Age]]&lt;=35, "Between 25-35", Table1[[#This Row],[Age]]&lt;=45, "Between 36-45", Table1[[#This Row],[Age]]&gt;45, "45+")</f>
        <v>45+</v>
      </c>
    </row>
    <row r="508" spans="1:21" x14ac:dyDescent="0.3">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c r="T508">
        <f>IF(Table1[[#This Row],[Discount_Applied]]="Yes", 1,0)</f>
        <v>1</v>
      </c>
      <c r="U508" t="str">
        <f>_xlfn.IFS(Table1[[#This Row],[Age]]&lt;=25, "Below 25", Table1[[#This Row],[Age]]&lt;=35, "Between 25-35", Table1[[#This Row],[Age]]&lt;=45, "Between 36-45", Table1[[#This Row],[Age]]&gt;45, "45+")</f>
        <v>Between 25-35</v>
      </c>
    </row>
    <row r="509" spans="1:21" x14ac:dyDescent="0.3">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c r="T509">
        <f>IF(Table1[[#This Row],[Discount_Applied]]="Yes", 1,0)</f>
        <v>1</v>
      </c>
      <c r="U509" t="str">
        <f>_xlfn.IFS(Table1[[#This Row],[Age]]&lt;=25, "Below 25", Table1[[#This Row],[Age]]&lt;=35, "Between 25-35", Table1[[#This Row],[Age]]&lt;=45, "Between 36-45", Table1[[#This Row],[Age]]&gt;45, "45+")</f>
        <v>45+</v>
      </c>
    </row>
    <row r="510" spans="1:21" x14ac:dyDescent="0.3">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c r="T510">
        <f>IF(Table1[[#This Row],[Discount_Applied]]="Yes", 1,0)</f>
        <v>1</v>
      </c>
      <c r="U510" t="str">
        <f>_xlfn.IFS(Table1[[#This Row],[Age]]&lt;=25, "Below 25", Table1[[#This Row],[Age]]&lt;=35, "Between 25-35", Table1[[#This Row],[Age]]&lt;=45, "Between 36-45", Table1[[#This Row],[Age]]&gt;45, "45+")</f>
        <v>Between 25-35</v>
      </c>
    </row>
    <row r="511" spans="1:21" x14ac:dyDescent="0.3">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c r="T511">
        <f>IF(Table1[[#This Row],[Discount_Applied]]="Yes", 1,0)</f>
        <v>1</v>
      </c>
      <c r="U511" t="str">
        <f>_xlfn.IFS(Table1[[#This Row],[Age]]&lt;=25, "Below 25", Table1[[#This Row],[Age]]&lt;=35, "Between 25-35", Table1[[#This Row],[Age]]&lt;=45, "Between 36-45", Table1[[#This Row],[Age]]&gt;45, "45+")</f>
        <v>Between 36-45</v>
      </c>
    </row>
    <row r="512" spans="1:21" x14ac:dyDescent="0.3">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c r="T512">
        <f>IF(Table1[[#This Row],[Discount_Applied]]="Yes", 1,0)</f>
        <v>1</v>
      </c>
      <c r="U512" t="str">
        <f>_xlfn.IFS(Table1[[#This Row],[Age]]&lt;=25, "Below 25", Table1[[#This Row],[Age]]&lt;=35, "Between 25-35", Table1[[#This Row],[Age]]&lt;=45, "Between 36-45", Table1[[#This Row],[Age]]&gt;45, "45+")</f>
        <v>Below 25</v>
      </c>
    </row>
    <row r="513" spans="1:21" x14ac:dyDescent="0.3">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c r="T513">
        <f>IF(Table1[[#This Row],[Discount_Applied]]="Yes", 1,0)</f>
        <v>1</v>
      </c>
      <c r="U513" t="str">
        <f>_xlfn.IFS(Table1[[#This Row],[Age]]&lt;=25, "Below 25", Table1[[#This Row],[Age]]&lt;=35, "Between 25-35", Table1[[#This Row],[Age]]&lt;=45, "Between 36-45", Table1[[#This Row],[Age]]&gt;45, "45+")</f>
        <v>45+</v>
      </c>
    </row>
    <row r="514" spans="1:21" x14ac:dyDescent="0.3">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c r="T514">
        <f>IF(Table1[[#This Row],[Discount_Applied]]="Yes", 1,0)</f>
        <v>1</v>
      </c>
      <c r="U514" t="str">
        <f>_xlfn.IFS(Table1[[#This Row],[Age]]&lt;=25, "Below 25", Table1[[#This Row],[Age]]&lt;=35, "Between 25-35", Table1[[#This Row],[Age]]&lt;=45, "Between 36-45", Table1[[#This Row],[Age]]&gt;45, "45+")</f>
        <v>Below 25</v>
      </c>
    </row>
    <row r="515" spans="1:21" x14ac:dyDescent="0.3">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c r="T515">
        <f>IF(Table1[[#This Row],[Discount_Applied]]="Yes", 1,0)</f>
        <v>1</v>
      </c>
      <c r="U515" t="str">
        <f>_xlfn.IFS(Table1[[#This Row],[Age]]&lt;=25, "Below 25", Table1[[#This Row],[Age]]&lt;=35, "Between 25-35", Table1[[#This Row],[Age]]&lt;=45, "Between 36-45", Table1[[#This Row],[Age]]&gt;45, "45+")</f>
        <v>Below 25</v>
      </c>
    </row>
    <row r="516" spans="1:21" x14ac:dyDescent="0.3">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c r="T516">
        <f>IF(Table1[[#This Row],[Discount_Applied]]="Yes", 1,0)</f>
        <v>1</v>
      </c>
      <c r="U516" t="str">
        <f>_xlfn.IFS(Table1[[#This Row],[Age]]&lt;=25, "Below 25", Table1[[#This Row],[Age]]&lt;=35, "Between 25-35", Table1[[#This Row],[Age]]&lt;=45, "Between 36-45", Table1[[#This Row],[Age]]&gt;45, "45+")</f>
        <v>45+</v>
      </c>
    </row>
    <row r="517" spans="1:21" x14ac:dyDescent="0.3">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c r="T517">
        <f>IF(Table1[[#This Row],[Discount_Applied]]="Yes", 1,0)</f>
        <v>1</v>
      </c>
      <c r="U517" t="str">
        <f>_xlfn.IFS(Table1[[#This Row],[Age]]&lt;=25, "Below 25", Table1[[#This Row],[Age]]&lt;=35, "Between 25-35", Table1[[#This Row],[Age]]&lt;=45, "Between 36-45", Table1[[#This Row],[Age]]&gt;45, "45+")</f>
        <v>Between 25-35</v>
      </c>
    </row>
    <row r="518" spans="1:21" x14ac:dyDescent="0.3">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c r="T518">
        <f>IF(Table1[[#This Row],[Discount_Applied]]="Yes", 1,0)</f>
        <v>1</v>
      </c>
      <c r="U518" t="str">
        <f>_xlfn.IFS(Table1[[#This Row],[Age]]&lt;=25, "Below 25", Table1[[#This Row],[Age]]&lt;=35, "Between 25-35", Table1[[#This Row],[Age]]&lt;=45, "Between 36-45", Table1[[#This Row],[Age]]&gt;45, "45+")</f>
        <v>Between 25-35</v>
      </c>
    </row>
    <row r="519" spans="1:21" x14ac:dyDescent="0.3">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c r="T519">
        <f>IF(Table1[[#This Row],[Discount_Applied]]="Yes", 1,0)</f>
        <v>1</v>
      </c>
      <c r="U519" t="str">
        <f>_xlfn.IFS(Table1[[#This Row],[Age]]&lt;=25, "Below 25", Table1[[#This Row],[Age]]&lt;=35, "Between 25-35", Table1[[#This Row],[Age]]&lt;=45, "Between 36-45", Table1[[#This Row],[Age]]&gt;45, "45+")</f>
        <v>45+</v>
      </c>
    </row>
    <row r="520" spans="1:21" x14ac:dyDescent="0.3">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c r="T520">
        <f>IF(Table1[[#This Row],[Discount_Applied]]="Yes", 1,0)</f>
        <v>1</v>
      </c>
      <c r="U520" t="str">
        <f>_xlfn.IFS(Table1[[#This Row],[Age]]&lt;=25, "Below 25", Table1[[#This Row],[Age]]&lt;=35, "Between 25-35", Table1[[#This Row],[Age]]&lt;=45, "Between 36-45", Table1[[#This Row],[Age]]&gt;45, "45+")</f>
        <v>Below 25</v>
      </c>
    </row>
    <row r="521" spans="1:21" x14ac:dyDescent="0.3">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c r="T521">
        <f>IF(Table1[[#This Row],[Discount_Applied]]="Yes", 1,0)</f>
        <v>1</v>
      </c>
      <c r="U521" t="str">
        <f>_xlfn.IFS(Table1[[#This Row],[Age]]&lt;=25, "Below 25", Table1[[#This Row],[Age]]&lt;=35, "Between 25-35", Table1[[#This Row],[Age]]&lt;=45, "Between 36-45", Table1[[#This Row],[Age]]&gt;45, "45+")</f>
        <v>Below 25</v>
      </c>
    </row>
    <row r="522" spans="1:21" x14ac:dyDescent="0.3">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c r="T522">
        <f>IF(Table1[[#This Row],[Discount_Applied]]="Yes", 1,0)</f>
        <v>1</v>
      </c>
      <c r="U522" t="str">
        <f>_xlfn.IFS(Table1[[#This Row],[Age]]&lt;=25, "Below 25", Table1[[#This Row],[Age]]&lt;=35, "Between 25-35", Table1[[#This Row],[Age]]&lt;=45, "Between 36-45", Table1[[#This Row],[Age]]&gt;45, "45+")</f>
        <v>45+</v>
      </c>
    </row>
    <row r="523" spans="1:21" x14ac:dyDescent="0.3">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c r="T523">
        <f>IF(Table1[[#This Row],[Discount_Applied]]="Yes", 1,0)</f>
        <v>1</v>
      </c>
      <c r="U523" t="str">
        <f>_xlfn.IFS(Table1[[#This Row],[Age]]&lt;=25, "Below 25", Table1[[#This Row],[Age]]&lt;=35, "Between 25-35", Table1[[#This Row],[Age]]&lt;=45, "Between 36-45", Table1[[#This Row],[Age]]&gt;45, "45+")</f>
        <v>Between 36-45</v>
      </c>
    </row>
    <row r="524" spans="1:21" x14ac:dyDescent="0.3">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c r="T524">
        <f>IF(Table1[[#This Row],[Discount_Applied]]="Yes", 1,0)</f>
        <v>1</v>
      </c>
      <c r="U524" t="str">
        <f>_xlfn.IFS(Table1[[#This Row],[Age]]&lt;=25, "Below 25", Table1[[#This Row],[Age]]&lt;=35, "Between 25-35", Table1[[#This Row],[Age]]&lt;=45, "Between 36-45", Table1[[#This Row],[Age]]&gt;45, "45+")</f>
        <v>45+</v>
      </c>
    </row>
    <row r="525" spans="1:21" x14ac:dyDescent="0.3">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c r="T525">
        <f>IF(Table1[[#This Row],[Discount_Applied]]="Yes", 1,0)</f>
        <v>1</v>
      </c>
      <c r="U525" t="str">
        <f>_xlfn.IFS(Table1[[#This Row],[Age]]&lt;=25, "Below 25", Table1[[#This Row],[Age]]&lt;=35, "Between 25-35", Table1[[#This Row],[Age]]&lt;=45, "Between 36-45", Table1[[#This Row],[Age]]&gt;45, "45+")</f>
        <v>45+</v>
      </c>
    </row>
    <row r="526" spans="1:21" x14ac:dyDescent="0.3">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c r="T526">
        <f>IF(Table1[[#This Row],[Discount_Applied]]="Yes", 1,0)</f>
        <v>1</v>
      </c>
      <c r="U526" t="str">
        <f>_xlfn.IFS(Table1[[#This Row],[Age]]&lt;=25, "Below 25", Table1[[#This Row],[Age]]&lt;=35, "Between 25-35", Table1[[#This Row],[Age]]&lt;=45, "Between 36-45", Table1[[#This Row],[Age]]&gt;45, "45+")</f>
        <v>45+</v>
      </c>
    </row>
    <row r="527" spans="1:21" x14ac:dyDescent="0.3">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c r="T527">
        <f>IF(Table1[[#This Row],[Discount_Applied]]="Yes", 1,0)</f>
        <v>1</v>
      </c>
      <c r="U527" t="str">
        <f>_xlfn.IFS(Table1[[#This Row],[Age]]&lt;=25, "Below 25", Table1[[#This Row],[Age]]&lt;=35, "Between 25-35", Table1[[#This Row],[Age]]&lt;=45, "Between 36-45", Table1[[#This Row],[Age]]&gt;45, "45+")</f>
        <v>45+</v>
      </c>
    </row>
    <row r="528" spans="1:21" x14ac:dyDescent="0.3">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c r="T528">
        <f>IF(Table1[[#This Row],[Discount_Applied]]="Yes", 1,0)</f>
        <v>1</v>
      </c>
      <c r="U528" t="str">
        <f>_xlfn.IFS(Table1[[#This Row],[Age]]&lt;=25, "Below 25", Table1[[#This Row],[Age]]&lt;=35, "Between 25-35", Table1[[#This Row],[Age]]&lt;=45, "Between 36-45", Table1[[#This Row],[Age]]&gt;45, "45+")</f>
        <v>45+</v>
      </c>
    </row>
    <row r="529" spans="1:21" x14ac:dyDescent="0.3">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c r="T529">
        <f>IF(Table1[[#This Row],[Discount_Applied]]="Yes", 1,0)</f>
        <v>1</v>
      </c>
      <c r="U529" t="str">
        <f>_xlfn.IFS(Table1[[#This Row],[Age]]&lt;=25, "Below 25", Table1[[#This Row],[Age]]&lt;=35, "Between 25-35", Table1[[#This Row],[Age]]&lt;=45, "Between 36-45", Table1[[#This Row],[Age]]&gt;45, "45+")</f>
        <v>Below 25</v>
      </c>
    </row>
    <row r="530" spans="1:21" x14ac:dyDescent="0.3">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c r="T530">
        <f>IF(Table1[[#This Row],[Discount_Applied]]="Yes", 1,0)</f>
        <v>1</v>
      </c>
      <c r="U530" t="str">
        <f>_xlfn.IFS(Table1[[#This Row],[Age]]&lt;=25, "Below 25", Table1[[#This Row],[Age]]&lt;=35, "Between 25-35", Table1[[#This Row],[Age]]&lt;=45, "Between 36-45", Table1[[#This Row],[Age]]&gt;45, "45+")</f>
        <v>Between 25-35</v>
      </c>
    </row>
    <row r="531" spans="1:21" x14ac:dyDescent="0.3">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c r="T531">
        <f>IF(Table1[[#This Row],[Discount_Applied]]="Yes", 1,0)</f>
        <v>1</v>
      </c>
      <c r="U531" t="str">
        <f>_xlfn.IFS(Table1[[#This Row],[Age]]&lt;=25, "Below 25", Table1[[#This Row],[Age]]&lt;=35, "Between 25-35", Table1[[#This Row],[Age]]&lt;=45, "Between 36-45", Table1[[#This Row],[Age]]&gt;45, "45+")</f>
        <v>Between 25-35</v>
      </c>
    </row>
    <row r="532" spans="1:21" x14ac:dyDescent="0.3">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c r="T532">
        <f>IF(Table1[[#This Row],[Discount_Applied]]="Yes", 1,0)</f>
        <v>1</v>
      </c>
      <c r="U532" t="str">
        <f>_xlfn.IFS(Table1[[#This Row],[Age]]&lt;=25, "Below 25", Table1[[#This Row],[Age]]&lt;=35, "Between 25-35", Table1[[#This Row],[Age]]&lt;=45, "Between 36-45", Table1[[#This Row],[Age]]&gt;45, "45+")</f>
        <v>45+</v>
      </c>
    </row>
    <row r="533" spans="1:21" x14ac:dyDescent="0.3">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c r="T533">
        <f>IF(Table1[[#This Row],[Discount_Applied]]="Yes", 1,0)</f>
        <v>1</v>
      </c>
      <c r="U533" t="str">
        <f>_xlfn.IFS(Table1[[#This Row],[Age]]&lt;=25, "Below 25", Table1[[#This Row],[Age]]&lt;=35, "Between 25-35", Table1[[#This Row],[Age]]&lt;=45, "Between 36-45", Table1[[#This Row],[Age]]&gt;45, "45+")</f>
        <v>45+</v>
      </c>
    </row>
    <row r="534" spans="1:21" x14ac:dyDescent="0.3">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c r="T534">
        <f>IF(Table1[[#This Row],[Discount_Applied]]="Yes", 1,0)</f>
        <v>1</v>
      </c>
      <c r="U534" t="str">
        <f>_xlfn.IFS(Table1[[#This Row],[Age]]&lt;=25, "Below 25", Table1[[#This Row],[Age]]&lt;=35, "Between 25-35", Table1[[#This Row],[Age]]&lt;=45, "Between 36-45", Table1[[#This Row],[Age]]&gt;45, "45+")</f>
        <v>Between 25-35</v>
      </c>
    </row>
    <row r="535" spans="1:21" x14ac:dyDescent="0.3">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c r="T535">
        <f>IF(Table1[[#This Row],[Discount_Applied]]="Yes", 1,0)</f>
        <v>1</v>
      </c>
      <c r="U535" t="str">
        <f>_xlfn.IFS(Table1[[#This Row],[Age]]&lt;=25, "Below 25", Table1[[#This Row],[Age]]&lt;=35, "Between 25-35", Table1[[#This Row],[Age]]&lt;=45, "Between 36-45", Table1[[#This Row],[Age]]&gt;45, "45+")</f>
        <v>45+</v>
      </c>
    </row>
    <row r="536" spans="1:21" x14ac:dyDescent="0.3">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c r="T536">
        <f>IF(Table1[[#This Row],[Discount_Applied]]="Yes", 1,0)</f>
        <v>1</v>
      </c>
      <c r="U536" t="str">
        <f>_xlfn.IFS(Table1[[#This Row],[Age]]&lt;=25, "Below 25", Table1[[#This Row],[Age]]&lt;=35, "Between 25-35", Table1[[#This Row],[Age]]&lt;=45, "Between 36-45", Table1[[#This Row],[Age]]&gt;45, "45+")</f>
        <v>45+</v>
      </c>
    </row>
    <row r="537" spans="1:21" x14ac:dyDescent="0.3">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c r="T537">
        <f>IF(Table1[[#This Row],[Discount_Applied]]="Yes", 1,0)</f>
        <v>1</v>
      </c>
      <c r="U537" t="str">
        <f>_xlfn.IFS(Table1[[#This Row],[Age]]&lt;=25, "Below 25", Table1[[#This Row],[Age]]&lt;=35, "Between 25-35", Table1[[#This Row],[Age]]&lt;=45, "Between 36-45", Table1[[#This Row],[Age]]&gt;45, "45+")</f>
        <v>45+</v>
      </c>
    </row>
    <row r="538" spans="1:21" x14ac:dyDescent="0.3">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c r="T538">
        <f>IF(Table1[[#This Row],[Discount_Applied]]="Yes", 1,0)</f>
        <v>1</v>
      </c>
      <c r="U538" t="str">
        <f>_xlfn.IFS(Table1[[#This Row],[Age]]&lt;=25, "Below 25", Table1[[#This Row],[Age]]&lt;=35, "Between 25-35", Table1[[#This Row],[Age]]&lt;=45, "Between 36-45", Table1[[#This Row],[Age]]&gt;45, "45+")</f>
        <v>Between 36-45</v>
      </c>
    </row>
    <row r="539" spans="1:21" x14ac:dyDescent="0.3">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c r="T539">
        <f>IF(Table1[[#This Row],[Discount_Applied]]="Yes", 1,0)</f>
        <v>1</v>
      </c>
      <c r="U539" t="str">
        <f>_xlfn.IFS(Table1[[#This Row],[Age]]&lt;=25, "Below 25", Table1[[#This Row],[Age]]&lt;=35, "Between 25-35", Table1[[#This Row],[Age]]&lt;=45, "Between 36-45", Table1[[#This Row],[Age]]&gt;45, "45+")</f>
        <v>45+</v>
      </c>
    </row>
    <row r="540" spans="1:21" x14ac:dyDescent="0.3">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c r="T540">
        <f>IF(Table1[[#This Row],[Discount_Applied]]="Yes", 1,0)</f>
        <v>1</v>
      </c>
      <c r="U540" t="str">
        <f>_xlfn.IFS(Table1[[#This Row],[Age]]&lt;=25, "Below 25", Table1[[#This Row],[Age]]&lt;=35, "Between 25-35", Table1[[#This Row],[Age]]&lt;=45, "Between 36-45", Table1[[#This Row],[Age]]&gt;45, "45+")</f>
        <v>Between 25-35</v>
      </c>
    </row>
    <row r="541" spans="1:21" x14ac:dyDescent="0.3">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c r="T541">
        <f>IF(Table1[[#This Row],[Discount_Applied]]="Yes", 1,0)</f>
        <v>1</v>
      </c>
      <c r="U541" t="str">
        <f>_xlfn.IFS(Table1[[#This Row],[Age]]&lt;=25, "Below 25", Table1[[#This Row],[Age]]&lt;=35, "Between 25-35", Table1[[#This Row],[Age]]&lt;=45, "Between 36-45", Table1[[#This Row],[Age]]&gt;45, "45+")</f>
        <v>45+</v>
      </c>
    </row>
    <row r="542" spans="1:21" x14ac:dyDescent="0.3">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c r="T542">
        <f>IF(Table1[[#This Row],[Discount_Applied]]="Yes", 1,0)</f>
        <v>1</v>
      </c>
      <c r="U542" t="str">
        <f>_xlfn.IFS(Table1[[#This Row],[Age]]&lt;=25, "Below 25", Table1[[#This Row],[Age]]&lt;=35, "Between 25-35", Table1[[#This Row],[Age]]&lt;=45, "Between 36-45", Table1[[#This Row],[Age]]&gt;45, "45+")</f>
        <v>45+</v>
      </c>
    </row>
    <row r="543" spans="1:21" x14ac:dyDescent="0.3">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c r="T543">
        <f>IF(Table1[[#This Row],[Discount_Applied]]="Yes", 1,0)</f>
        <v>1</v>
      </c>
      <c r="U543" t="str">
        <f>_xlfn.IFS(Table1[[#This Row],[Age]]&lt;=25, "Below 25", Table1[[#This Row],[Age]]&lt;=35, "Between 25-35", Table1[[#This Row],[Age]]&lt;=45, "Between 36-45", Table1[[#This Row],[Age]]&gt;45, "45+")</f>
        <v>45+</v>
      </c>
    </row>
    <row r="544" spans="1:21" x14ac:dyDescent="0.3">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c r="T544">
        <f>IF(Table1[[#This Row],[Discount_Applied]]="Yes", 1,0)</f>
        <v>1</v>
      </c>
      <c r="U544" t="str">
        <f>_xlfn.IFS(Table1[[#This Row],[Age]]&lt;=25, "Below 25", Table1[[#This Row],[Age]]&lt;=35, "Between 25-35", Table1[[#This Row],[Age]]&lt;=45, "Between 36-45", Table1[[#This Row],[Age]]&gt;45, "45+")</f>
        <v>Between 25-35</v>
      </c>
    </row>
    <row r="545" spans="1:21" x14ac:dyDescent="0.3">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c r="T545">
        <f>IF(Table1[[#This Row],[Discount_Applied]]="Yes", 1,0)</f>
        <v>1</v>
      </c>
      <c r="U545" t="str">
        <f>_xlfn.IFS(Table1[[#This Row],[Age]]&lt;=25, "Below 25", Table1[[#This Row],[Age]]&lt;=35, "Between 25-35", Table1[[#This Row],[Age]]&lt;=45, "Between 36-45", Table1[[#This Row],[Age]]&gt;45, "45+")</f>
        <v>45+</v>
      </c>
    </row>
    <row r="546" spans="1:21" x14ac:dyDescent="0.3">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c r="T546">
        <f>IF(Table1[[#This Row],[Discount_Applied]]="Yes", 1,0)</f>
        <v>1</v>
      </c>
      <c r="U546" t="str">
        <f>_xlfn.IFS(Table1[[#This Row],[Age]]&lt;=25, "Below 25", Table1[[#This Row],[Age]]&lt;=35, "Between 25-35", Table1[[#This Row],[Age]]&lt;=45, "Between 36-45", Table1[[#This Row],[Age]]&gt;45, "45+")</f>
        <v>Between 25-35</v>
      </c>
    </row>
    <row r="547" spans="1:21" x14ac:dyDescent="0.3">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c r="T547">
        <f>IF(Table1[[#This Row],[Discount_Applied]]="Yes", 1,0)</f>
        <v>1</v>
      </c>
      <c r="U547" t="str">
        <f>_xlfn.IFS(Table1[[#This Row],[Age]]&lt;=25, "Below 25", Table1[[#This Row],[Age]]&lt;=35, "Between 25-35", Table1[[#This Row],[Age]]&lt;=45, "Between 36-45", Table1[[#This Row],[Age]]&gt;45, "45+")</f>
        <v>Between 25-35</v>
      </c>
    </row>
    <row r="548" spans="1:21" x14ac:dyDescent="0.3">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c r="T548">
        <f>IF(Table1[[#This Row],[Discount_Applied]]="Yes", 1,0)</f>
        <v>1</v>
      </c>
      <c r="U548" t="str">
        <f>_xlfn.IFS(Table1[[#This Row],[Age]]&lt;=25, "Below 25", Table1[[#This Row],[Age]]&lt;=35, "Between 25-35", Table1[[#This Row],[Age]]&lt;=45, "Between 36-45", Table1[[#This Row],[Age]]&gt;45, "45+")</f>
        <v>45+</v>
      </c>
    </row>
    <row r="549" spans="1:21" x14ac:dyDescent="0.3">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c r="T549">
        <f>IF(Table1[[#This Row],[Discount_Applied]]="Yes", 1,0)</f>
        <v>1</v>
      </c>
      <c r="U549" t="str">
        <f>_xlfn.IFS(Table1[[#This Row],[Age]]&lt;=25, "Below 25", Table1[[#This Row],[Age]]&lt;=35, "Between 25-35", Table1[[#This Row],[Age]]&lt;=45, "Between 36-45", Table1[[#This Row],[Age]]&gt;45, "45+")</f>
        <v>Between 36-45</v>
      </c>
    </row>
    <row r="550" spans="1:21" x14ac:dyDescent="0.3">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c r="T550">
        <f>IF(Table1[[#This Row],[Discount_Applied]]="Yes", 1,0)</f>
        <v>1</v>
      </c>
      <c r="U550" t="str">
        <f>_xlfn.IFS(Table1[[#This Row],[Age]]&lt;=25, "Below 25", Table1[[#This Row],[Age]]&lt;=35, "Between 25-35", Table1[[#This Row],[Age]]&lt;=45, "Between 36-45", Table1[[#This Row],[Age]]&gt;45, "45+")</f>
        <v>Between 36-45</v>
      </c>
    </row>
    <row r="551" spans="1:21" x14ac:dyDescent="0.3">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c r="T551">
        <f>IF(Table1[[#This Row],[Discount_Applied]]="Yes", 1,0)</f>
        <v>1</v>
      </c>
      <c r="U551" t="str">
        <f>_xlfn.IFS(Table1[[#This Row],[Age]]&lt;=25, "Below 25", Table1[[#This Row],[Age]]&lt;=35, "Between 25-35", Table1[[#This Row],[Age]]&lt;=45, "Between 36-45", Table1[[#This Row],[Age]]&gt;45, "45+")</f>
        <v>Between 25-35</v>
      </c>
    </row>
    <row r="552" spans="1:21" x14ac:dyDescent="0.3">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c r="T552">
        <f>IF(Table1[[#This Row],[Discount_Applied]]="Yes", 1,0)</f>
        <v>1</v>
      </c>
      <c r="U552" t="str">
        <f>_xlfn.IFS(Table1[[#This Row],[Age]]&lt;=25, "Below 25", Table1[[#This Row],[Age]]&lt;=35, "Between 25-35", Table1[[#This Row],[Age]]&lt;=45, "Between 36-45", Table1[[#This Row],[Age]]&gt;45, "45+")</f>
        <v>45+</v>
      </c>
    </row>
    <row r="553" spans="1:21" x14ac:dyDescent="0.3">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c r="T553">
        <f>IF(Table1[[#This Row],[Discount_Applied]]="Yes", 1,0)</f>
        <v>1</v>
      </c>
      <c r="U553" t="str">
        <f>_xlfn.IFS(Table1[[#This Row],[Age]]&lt;=25, "Below 25", Table1[[#This Row],[Age]]&lt;=35, "Between 25-35", Table1[[#This Row],[Age]]&lt;=45, "Between 36-45", Table1[[#This Row],[Age]]&gt;45, "45+")</f>
        <v>Between 25-35</v>
      </c>
    </row>
    <row r="554" spans="1:21" x14ac:dyDescent="0.3">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c r="T554">
        <f>IF(Table1[[#This Row],[Discount_Applied]]="Yes", 1,0)</f>
        <v>1</v>
      </c>
      <c r="U554" t="str">
        <f>_xlfn.IFS(Table1[[#This Row],[Age]]&lt;=25, "Below 25", Table1[[#This Row],[Age]]&lt;=35, "Between 25-35", Table1[[#This Row],[Age]]&lt;=45, "Between 36-45", Table1[[#This Row],[Age]]&gt;45, "45+")</f>
        <v>Below 25</v>
      </c>
    </row>
    <row r="555" spans="1:21" x14ac:dyDescent="0.3">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c r="T555">
        <f>IF(Table1[[#This Row],[Discount_Applied]]="Yes", 1,0)</f>
        <v>1</v>
      </c>
      <c r="U555" t="str">
        <f>_xlfn.IFS(Table1[[#This Row],[Age]]&lt;=25, "Below 25", Table1[[#This Row],[Age]]&lt;=35, "Between 25-35", Table1[[#This Row],[Age]]&lt;=45, "Between 36-45", Table1[[#This Row],[Age]]&gt;45, "45+")</f>
        <v>45+</v>
      </c>
    </row>
    <row r="556" spans="1:21" x14ac:dyDescent="0.3">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c r="T556">
        <f>IF(Table1[[#This Row],[Discount_Applied]]="Yes", 1,0)</f>
        <v>1</v>
      </c>
      <c r="U556" t="str">
        <f>_xlfn.IFS(Table1[[#This Row],[Age]]&lt;=25, "Below 25", Table1[[#This Row],[Age]]&lt;=35, "Between 25-35", Table1[[#This Row],[Age]]&lt;=45, "Between 36-45", Table1[[#This Row],[Age]]&gt;45, "45+")</f>
        <v>45+</v>
      </c>
    </row>
    <row r="557" spans="1:21" x14ac:dyDescent="0.3">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c r="T557">
        <f>IF(Table1[[#This Row],[Discount_Applied]]="Yes", 1,0)</f>
        <v>1</v>
      </c>
      <c r="U557" t="str">
        <f>_xlfn.IFS(Table1[[#This Row],[Age]]&lt;=25, "Below 25", Table1[[#This Row],[Age]]&lt;=35, "Between 25-35", Table1[[#This Row],[Age]]&lt;=45, "Between 36-45", Table1[[#This Row],[Age]]&gt;45, "45+")</f>
        <v>45+</v>
      </c>
    </row>
    <row r="558" spans="1:21" x14ac:dyDescent="0.3">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c r="T558">
        <f>IF(Table1[[#This Row],[Discount_Applied]]="Yes", 1,0)</f>
        <v>1</v>
      </c>
      <c r="U558" t="str">
        <f>_xlfn.IFS(Table1[[#This Row],[Age]]&lt;=25, "Below 25", Table1[[#This Row],[Age]]&lt;=35, "Between 25-35", Table1[[#This Row],[Age]]&lt;=45, "Between 36-45", Table1[[#This Row],[Age]]&gt;45, "45+")</f>
        <v>Between 36-45</v>
      </c>
    </row>
    <row r="559" spans="1:21" x14ac:dyDescent="0.3">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c r="T559">
        <f>IF(Table1[[#This Row],[Discount_Applied]]="Yes", 1,0)</f>
        <v>1</v>
      </c>
      <c r="U559" t="str">
        <f>_xlfn.IFS(Table1[[#This Row],[Age]]&lt;=25, "Below 25", Table1[[#This Row],[Age]]&lt;=35, "Between 25-35", Table1[[#This Row],[Age]]&lt;=45, "Between 36-45", Table1[[#This Row],[Age]]&gt;45, "45+")</f>
        <v>Below 25</v>
      </c>
    </row>
    <row r="560" spans="1:21" x14ac:dyDescent="0.3">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c r="T560">
        <f>IF(Table1[[#This Row],[Discount_Applied]]="Yes", 1,0)</f>
        <v>1</v>
      </c>
      <c r="U560" t="str">
        <f>_xlfn.IFS(Table1[[#This Row],[Age]]&lt;=25, "Below 25", Table1[[#This Row],[Age]]&lt;=35, "Between 25-35", Table1[[#This Row],[Age]]&lt;=45, "Between 36-45", Table1[[#This Row],[Age]]&gt;45, "45+")</f>
        <v>45+</v>
      </c>
    </row>
    <row r="561" spans="1:21" x14ac:dyDescent="0.3">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c r="T561">
        <f>IF(Table1[[#This Row],[Discount_Applied]]="Yes", 1,0)</f>
        <v>1</v>
      </c>
      <c r="U561" t="str">
        <f>_xlfn.IFS(Table1[[#This Row],[Age]]&lt;=25, "Below 25", Table1[[#This Row],[Age]]&lt;=35, "Between 25-35", Table1[[#This Row],[Age]]&lt;=45, "Between 36-45", Table1[[#This Row],[Age]]&gt;45, "45+")</f>
        <v>45+</v>
      </c>
    </row>
    <row r="562" spans="1:21" x14ac:dyDescent="0.3">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c r="T562">
        <f>IF(Table1[[#This Row],[Discount_Applied]]="Yes", 1,0)</f>
        <v>1</v>
      </c>
      <c r="U562" t="str">
        <f>_xlfn.IFS(Table1[[#This Row],[Age]]&lt;=25, "Below 25", Table1[[#This Row],[Age]]&lt;=35, "Between 25-35", Table1[[#This Row],[Age]]&lt;=45, "Between 36-45", Table1[[#This Row],[Age]]&gt;45, "45+")</f>
        <v>Below 25</v>
      </c>
    </row>
    <row r="563" spans="1:21" x14ac:dyDescent="0.3">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c r="T563">
        <f>IF(Table1[[#This Row],[Discount_Applied]]="Yes", 1,0)</f>
        <v>1</v>
      </c>
      <c r="U563" t="str">
        <f>_xlfn.IFS(Table1[[#This Row],[Age]]&lt;=25, "Below 25", Table1[[#This Row],[Age]]&lt;=35, "Between 25-35", Table1[[#This Row],[Age]]&lt;=45, "Between 36-45", Table1[[#This Row],[Age]]&gt;45, "45+")</f>
        <v>45+</v>
      </c>
    </row>
    <row r="564" spans="1:21" x14ac:dyDescent="0.3">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c r="T564">
        <f>IF(Table1[[#This Row],[Discount_Applied]]="Yes", 1,0)</f>
        <v>1</v>
      </c>
      <c r="U564" t="str">
        <f>_xlfn.IFS(Table1[[#This Row],[Age]]&lt;=25, "Below 25", Table1[[#This Row],[Age]]&lt;=35, "Between 25-35", Table1[[#This Row],[Age]]&lt;=45, "Between 36-45", Table1[[#This Row],[Age]]&gt;45, "45+")</f>
        <v>45+</v>
      </c>
    </row>
    <row r="565" spans="1:21" x14ac:dyDescent="0.3">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c r="T565">
        <f>IF(Table1[[#This Row],[Discount_Applied]]="Yes", 1,0)</f>
        <v>1</v>
      </c>
      <c r="U565" t="str">
        <f>_xlfn.IFS(Table1[[#This Row],[Age]]&lt;=25, "Below 25", Table1[[#This Row],[Age]]&lt;=35, "Between 25-35", Table1[[#This Row],[Age]]&lt;=45, "Between 36-45", Table1[[#This Row],[Age]]&gt;45, "45+")</f>
        <v>45+</v>
      </c>
    </row>
    <row r="566" spans="1:21" x14ac:dyDescent="0.3">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c r="T566">
        <f>IF(Table1[[#This Row],[Discount_Applied]]="Yes", 1,0)</f>
        <v>1</v>
      </c>
      <c r="U566" t="str">
        <f>_xlfn.IFS(Table1[[#This Row],[Age]]&lt;=25, "Below 25", Table1[[#This Row],[Age]]&lt;=35, "Between 25-35", Table1[[#This Row],[Age]]&lt;=45, "Between 36-45", Table1[[#This Row],[Age]]&gt;45, "45+")</f>
        <v>45+</v>
      </c>
    </row>
    <row r="567" spans="1:21" x14ac:dyDescent="0.3">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c r="T567">
        <f>IF(Table1[[#This Row],[Discount_Applied]]="Yes", 1,0)</f>
        <v>1</v>
      </c>
      <c r="U567" t="str">
        <f>_xlfn.IFS(Table1[[#This Row],[Age]]&lt;=25, "Below 25", Table1[[#This Row],[Age]]&lt;=35, "Between 25-35", Table1[[#This Row],[Age]]&lt;=45, "Between 36-45", Table1[[#This Row],[Age]]&gt;45, "45+")</f>
        <v>45+</v>
      </c>
    </row>
    <row r="568" spans="1:21" x14ac:dyDescent="0.3">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c r="T568">
        <f>IF(Table1[[#This Row],[Discount_Applied]]="Yes", 1,0)</f>
        <v>1</v>
      </c>
      <c r="U568" t="str">
        <f>_xlfn.IFS(Table1[[#This Row],[Age]]&lt;=25, "Below 25", Table1[[#This Row],[Age]]&lt;=35, "Between 25-35", Table1[[#This Row],[Age]]&lt;=45, "Between 36-45", Table1[[#This Row],[Age]]&gt;45, "45+")</f>
        <v>45+</v>
      </c>
    </row>
    <row r="569" spans="1:21" x14ac:dyDescent="0.3">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c r="T569">
        <f>IF(Table1[[#This Row],[Discount_Applied]]="Yes", 1,0)</f>
        <v>1</v>
      </c>
      <c r="U569" t="str">
        <f>_xlfn.IFS(Table1[[#This Row],[Age]]&lt;=25, "Below 25", Table1[[#This Row],[Age]]&lt;=35, "Between 25-35", Table1[[#This Row],[Age]]&lt;=45, "Between 36-45", Table1[[#This Row],[Age]]&gt;45, "45+")</f>
        <v>Below 25</v>
      </c>
    </row>
    <row r="570" spans="1:21" x14ac:dyDescent="0.3">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c r="T570">
        <f>IF(Table1[[#This Row],[Discount_Applied]]="Yes", 1,0)</f>
        <v>1</v>
      </c>
      <c r="U570" t="str">
        <f>_xlfn.IFS(Table1[[#This Row],[Age]]&lt;=25, "Below 25", Table1[[#This Row],[Age]]&lt;=35, "Between 25-35", Table1[[#This Row],[Age]]&lt;=45, "Between 36-45", Table1[[#This Row],[Age]]&gt;45, "45+")</f>
        <v>Between 36-45</v>
      </c>
    </row>
    <row r="571" spans="1:21" x14ac:dyDescent="0.3">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c r="T571">
        <f>IF(Table1[[#This Row],[Discount_Applied]]="Yes", 1,0)</f>
        <v>1</v>
      </c>
      <c r="U571" t="str">
        <f>_xlfn.IFS(Table1[[#This Row],[Age]]&lt;=25, "Below 25", Table1[[#This Row],[Age]]&lt;=35, "Between 25-35", Table1[[#This Row],[Age]]&lt;=45, "Between 36-45", Table1[[#This Row],[Age]]&gt;45, "45+")</f>
        <v>45+</v>
      </c>
    </row>
    <row r="572" spans="1:21" x14ac:dyDescent="0.3">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c r="T572">
        <f>IF(Table1[[#This Row],[Discount_Applied]]="Yes", 1,0)</f>
        <v>1</v>
      </c>
      <c r="U572" t="str">
        <f>_xlfn.IFS(Table1[[#This Row],[Age]]&lt;=25, "Below 25", Table1[[#This Row],[Age]]&lt;=35, "Between 25-35", Table1[[#This Row],[Age]]&lt;=45, "Between 36-45", Table1[[#This Row],[Age]]&gt;45, "45+")</f>
        <v>45+</v>
      </c>
    </row>
    <row r="573" spans="1:21" x14ac:dyDescent="0.3">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c r="T573">
        <f>IF(Table1[[#This Row],[Discount_Applied]]="Yes", 1,0)</f>
        <v>1</v>
      </c>
      <c r="U573" t="str">
        <f>_xlfn.IFS(Table1[[#This Row],[Age]]&lt;=25, "Below 25", Table1[[#This Row],[Age]]&lt;=35, "Between 25-35", Table1[[#This Row],[Age]]&lt;=45, "Between 36-45", Table1[[#This Row],[Age]]&gt;45, "45+")</f>
        <v>45+</v>
      </c>
    </row>
    <row r="574" spans="1:21" x14ac:dyDescent="0.3">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c r="T574">
        <f>IF(Table1[[#This Row],[Discount_Applied]]="Yes", 1,0)</f>
        <v>1</v>
      </c>
      <c r="U574" t="str">
        <f>_xlfn.IFS(Table1[[#This Row],[Age]]&lt;=25, "Below 25", Table1[[#This Row],[Age]]&lt;=35, "Between 25-35", Table1[[#This Row],[Age]]&lt;=45, "Between 36-45", Table1[[#This Row],[Age]]&gt;45, "45+")</f>
        <v>45+</v>
      </c>
    </row>
    <row r="575" spans="1:21" x14ac:dyDescent="0.3">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c r="T575">
        <f>IF(Table1[[#This Row],[Discount_Applied]]="Yes", 1,0)</f>
        <v>1</v>
      </c>
      <c r="U575" t="str">
        <f>_xlfn.IFS(Table1[[#This Row],[Age]]&lt;=25, "Below 25", Table1[[#This Row],[Age]]&lt;=35, "Between 25-35", Table1[[#This Row],[Age]]&lt;=45, "Between 36-45", Table1[[#This Row],[Age]]&gt;45, "45+")</f>
        <v>45+</v>
      </c>
    </row>
    <row r="576" spans="1:21" x14ac:dyDescent="0.3">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c r="T576">
        <f>IF(Table1[[#This Row],[Discount_Applied]]="Yes", 1,0)</f>
        <v>1</v>
      </c>
      <c r="U576" t="str">
        <f>_xlfn.IFS(Table1[[#This Row],[Age]]&lt;=25, "Below 25", Table1[[#This Row],[Age]]&lt;=35, "Between 25-35", Table1[[#This Row],[Age]]&lt;=45, "Between 36-45", Table1[[#This Row],[Age]]&gt;45, "45+")</f>
        <v>45+</v>
      </c>
    </row>
    <row r="577" spans="1:21" x14ac:dyDescent="0.3">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c r="T577">
        <f>IF(Table1[[#This Row],[Discount_Applied]]="Yes", 1,0)</f>
        <v>1</v>
      </c>
      <c r="U577" t="str">
        <f>_xlfn.IFS(Table1[[#This Row],[Age]]&lt;=25, "Below 25", Table1[[#This Row],[Age]]&lt;=35, "Between 25-35", Table1[[#This Row],[Age]]&lt;=45, "Between 36-45", Table1[[#This Row],[Age]]&gt;45, "45+")</f>
        <v>45+</v>
      </c>
    </row>
    <row r="578" spans="1:21" x14ac:dyDescent="0.3">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c r="T578">
        <f>IF(Table1[[#This Row],[Discount_Applied]]="Yes", 1,0)</f>
        <v>1</v>
      </c>
      <c r="U578" t="str">
        <f>_xlfn.IFS(Table1[[#This Row],[Age]]&lt;=25, "Below 25", Table1[[#This Row],[Age]]&lt;=35, "Between 25-35", Table1[[#This Row],[Age]]&lt;=45, "Between 36-45", Table1[[#This Row],[Age]]&gt;45, "45+")</f>
        <v>45+</v>
      </c>
    </row>
    <row r="579" spans="1:21" x14ac:dyDescent="0.3">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c r="T579">
        <f>IF(Table1[[#This Row],[Discount_Applied]]="Yes", 1,0)</f>
        <v>1</v>
      </c>
      <c r="U579" t="str">
        <f>_xlfn.IFS(Table1[[#This Row],[Age]]&lt;=25, "Below 25", Table1[[#This Row],[Age]]&lt;=35, "Between 25-35", Table1[[#This Row],[Age]]&lt;=45, "Between 36-45", Table1[[#This Row],[Age]]&gt;45, "45+")</f>
        <v>Below 25</v>
      </c>
    </row>
    <row r="580" spans="1:21" x14ac:dyDescent="0.3">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c r="T580">
        <f>IF(Table1[[#This Row],[Discount_Applied]]="Yes", 1,0)</f>
        <v>1</v>
      </c>
      <c r="U580" t="str">
        <f>_xlfn.IFS(Table1[[#This Row],[Age]]&lt;=25, "Below 25", Table1[[#This Row],[Age]]&lt;=35, "Between 25-35", Table1[[#This Row],[Age]]&lt;=45, "Between 36-45", Table1[[#This Row],[Age]]&gt;45, "45+")</f>
        <v>45+</v>
      </c>
    </row>
    <row r="581" spans="1:21" x14ac:dyDescent="0.3">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c r="T581">
        <f>IF(Table1[[#This Row],[Discount_Applied]]="Yes", 1,0)</f>
        <v>1</v>
      </c>
      <c r="U581" t="str">
        <f>_xlfn.IFS(Table1[[#This Row],[Age]]&lt;=25, "Below 25", Table1[[#This Row],[Age]]&lt;=35, "Between 25-35", Table1[[#This Row],[Age]]&lt;=45, "Between 36-45", Table1[[#This Row],[Age]]&gt;45, "45+")</f>
        <v>45+</v>
      </c>
    </row>
    <row r="582" spans="1:21" x14ac:dyDescent="0.3">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c r="T582">
        <f>IF(Table1[[#This Row],[Discount_Applied]]="Yes", 1,0)</f>
        <v>1</v>
      </c>
      <c r="U582" t="str">
        <f>_xlfn.IFS(Table1[[#This Row],[Age]]&lt;=25, "Below 25", Table1[[#This Row],[Age]]&lt;=35, "Between 25-35", Table1[[#This Row],[Age]]&lt;=45, "Between 36-45", Table1[[#This Row],[Age]]&gt;45, "45+")</f>
        <v>45+</v>
      </c>
    </row>
    <row r="583" spans="1:21" x14ac:dyDescent="0.3">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c r="T583">
        <f>IF(Table1[[#This Row],[Discount_Applied]]="Yes", 1,0)</f>
        <v>1</v>
      </c>
      <c r="U583" t="str">
        <f>_xlfn.IFS(Table1[[#This Row],[Age]]&lt;=25, "Below 25", Table1[[#This Row],[Age]]&lt;=35, "Between 25-35", Table1[[#This Row],[Age]]&lt;=45, "Between 36-45", Table1[[#This Row],[Age]]&gt;45, "45+")</f>
        <v>Between 25-35</v>
      </c>
    </row>
    <row r="584" spans="1:21" x14ac:dyDescent="0.3">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c r="T584">
        <f>IF(Table1[[#This Row],[Discount_Applied]]="Yes", 1,0)</f>
        <v>1</v>
      </c>
      <c r="U584" t="str">
        <f>_xlfn.IFS(Table1[[#This Row],[Age]]&lt;=25, "Below 25", Table1[[#This Row],[Age]]&lt;=35, "Between 25-35", Table1[[#This Row],[Age]]&lt;=45, "Between 36-45", Table1[[#This Row],[Age]]&gt;45, "45+")</f>
        <v>Between 36-45</v>
      </c>
    </row>
    <row r="585" spans="1:21" x14ac:dyDescent="0.3">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c r="T585">
        <f>IF(Table1[[#This Row],[Discount_Applied]]="Yes", 1,0)</f>
        <v>1</v>
      </c>
      <c r="U585" t="str">
        <f>_xlfn.IFS(Table1[[#This Row],[Age]]&lt;=25, "Below 25", Table1[[#This Row],[Age]]&lt;=35, "Between 25-35", Table1[[#This Row],[Age]]&lt;=45, "Between 36-45", Table1[[#This Row],[Age]]&gt;45, "45+")</f>
        <v>Below 25</v>
      </c>
    </row>
    <row r="586" spans="1:21" x14ac:dyDescent="0.3">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c r="T586">
        <f>IF(Table1[[#This Row],[Discount_Applied]]="Yes", 1,0)</f>
        <v>1</v>
      </c>
      <c r="U586" t="str">
        <f>_xlfn.IFS(Table1[[#This Row],[Age]]&lt;=25, "Below 25", Table1[[#This Row],[Age]]&lt;=35, "Between 25-35", Table1[[#This Row],[Age]]&lt;=45, "Between 36-45", Table1[[#This Row],[Age]]&gt;45, "45+")</f>
        <v>45+</v>
      </c>
    </row>
    <row r="587" spans="1:21" x14ac:dyDescent="0.3">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c r="T587">
        <f>IF(Table1[[#This Row],[Discount_Applied]]="Yes", 1,0)</f>
        <v>1</v>
      </c>
      <c r="U587" t="str">
        <f>_xlfn.IFS(Table1[[#This Row],[Age]]&lt;=25, "Below 25", Table1[[#This Row],[Age]]&lt;=35, "Between 25-35", Table1[[#This Row],[Age]]&lt;=45, "Between 36-45", Table1[[#This Row],[Age]]&gt;45, "45+")</f>
        <v>45+</v>
      </c>
    </row>
    <row r="588" spans="1:21" x14ac:dyDescent="0.3">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c r="T588">
        <f>IF(Table1[[#This Row],[Discount_Applied]]="Yes", 1,0)</f>
        <v>1</v>
      </c>
      <c r="U588" t="str">
        <f>_xlfn.IFS(Table1[[#This Row],[Age]]&lt;=25, "Below 25", Table1[[#This Row],[Age]]&lt;=35, "Between 25-35", Table1[[#This Row],[Age]]&lt;=45, "Between 36-45", Table1[[#This Row],[Age]]&gt;45, "45+")</f>
        <v>Between 36-45</v>
      </c>
    </row>
    <row r="589" spans="1:21" x14ac:dyDescent="0.3">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c r="T589">
        <f>IF(Table1[[#This Row],[Discount_Applied]]="Yes", 1,0)</f>
        <v>1</v>
      </c>
      <c r="U589" t="str">
        <f>_xlfn.IFS(Table1[[#This Row],[Age]]&lt;=25, "Below 25", Table1[[#This Row],[Age]]&lt;=35, "Between 25-35", Table1[[#This Row],[Age]]&lt;=45, "Between 36-45", Table1[[#This Row],[Age]]&gt;45, "45+")</f>
        <v>Between 25-35</v>
      </c>
    </row>
    <row r="590" spans="1:21" x14ac:dyDescent="0.3">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c r="T590">
        <f>IF(Table1[[#This Row],[Discount_Applied]]="Yes", 1,0)</f>
        <v>1</v>
      </c>
      <c r="U590" t="str">
        <f>_xlfn.IFS(Table1[[#This Row],[Age]]&lt;=25, "Below 25", Table1[[#This Row],[Age]]&lt;=35, "Between 25-35", Table1[[#This Row],[Age]]&lt;=45, "Between 36-45", Table1[[#This Row],[Age]]&gt;45, "45+")</f>
        <v>45+</v>
      </c>
    </row>
    <row r="591" spans="1:21" x14ac:dyDescent="0.3">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c r="T591">
        <f>IF(Table1[[#This Row],[Discount_Applied]]="Yes", 1,0)</f>
        <v>1</v>
      </c>
      <c r="U591" t="str">
        <f>_xlfn.IFS(Table1[[#This Row],[Age]]&lt;=25, "Below 25", Table1[[#This Row],[Age]]&lt;=35, "Between 25-35", Table1[[#This Row],[Age]]&lt;=45, "Between 36-45", Table1[[#This Row],[Age]]&gt;45, "45+")</f>
        <v>Between 25-35</v>
      </c>
    </row>
    <row r="592" spans="1:21" x14ac:dyDescent="0.3">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c r="T592">
        <f>IF(Table1[[#This Row],[Discount_Applied]]="Yes", 1,0)</f>
        <v>1</v>
      </c>
      <c r="U592" t="str">
        <f>_xlfn.IFS(Table1[[#This Row],[Age]]&lt;=25, "Below 25", Table1[[#This Row],[Age]]&lt;=35, "Between 25-35", Table1[[#This Row],[Age]]&lt;=45, "Between 36-45", Table1[[#This Row],[Age]]&gt;45, "45+")</f>
        <v>45+</v>
      </c>
    </row>
    <row r="593" spans="1:21" x14ac:dyDescent="0.3">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c r="T593">
        <f>IF(Table1[[#This Row],[Discount_Applied]]="Yes", 1,0)</f>
        <v>1</v>
      </c>
      <c r="U593" t="str">
        <f>_xlfn.IFS(Table1[[#This Row],[Age]]&lt;=25, "Below 25", Table1[[#This Row],[Age]]&lt;=35, "Between 25-35", Table1[[#This Row],[Age]]&lt;=45, "Between 36-45", Table1[[#This Row],[Age]]&gt;45, "45+")</f>
        <v>45+</v>
      </c>
    </row>
    <row r="594" spans="1:21" x14ac:dyDescent="0.3">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c r="T594">
        <f>IF(Table1[[#This Row],[Discount_Applied]]="Yes", 1,0)</f>
        <v>1</v>
      </c>
      <c r="U594" t="str">
        <f>_xlfn.IFS(Table1[[#This Row],[Age]]&lt;=25, "Below 25", Table1[[#This Row],[Age]]&lt;=35, "Between 25-35", Table1[[#This Row],[Age]]&lt;=45, "Between 36-45", Table1[[#This Row],[Age]]&gt;45, "45+")</f>
        <v>45+</v>
      </c>
    </row>
    <row r="595" spans="1:21" x14ac:dyDescent="0.3">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c r="T595">
        <f>IF(Table1[[#This Row],[Discount_Applied]]="Yes", 1,0)</f>
        <v>1</v>
      </c>
      <c r="U595" t="str">
        <f>_xlfn.IFS(Table1[[#This Row],[Age]]&lt;=25, "Below 25", Table1[[#This Row],[Age]]&lt;=35, "Between 25-35", Table1[[#This Row],[Age]]&lt;=45, "Between 36-45", Table1[[#This Row],[Age]]&gt;45, "45+")</f>
        <v>45+</v>
      </c>
    </row>
    <row r="596" spans="1:21" x14ac:dyDescent="0.3">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c r="T596">
        <f>IF(Table1[[#This Row],[Discount_Applied]]="Yes", 1,0)</f>
        <v>1</v>
      </c>
      <c r="U596" t="str">
        <f>_xlfn.IFS(Table1[[#This Row],[Age]]&lt;=25, "Below 25", Table1[[#This Row],[Age]]&lt;=35, "Between 25-35", Table1[[#This Row],[Age]]&lt;=45, "Between 36-45", Table1[[#This Row],[Age]]&gt;45, "45+")</f>
        <v>Between 25-35</v>
      </c>
    </row>
    <row r="597" spans="1:21" x14ac:dyDescent="0.3">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c r="T597">
        <f>IF(Table1[[#This Row],[Discount_Applied]]="Yes", 1,0)</f>
        <v>1</v>
      </c>
      <c r="U597" t="str">
        <f>_xlfn.IFS(Table1[[#This Row],[Age]]&lt;=25, "Below 25", Table1[[#This Row],[Age]]&lt;=35, "Between 25-35", Table1[[#This Row],[Age]]&lt;=45, "Between 36-45", Table1[[#This Row],[Age]]&gt;45, "45+")</f>
        <v>Between 25-35</v>
      </c>
    </row>
    <row r="598" spans="1:21" x14ac:dyDescent="0.3">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c r="T598">
        <f>IF(Table1[[#This Row],[Discount_Applied]]="Yes", 1,0)</f>
        <v>1</v>
      </c>
      <c r="U598" t="str">
        <f>_xlfn.IFS(Table1[[#This Row],[Age]]&lt;=25, "Below 25", Table1[[#This Row],[Age]]&lt;=35, "Between 25-35", Table1[[#This Row],[Age]]&lt;=45, "Between 36-45", Table1[[#This Row],[Age]]&gt;45, "45+")</f>
        <v>Below 25</v>
      </c>
    </row>
    <row r="599" spans="1:21" x14ac:dyDescent="0.3">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c r="T599">
        <f>IF(Table1[[#This Row],[Discount_Applied]]="Yes", 1,0)</f>
        <v>1</v>
      </c>
      <c r="U599" t="str">
        <f>_xlfn.IFS(Table1[[#This Row],[Age]]&lt;=25, "Below 25", Table1[[#This Row],[Age]]&lt;=35, "Between 25-35", Table1[[#This Row],[Age]]&lt;=45, "Between 36-45", Table1[[#This Row],[Age]]&gt;45, "45+")</f>
        <v>45+</v>
      </c>
    </row>
    <row r="600" spans="1:21" x14ac:dyDescent="0.3">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c r="T600">
        <f>IF(Table1[[#This Row],[Discount_Applied]]="Yes", 1,0)</f>
        <v>1</v>
      </c>
      <c r="U600" t="str">
        <f>_xlfn.IFS(Table1[[#This Row],[Age]]&lt;=25, "Below 25", Table1[[#This Row],[Age]]&lt;=35, "Between 25-35", Table1[[#This Row],[Age]]&lt;=45, "Between 36-45", Table1[[#This Row],[Age]]&gt;45, "45+")</f>
        <v>Below 25</v>
      </c>
    </row>
    <row r="601" spans="1:21" x14ac:dyDescent="0.3">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c r="T601">
        <f>IF(Table1[[#This Row],[Discount_Applied]]="Yes", 1,0)</f>
        <v>1</v>
      </c>
      <c r="U601" t="str">
        <f>_xlfn.IFS(Table1[[#This Row],[Age]]&lt;=25, "Below 25", Table1[[#This Row],[Age]]&lt;=35, "Between 25-35", Table1[[#This Row],[Age]]&lt;=45, "Between 36-45", Table1[[#This Row],[Age]]&gt;45, "45+")</f>
        <v>45+</v>
      </c>
    </row>
    <row r="602" spans="1:21" x14ac:dyDescent="0.3">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c r="T602">
        <f>IF(Table1[[#This Row],[Discount_Applied]]="Yes", 1,0)</f>
        <v>1</v>
      </c>
      <c r="U602" t="str">
        <f>_xlfn.IFS(Table1[[#This Row],[Age]]&lt;=25, "Below 25", Table1[[#This Row],[Age]]&lt;=35, "Between 25-35", Table1[[#This Row],[Age]]&lt;=45, "Between 36-45", Table1[[#This Row],[Age]]&gt;45, "45+")</f>
        <v>Below 25</v>
      </c>
    </row>
    <row r="603" spans="1:21" x14ac:dyDescent="0.3">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c r="T603">
        <f>IF(Table1[[#This Row],[Discount_Applied]]="Yes", 1,0)</f>
        <v>1</v>
      </c>
      <c r="U603" t="str">
        <f>_xlfn.IFS(Table1[[#This Row],[Age]]&lt;=25, "Below 25", Table1[[#This Row],[Age]]&lt;=35, "Between 25-35", Table1[[#This Row],[Age]]&lt;=45, "Between 36-45", Table1[[#This Row],[Age]]&gt;45, "45+")</f>
        <v>Between 25-35</v>
      </c>
    </row>
    <row r="604" spans="1:21" x14ac:dyDescent="0.3">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c r="T604">
        <f>IF(Table1[[#This Row],[Discount_Applied]]="Yes", 1,0)</f>
        <v>1</v>
      </c>
      <c r="U604" t="str">
        <f>_xlfn.IFS(Table1[[#This Row],[Age]]&lt;=25, "Below 25", Table1[[#This Row],[Age]]&lt;=35, "Between 25-35", Table1[[#This Row],[Age]]&lt;=45, "Between 36-45", Table1[[#This Row],[Age]]&gt;45, "45+")</f>
        <v>Between 36-45</v>
      </c>
    </row>
    <row r="605" spans="1:21" x14ac:dyDescent="0.3">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c r="T605">
        <f>IF(Table1[[#This Row],[Discount_Applied]]="Yes", 1,0)</f>
        <v>1</v>
      </c>
      <c r="U605" t="str">
        <f>_xlfn.IFS(Table1[[#This Row],[Age]]&lt;=25, "Below 25", Table1[[#This Row],[Age]]&lt;=35, "Between 25-35", Table1[[#This Row],[Age]]&lt;=45, "Between 36-45", Table1[[#This Row],[Age]]&gt;45, "45+")</f>
        <v>Between 25-35</v>
      </c>
    </row>
    <row r="606" spans="1:21" x14ac:dyDescent="0.3">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c r="T606">
        <f>IF(Table1[[#This Row],[Discount_Applied]]="Yes", 1,0)</f>
        <v>1</v>
      </c>
      <c r="U606" t="str">
        <f>_xlfn.IFS(Table1[[#This Row],[Age]]&lt;=25, "Below 25", Table1[[#This Row],[Age]]&lt;=35, "Between 25-35", Table1[[#This Row],[Age]]&lt;=45, "Between 36-45", Table1[[#This Row],[Age]]&gt;45, "45+")</f>
        <v>Between 36-45</v>
      </c>
    </row>
    <row r="607" spans="1:21" x14ac:dyDescent="0.3">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c r="T607">
        <f>IF(Table1[[#This Row],[Discount_Applied]]="Yes", 1,0)</f>
        <v>1</v>
      </c>
      <c r="U607" t="str">
        <f>_xlfn.IFS(Table1[[#This Row],[Age]]&lt;=25, "Below 25", Table1[[#This Row],[Age]]&lt;=35, "Between 25-35", Table1[[#This Row],[Age]]&lt;=45, "Between 36-45", Table1[[#This Row],[Age]]&gt;45, "45+")</f>
        <v>Between 36-45</v>
      </c>
    </row>
    <row r="608" spans="1:21" x14ac:dyDescent="0.3">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c r="T608">
        <f>IF(Table1[[#This Row],[Discount_Applied]]="Yes", 1,0)</f>
        <v>1</v>
      </c>
      <c r="U608" t="str">
        <f>_xlfn.IFS(Table1[[#This Row],[Age]]&lt;=25, "Below 25", Table1[[#This Row],[Age]]&lt;=35, "Between 25-35", Table1[[#This Row],[Age]]&lt;=45, "Between 36-45", Table1[[#This Row],[Age]]&gt;45, "45+")</f>
        <v>Between 25-35</v>
      </c>
    </row>
    <row r="609" spans="1:21" x14ac:dyDescent="0.3">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c r="T609">
        <f>IF(Table1[[#This Row],[Discount_Applied]]="Yes", 1,0)</f>
        <v>1</v>
      </c>
      <c r="U609" t="str">
        <f>_xlfn.IFS(Table1[[#This Row],[Age]]&lt;=25, "Below 25", Table1[[#This Row],[Age]]&lt;=35, "Between 25-35", Table1[[#This Row],[Age]]&lt;=45, "Between 36-45", Table1[[#This Row],[Age]]&gt;45, "45+")</f>
        <v>45+</v>
      </c>
    </row>
    <row r="610" spans="1:21" x14ac:dyDescent="0.3">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c r="T610">
        <f>IF(Table1[[#This Row],[Discount_Applied]]="Yes", 1,0)</f>
        <v>1</v>
      </c>
      <c r="U610" t="str">
        <f>_xlfn.IFS(Table1[[#This Row],[Age]]&lt;=25, "Below 25", Table1[[#This Row],[Age]]&lt;=35, "Between 25-35", Table1[[#This Row],[Age]]&lt;=45, "Between 36-45", Table1[[#This Row],[Age]]&gt;45, "45+")</f>
        <v>Between 36-45</v>
      </c>
    </row>
    <row r="611" spans="1:21" x14ac:dyDescent="0.3">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c r="T611">
        <f>IF(Table1[[#This Row],[Discount_Applied]]="Yes", 1,0)</f>
        <v>1</v>
      </c>
      <c r="U611" t="str">
        <f>_xlfn.IFS(Table1[[#This Row],[Age]]&lt;=25, "Below 25", Table1[[#This Row],[Age]]&lt;=35, "Between 25-35", Table1[[#This Row],[Age]]&lt;=45, "Between 36-45", Table1[[#This Row],[Age]]&gt;45, "45+")</f>
        <v>45+</v>
      </c>
    </row>
    <row r="612" spans="1:21" x14ac:dyDescent="0.3">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c r="T612">
        <f>IF(Table1[[#This Row],[Discount_Applied]]="Yes", 1,0)</f>
        <v>1</v>
      </c>
      <c r="U612" t="str">
        <f>_xlfn.IFS(Table1[[#This Row],[Age]]&lt;=25, "Below 25", Table1[[#This Row],[Age]]&lt;=35, "Between 25-35", Table1[[#This Row],[Age]]&lt;=45, "Between 36-45", Table1[[#This Row],[Age]]&gt;45, "45+")</f>
        <v>45+</v>
      </c>
    </row>
    <row r="613" spans="1:21" x14ac:dyDescent="0.3">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c r="T613">
        <f>IF(Table1[[#This Row],[Discount_Applied]]="Yes", 1,0)</f>
        <v>1</v>
      </c>
      <c r="U613" t="str">
        <f>_xlfn.IFS(Table1[[#This Row],[Age]]&lt;=25, "Below 25", Table1[[#This Row],[Age]]&lt;=35, "Between 25-35", Table1[[#This Row],[Age]]&lt;=45, "Between 36-45", Table1[[#This Row],[Age]]&gt;45, "45+")</f>
        <v>Between 36-45</v>
      </c>
    </row>
    <row r="614" spans="1:21" x14ac:dyDescent="0.3">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c r="T614">
        <f>IF(Table1[[#This Row],[Discount_Applied]]="Yes", 1,0)</f>
        <v>1</v>
      </c>
      <c r="U614" t="str">
        <f>_xlfn.IFS(Table1[[#This Row],[Age]]&lt;=25, "Below 25", Table1[[#This Row],[Age]]&lt;=35, "Between 25-35", Table1[[#This Row],[Age]]&lt;=45, "Between 36-45", Table1[[#This Row],[Age]]&gt;45, "45+")</f>
        <v>45+</v>
      </c>
    </row>
    <row r="615" spans="1:21" x14ac:dyDescent="0.3">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c r="T615">
        <f>IF(Table1[[#This Row],[Discount_Applied]]="Yes", 1,0)</f>
        <v>1</v>
      </c>
      <c r="U615" t="str">
        <f>_xlfn.IFS(Table1[[#This Row],[Age]]&lt;=25, "Below 25", Table1[[#This Row],[Age]]&lt;=35, "Between 25-35", Table1[[#This Row],[Age]]&lt;=45, "Between 36-45", Table1[[#This Row],[Age]]&gt;45, "45+")</f>
        <v>45+</v>
      </c>
    </row>
    <row r="616" spans="1:21" x14ac:dyDescent="0.3">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c r="T616">
        <f>IF(Table1[[#This Row],[Discount_Applied]]="Yes", 1,0)</f>
        <v>1</v>
      </c>
      <c r="U616" t="str">
        <f>_xlfn.IFS(Table1[[#This Row],[Age]]&lt;=25, "Below 25", Table1[[#This Row],[Age]]&lt;=35, "Between 25-35", Table1[[#This Row],[Age]]&lt;=45, "Between 36-45", Table1[[#This Row],[Age]]&gt;45, "45+")</f>
        <v>45+</v>
      </c>
    </row>
    <row r="617" spans="1:21" x14ac:dyDescent="0.3">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c r="T617">
        <f>IF(Table1[[#This Row],[Discount_Applied]]="Yes", 1,0)</f>
        <v>1</v>
      </c>
      <c r="U617" t="str">
        <f>_xlfn.IFS(Table1[[#This Row],[Age]]&lt;=25, "Below 25", Table1[[#This Row],[Age]]&lt;=35, "Between 25-35", Table1[[#This Row],[Age]]&lt;=45, "Between 36-45", Table1[[#This Row],[Age]]&gt;45, "45+")</f>
        <v>45+</v>
      </c>
    </row>
    <row r="618" spans="1:21" x14ac:dyDescent="0.3">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c r="T618">
        <f>IF(Table1[[#This Row],[Discount_Applied]]="Yes", 1,0)</f>
        <v>1</v>
      </c>
      <c r="U618" t="str">
        <f>_xlfn.IFS(Table1[[#This Row],[Age]]&lt;=25, "Below 25", Table1[[#This Row],[Age]]&lt;=35, "Between 25-35", Table1[[#This Row],[Age]]&lt;=45, "Between 36-45", Table1[[#This Row],[Age]]&gt;45, "45+")</f>
        <v>Between 25-35</v>
      </c>
    </row>
    <row r="619" spans="1:21" x14ac:dyDescent="0.3">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c r="T619">
        <f>IF(Table1[[#This Row],[Discount_Applied]]="Yes", 1,0)</f>
        <v>1</v>
      </c>
      <c r="U619" t="str">
        <f>_xlfn.IFS(Table1[[#This Row],[Age]]&lt;=25, "Below 25", Table1[[#This Row],[Age]]&lt;=35, "Between 25-35", Table1[[#This Row],[Age]]&lt;=45, "Between 36-45", Table1[[#This Row],[Age]]&gt;45, "45+")</f>
        <v>45+</v>
      </c>
    </row>
    <row r="620" spans="1:21" x14ac:dyDescent="0.3">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c r="T620">
        <f>IF(Table1[[#This Row],[Discount_Applied]]="Yes", 1,0)</f>
        <v>1</v>
      </c>
      <c r="U620" t="str">
        <f>_xlfn.IFS(Table1[[#This Row],[Age]]&lt;=25, "Below 25", Table1[[#This Row],[Age]]&lt;=35, "Between 25-35", Table1[[#This Row],[Age]]&lt;=45, "Between 36-45", Table1[[#This Row],[Age]]&gt;45, "45+")</f>
        <v>45+</v>
      </c>
    </row>
    <row r="621" spans="1:21" x14ac:dyDescent="0.3">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c r="T621">
        <f>IF(Table1[[#This Row],[Discount_Applied]]="Yes", 1,0)</f>
        <v>1</v>
      </c>
      <c r="U621" t="str">
        <f>_xlfn.IFS(Table1[[#This Row],[Age]]&lt;=25, "Below 25", Table1[[#This Row],[Age]]&lt;=35, "Between 25-35", Table1[[#This Row],[Age]]&lt;=45, "Between 36-45", Table1[[#This Row],[Age]]&gt;45, "45+")</f>
        <v>Below 25</v>
      </c>
    </row>
    <row r="622" spans="1:21" x14ac:dyDescent="0.3">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c r="T622">
        <f>IF(Table1[[#This Row],[Discount_Applied]]="Yes", 1,0)</f>
        <v>1</v>
      </c>
      <c r="U622" t="str">
        <f>_xlfn.IFS(Table1[[#This Row],[Age]]&lt;=25, "Below 25", Table1[[#This Row],[Age]]&lt;=35, "Between 25-35", Table1[[#This Row],[Age]]&lt;=45, "Between 36-45", Table1[[#This Row],[Age]]&gt;45, "45+")</f>
        <v>Between 25-35</v>
      </c>
    </row>
    <row r="623" spans="1:21" x14ac:dyDescent="0.3">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c r="T623">
        <f>IF(Table1[[#This Row],[Discount_Applied]]="Yes", 1,0)</f>
        <v>1</v>
      </c>
      <c r="U623" t="str">
        <f>_xlfn.IFS(Table1[[#This Row],[Age]]&lt;=25, "Below 25", Table1[[#This Row],[Age]]&lt;=35, "Between 25-35", Table1[[#This Row],[Age]]&lt;=45, "Between 36-45", Table1[[#This Row],[Age]]&gt;45, "45+")</f>
        <v>45+</v>
      </c>
    </row>
    <row r="624" spans="1:21" x14ac:dyDescent="0.3">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c r="T624">
        <f>IF(Table1[[#This Row],[Discount_Applied]]="Yes", 1,0)</f>
        <v>1</v>
      </c>
      <c r="U624" t="str">
        <f>_xlfn.IFS(Table1[[#This Row],[Age]]&lt;=25, "Below 25", Table1[[#This Row],[Age]]&lt;=35, "Between 25-35", Table1[[#This Row],[Age]]&lt;=45, "Between 36-45", Table1[[#This Row],[Age]]&gt;45, "45+")</f>
        <v>45+</v>
      </c>
    </row>
    <row r="625" spans="1:21" x14ac:dyDescent="0.3">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c r="T625">
        <f>IF(Table1[[#This Row],[Discount_Applied]]="Yes", 1,0)</f>
        <v>1</v>
      </c>
      <c r="U625" t="str">
        <f>_xlfn.IFS(Table1[[#This Row],[Age]]&lt;=25, "Below 25", Table1[[#This Row],[Age]]&lt;=35, "Between 25-35", Table1[[#This Row],[Age]]&lt;=45, "Between 36-45", Table1[[#This Row],[Age]]&gt;45, "45+")</f>
        <v>Below 25</v>
      </c>
    </row>
    <row r="626" spans="1:21" x14ac:dyDescent="0.3">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c r="T626">
        <f>IF(Table1[[#This Row],[Discount_Applied]]="Yes", 1,0)</f>
        <v>1</v>
      </c>
      <c r="U626" t="str">
        <f>_xlfn.IFS(Table1[[#This Row],[Age]]&lt;=25, "Below 25", Table1[[#This Row],[Age]]&lt;=35, "Between 25-35", Table1[[#This Row],[Age]]&lt;=45, "Between 36-45", Table1[[#This Row],[Age]]&gt;45, "45+")</f>
        <v>45+</v>
      </c>
    </row>
    <row r="627" spans="1:21" x14ac:dyDescent="0.3">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c r="T627">
        <f>IF(Table1[[#This Row],[Discount_Applied]]="Yes", 1,0)</f>
        <v>1</v>
      </c>
      <c r="U627" t="str">
        <f>_xlfn.IFS(Table1[[#This Row],[Age]]&lt;=25, "Below 25", Table1[[#This Row],[Age]]&lt;=35, "Between 25-35", Table1[[#This Row],[Age]]&lt;=45, "Between 36-45", Table1[[#This Row],[Age]]&gt;45, "45+")</f>
        <v>45+</v>
      </c>
    </row>
    <row r="628" spans="1:21" x14ac:dyDescent="0.3">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c r="T628">
        <f>IF(Table1[[#This Row],[Discount_Applied]]="Yes", 1,0)</f>
        <v>1</v>
      </c>
      <c r="U628" t="str">
        <f>_xlfn.IFS(Table1[[#This Row],[Age]]&lt;=25, "Below 25", Table1[[#This Row],[Age]]&lt;=35, "Between 25-35", Table1[[#This Row],[Age]]&lt;=45, "Between 36-45", Table1[[#This Row],[Age]]&gt;45, "45+")</f>
        <v>Between 25-35</v>
      </c>
    </row>
    <row r="629" spans="1:21" x14ac:dyDescent="0.3">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c r="T629">
        <f>IF(Table1[[#This Row],[Discount_Applied]]="Yes", 1,0)</f>
        <v>1</v>
      </c>
      <c r="U629" t="str">
        <f>_xlfn.IFS(Table1[[#This Row],[Age]]&lt;=25, "Below 25", Table1[[#This Row],[Age]]&lt;=35, "Between 25-35", Table1[[#This Row],[Age]]&lt;=45, "Between 36-45", Table1[[#This Row],[Age]]&gt;45, "45+")</f>
        <v>Between 36-45</v>
      </c>
    </row>
    <row r="630" spans="1:21" x14ac:dyDescent="0.3">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c r="T630">
        <f>IF(Table1[[#This Row],[Discount_Applied]]="Yes", 1,0)</f>
        <v>1</v>
      </c>
      <c r="U630" t="str">
        <f>_xlfn.IFS(Table1[[#This Row],[Age]]&lt;=25, "Below 25", Table1[[#This Row],[Age]]&lt;=35, "Between 25-35", Table1[[#This Row],[Age]]&lt;=45, "Between 36-45", Table1[[#This Row],[Age]]&gt;45, "45+")</f>
        <v>45+</v>
      </c>
    </row>
    <row r="631" spans="1:21" x14ac:dyDescent="0.3">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c r="T631">
        <f>IF(Table1[[#This Row],[Discount_Applied]]="Yes", 1,0)</f>
        <v>1</v>
      </c>
      <c r="U631" t="str">
        <f>_xlfn.IFS(Table1[[#This Row],[Age]]&lt;=25, "Below 25", Table1[[#This Row],[Age]]&lt;=35, "Between 25-35", Table1[[#This Row],[Age]]&lt;=45, "Between 36-45", Table1[[#This Row],[Age]]&gt;45, "45+")</f>
        <v>Between 25-35</v>
      </c>
    </row>
    <row r="632" spans="1:21" x14ac:dyDescent="0.3">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c r="T632">
        <f>IF(Table1[[#This Row],[Discount_Applied]]="Yes", 1,0)</f>
        <v>1</v>
      </c>
      <c r="U632" t="str">
        <f>_xlfn.IFS(Table1[[#This Row],[Age]]&lt;=25, "Below 25", Table1[[#This Row],[Age]]&lt;=35, "Between 25-35", Table1[[#This Row],[Age]]&lt;=45, "Between 36-45", Table1[[#This Row],[Age]]&gt;45, "45+")</f>
        <v>Between 36-45</v>
      </c>
    </row>
    <row r="633" spans="1:21" x14ac:dyDescent="0.3">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c r="T633">
        <f>IF(Table1[[#This Row],[Discount_Applied]]="Yes", 1,0)</f>
        <v>1</v>
      </c>
      <c r="U633" t="str">
        <f>_xlfn.IFS(Table1[[#This Row],[Age]]&lt;=25, "Below 25", Table1[[#This Row],[Age]]&lt;=35, "Between 25-35", Table1[[#This Row],[Age]]&lt;=45, "Between 36-45", Table1[[#This Row],[Age]]&gt;45, "45+")</f>
        <v>45+</v>
      </c>
    </row>
    <row r="634" spans="1:21" x14ac:dyDescent="0.3">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c r="T634">
        <f>IF(Table1[[#This Row],[Discount_Applied]]="Yes", 1,0)</f>
        <v>1</v>
      </c>
      <c r="U634" t="str">
        <f>_xlfn.IFS(Table1[[#This Row],[Age]]&lt;=25, "Below 25", Table1[[#This Row],[Age]]&lt;=35, "Between 25-35", Table1[[#This Row],[Age]]&lt;=45, "Between 36-45", Table1[[#This Row],[Age]]&gt;45, "45+")</f>
        <v>Between 25-35</v>
      </c>
    </row>
    <row r="635" spans="1:21" x14ac:dyDescent="0.3">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c r="T635">
        <f>IF(Table1[[#This Row],[Discount_Applied]]="Yes", 1,0)</f>
        <v>1</v>
      </c>
      <c r="U635" t="str">
        <f>_xlfn.IFS(Table1[[#This Row],[Age]]&lt;=25, "Below 25", Table1[[#This Row],[Age]]&lt;=35, "Between 25-35", Table1[[#This Row],[Age]]&lt;=45, "Between 36-45", Table1[[#This Row],[Age]]&gt;45, "45+")</f>
        <v>45+</v>
      </c>
    </row>
    <row r="636" spans="1:21" x14ac:dyDescent="0.3">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c r="T636">
        <f>IF(Table1[[#This Row],[Discount_Applied]]="Yes", 1,0)</f>
        <v>1</v>
      </c>
      <c r="U636" t="str">
        <f>_xlfn.IFS(Table1[[#This Row],[Age]]&lt;=25, "Below 25", Table1[[#This Row],[Age]]&lt;=35, "Between 25-35", Table1[[#This Row],[Age]]&lt;=45, "Between 36-45", Table1[[#This Row],[Age]]&gt;45, "45+")</f>
        <v>Between 36-45</v>
      </c>
    </row>
    <row r="637" spans="1:21" x14ac:dyDescent="0.3">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c r="T637">
        <f>IF(Table1[[#This Row],[Discount_Applied]]="Yes", 1,0)</f>
        <v>1</v>
      </c>
      <c r="U637" t="str">
        <f>_xlfn.IFS(Table1[[#This Row],[Age]]&lt;=25, "Below 25", Table1[[#This Row],[Age]]&lt;=35, "Between 25-35", Table1[[#This Row],[Age]]&lt;=45, "Between 36-45", Table1[[#This Row],[Age]]&gt;45, "45+")</f>
        <v>Between 25-35</v>
      </c>
    </row>
    <row r="638" spans="1:21" x14ac:dyDescent="0.3">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c r="T638">
        <f>IF(Table1[[#This Row],[Discount_Applied]]="Yes", 1,0)</f>
        <v>1</v>
      </c>
      <c r="U638" t="str">
        <f>_xlfn.IFS(Table1[[#This Row],[Age]]&lt;=25, "Below 25", Table1[[#This Row],[Age]]&lt;=35, "Between 25-35", Table1[[#This Row],[Age]]&lt;=45, "Between 36-45", Table1[[#This Row],[Age]]&gt;45, "45+")</f>
        <v>Between 36-45</v>
      </c>
    </row>
    <row r="639" spans="1:21" x14ac:dyDescent="0.3">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c r="T639">
        <f>IF(Table1[[#This Row],[Discount_Applied]]="Yes", 1,0)</f>
        <v>1</v>
      </c>
      <c r="U639" t="str">
        <f>_xlfn.IFS(Table1[[#This Row],[Age]]&lt;=25, "Below 25", Table1[[#This Row],[Age]]&lt;=35, "Between 25-35", Table1[[#This Row],[Age]]&lt;=45, "Between 36-45", Table1[[#This Row],[Age]]&gt;45, "45+")</f>
        <v>Below 25</v>
      </c>
    </row>
    <row r="640" spans="1:21" x14ac:dyDescent="0.3">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c r="T640">
        <f>IF(Table1[[#This Row],[Discount_Applied]]="Yes", 1,0)</f>
        <v>1</v>
      </c>
      <c r="U640" t="str">
        <f>_xlfn.IFS(Table1[[#This Row],[Age]]&lt;=25, "Below 25", Table1[[#This Row],[Age]]&lt;=35, "Between 25-35", Table1[[#This Row],[Age]]&lt;=45, "Between 36-45", Table1[[#This Row],[Age]]&gt;45, "45+")</f>
        <v>45+</v>
      </c>
    </row>
    <row r="641" spans="1:21" x14ac:dyDescent="0.3">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c r="T641">
        <f>IF(Table1[[#This Row],[Discount_Applied]]="Yes", 1,0)</f>
        <v>1</v>
      </c>
      <c r="U641" t="str">
        <f>_xlfn.IFS(Table1[[#This Row],[Age]]&lt;=25, "Below 25", Table1[[#This Row],[Age]]&lt;=35, "Between 25-35", Table1[[#This Row],[Age]]&lt;=45, "Between 36-45", Table1[[#This Row],[Age]]&gt;45, "45+")</f>
        <v>45+</v>
      </c>
    </row>
    <row r="642" spans="1:21" x14ac:dyDescent="0.3">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c r="T642">
        <f>IF(Table1[[#This Row],[Discount_Applied]]="Yes", 1,0)</f>
        <v>1</v>
      </c>
      <c r="U642" t="str">
        <f>_xlfn.IFS(Table1[[#This Row],[Age]]&lt;=25, "Below 25", Table1[[#This Row],[Age]]&lt;=35, "Between 25-35", Table1[[#This Row],[Age]]&lt;=45, "Between 36-45", Table1[[#This Row],[Age]]&gt;45, "45+")</f>
        <v>45+</v>
      </c>
    </row>
    <row r="643" spans="1:21" x14ac:dyDescent="0.3">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c r="T643">
        <f>IF(Table1[[#This Row],[Discount_Applied]]="Yes", 1,0)</f>
        <v>1</v>
      </c>
      <c r="U643" t="str">
        <f>_xlfn.IFS(Table1[[#This Row],[Age]]&lt;=25, "Below 25", Table1[[#This Row],[Age]]&lt;=35, "Between 25-35", Table1[[#This Row],[Age]]&lt;=45, "Between 36-45", Table1[[#This Row],[Age]]&gt;45, "45+")</f>
        <v>45+</v>
      </c>
    </row>
    <row r="644" spans="1:21" x14ac:dyDescent="0.3">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c r="T644">
        <f>IF(Table1[[#This Row],[Discount_Applied]]="Yes", 1,0)</f>
        <v>1</v>
      </c>
      <c r="U644" t="str">
        <f>_xlfn.IFS(Table1[[#This Row],[Age]]&lt;=25, "Below 25", Table1[[#This Row],[Age]]&lt;=35, "Between 25-35", Table1[[#This Row],[Age]]&lt;=45, "Between 36-45", Table1[[#This Row],[Age]]&gt;45, "45+")</f>
        <v>45+</v>
      </c>
    </row>
    <row r="645" spans="1:21" x14ac:dyDescent="0.3">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c r="T645">
        <f>IF(Table1[[#This Row],[Discount_Applied]]="Yes", 1,0)</f>
        <v>1</v>
      </c>
      <c r="U645" t="str">
        <f>_xlfn.IFS(Table1[[#This Row],[Age]]&lt;=25, "Below 25", Table1[[#This Row],[Age]]&lt;=35, "Between 25-35", Table1[[#This Row],[Age]]&lt;=45, "Between 36-45", Table1[[#This Row],[Age]]&gt;45, "45+")</f>
        <v>Below 25</v>
      </c>
    </row>
    <row r="646" spans="1:21" x14ac:dyDescent="0.3">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c r="T646">
        <f>IF(Table1[[#This Row],[Discount_Applied]]="Yes", 1,0)</f>
        <v>1</v>
      </c>
      <c r="U646" t="str">
        <f>_xlfn.IFS(Table1[[#This Row],[Age]]&lt;=25, "Below 25", Table1[[#This Row],[Age]]&lt;=35, "Between 25-35", Table1[[#This Row],[Age]]&lt;=45, "Between 36-45", Table1[[#This Row],[Age]]&gt;45, "45+")</f>
        <v>45+</v>
      </c>
    </row>
    <row r="647" spans="1:21" x14ac:dyDescent="0.3">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c r="T647">
        <f>IF(Table1[[#This Row],[Discount_Applied]]="Yes", 1,0)</f>
        <v>1</v>
      </c>
      <c r="U647" t="str">
        <f>_xlfn.IFS(Table1[[#This Row],[Age]]&lt;=25, "Below 25", Table1[[#This Row],[Age]]&lt;=35, "Between 25-35", Table1[[#This Row],[Age]]&lt;=45, "Between 36-45", Table1[[#This Row],[Age]]&gt;45, "45+")</f>
        <v>45+</v>
      </c>
    </row>
    <row r="648" spans="1:21" x14ac:dyDescent="0.3">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c r="T648">
        <f>IF(Table1[[#This Row],[Discount_Applied]]="Yes", 1,0)</f>
        <v>1</v>
      </c>
      <c r="U648" t="str">
        <f>_xlfn.IFS(Table1[[#This Row],[Age]]&lt;=25, "Below 25", Table1[[#This Row],[Age]]&lt;=35, "Between 25-35", Table1[[#This Row],[Age]]&lt;=45, "Between 36-45", Table1[[#This Row],[Age]]&gt;45, "45+")</f>
        <v>45+</v>
      </c>
    </row>
    <row r="649" spans="1:21" x14ac:dyDescent="0.3">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c r="T649">
        <f>IF(Table1[[#This Row],[Discount_Applied]]="Yes", 1,0)</f>
        <v>1</v>
      </c>
      <c r="U649" t="str">
        <f>_xlfn.IFS(Table1[[#This Row],[Age]]&lt;=25, "Below 25", Table1[[#This Row],[Age]]&lt;=35, "Between 25-35", Table1[[#This Row],[Age]]&lt;=45, "Between 36-45", Table1[[#This Row],[Age]]&gt;45, "45+")</f>
        <v>45+</v>
      </c>
    </row>
    <row r="650" spans="1:21" x14ac:dyDescent="0.3">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c r="T650">
        <f>IF(Table1[[#This Row],[Discount_Applied]]="Yes", 1,0)</f>
        <v>1</v>
      </c>
      <c r="U650" t="str">
        <f>_xlfn.IFS(Table1[[#This Row],[Age]]&lt;=25, "Below 25", Table1[[#This Row],[Age]]&lt;=35, "Between 25-35", Table1[[#This Row],[Age]]&lt;=45, "Between 36-45", Table1[[#This Row],[Age]]&gt;45, "45+")</f>
        <v>Below 25</v>
      </c>
    </row>
    <row r="651" spans="1:21" x14ac:dyDescent="0.3">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c r="T651">
        <f>IF(Table1[[#This Row],[Discount_Applied]]="Yes", 1,0)</f>
        <v>1</v>
      </c>
      <c r="U651" t="str">
        <f>_xlfn.IFS(Table1[[#This Row],[Age]]&lt;=25, "Below 25", Table1[[#This Row],[Age]]&lt;=35, "Between 25-35", Table1[[#This Row],[Age]]&lt;=45, "Between 36-45", Table1[[#This Row],[Age]]&gt;45, "45+")</f>
        <v>45+</v>
      </c>
    </row>
    <row r="652" spans="1:21" x14ac:dyDescent="0.3">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c r="T652">
        <f>IF(Table1[[#This Row],[Discount_Applied]]="Yes", 1,0)</f>
        <v>1</v>
      </c>
      <c r="U652" t="str">
        <f>_xlfn.IFS(Table1[[#This Row],[Age]]&lt;=25, "Below 25", Table1[[#This Row],[Age]]&lt;=35, "Between 25-35", Table1[[#This Row],[Age]]&lt;=45, "Between 36-45", Table1[[#This Row],[Age]]&gt;45, "45+")</f>
        <v>Between 25-35</v>
      </c>
    </row>
    <row r="653" spans="1:21" x14ac:dyDescent="0.3">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c r="T653">
        <f>IF(Table1[[#This Row],[Discount_Applied]]="Yes", 1,0)</f>
        <v>1</v>
      </c>
      <c r="U653" t="str">
        <f>_xlfn.IFS(Table1[[#This Row],[Age]]&lt;=25, "Below 25", Table1[[#This Row],[Age]]&lt;=35, "Between 25-35", Table1[[#This Row],[Age]]&lt;=45, "Between 36-45", Table1[[#This Row],[Age]]&gt;45, "45+")</f>
        <v>Between 25-35</v>
      </c>
    </row>
    <row r="654" spans="1:21" x14ac:dyDescent="0.3">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c r="T654">
        <f>IF(Table1[[#This Row],[Discount_Applied]]="Yes", 1,0)</f>
        <v>1</v>
      </c>
      <c r="U654" t="str">
        <f>_xlfn.IFS(Table1[[#This Row],[Age]]&lt;=25, "Below 25", Table1[[#This Row],[Age]]&lt;=35, "Between 25-35", Table1[[#This Row],[Age]]&lt;=45, "Between 36-45", Table1[[#This Row],[Age]]&gt;45, "45+")</f>
        <v>45+</v>
      </c>
    </row>
    <row r="655" spans="1:21" x14ac:dyDescent="0.3">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c r="T655">
        <f>IF(Table1[[#This Row],[Discount_Applied]]="Yes", 1,0)</f>
        <v>1</v>
      </c>
      <c r="U655" t="str">
        <f>_xlfn.IFS(Table1[[#This Row],[Age]]&lt;=25, "Below 25", Table1[[#This Row],[Age]]&lt;=35, "Between 25-35", Table1[[#This Row],[Age]]&lt;=45, "Between 36-45", Table1[[#This Row],[Age]]&gt;45, "45+")</f>
        <v>Below 25</v>
      </c>
    </row>
    <row r="656" spans="1:21" x14ac:dyDescent="0.3">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c r="T656">
        <f>IF(Table1[[#This Row],[Discount_Applied]]="Yes", 1,0)</f>
        <v>1</v>
      </c>
      <c r="U656" t="str">
        <f>_xlfn.IFS(Table1[[#This Row],[Age]]&lt;=25, "Below 25", Table1[[#This Row],[Age]]&lt;=35, "Between 25-35", Table1[[#This Row],[Age]]&lt;=45, "Between 36-45", Table1[[#This Row],[Age]]&gt;45, "45+")</f>
        <v>Below 25</v>
      </c>
    </row>
    <row r="657" spans="1:21" x14ac:dyDescent="0.3">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c r="T657">
        <f>IF(Table1[[#This Row],[Discount_Applied]]="Yes", 1,0)</f>
        <v>1</v>
      </c>
      <c r="U657" t="str">
        <f>_xlfn.IFS(Table1[[#This Row],[Age]]&lt;=25, "Below 25", Table1[[#This Row],[Age]]&lt;=35, "Between 25-35", Table1[[#This Row],[Age]]&lt;=45, "Between 36-45", Table1[[#This Row],[Age]]&gt;45, "45+")</f>
        <v>Below 25</v>
      </c>
    </row>
    <row r="658" spans="1:21" x14ac:dyDescent="0.3">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c r="T658">
        <f>IF(Table1[[#This Row],[Discount_Applied]]="Yes", 1,0)</f>
        <v>1</v>
      </c>
      <c r="U658" t="str">
        <f>_xlfn.IFS(Table1[[#This Row],[Age]]&lt;=25, "Below 25", Table1[[#This Row],[Age]]&lt;=35, "Between 25-35", Table1[[#This Row],[Age]]&lt;=45, "Between 36-45", Table1[[#This Row],[Age]]&gt;45, "45+")</f>
        <v>Between 36-45</v>
      </c>
    </row>
    <row r="659" spans="1:21" x14ac:dyDescent="0.3">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c r="T659">
        <f>IF(Table1[[#This Row],[Discount_Applied]]="Yes", 1,0)</f>
        <v>1</v>
      </c>
      <c r="U659" t="str">
        <f>_xlfn.IFS(Table1[[#This Row],[Age]]&lt;=25, "Below 25", Table1[[#This Row],[Age]]&lt;=35, "Between 25-35", Table1[[#This Row],[Age]]&lt;=45, "Between 36-45", Table1[[#This Row],[Age]]&gt;45, "45+")</f>
        <v>45+</v>
      </c>
    </row>
    <row r="660" spans="1:21" x14ac:dyDescent="0.3">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c r="T660">
        <f>IF(Table1[[#This Row],[Discount_Applied]]="Yes", 1,0)</f>
        <v>1</v>
      </c>
      <c r="U660" t="str">
        <f>_xlfn.IFS(Table1[[#This Row],[Age]]&lt;=25, "Below 25", Table1[[#This Row],[Age]]&lt;=35, "Between 25-35", Table1[[#This Row],[Age]]&lt;=45, "Between 36-45", Table1[[#This Row],[Age]]&gt;45, "45+")</f>
        <v>45+</v>
      </c>
    </row>
    <row r="661" spans="1:21" x14ac:dyDescent="0.3">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c r="T661">
        <f>IF(Table1[[#This Row],[Discount_Applied]]="Yes", 1,0)</f>
        <v>1</v>
      </c>
      <c r="U661" t="str">
        <f>_xlfn.IFS(Table1[[#This Row],[Age]]&lt;=25, "Below 25", Table1[[#This Row],[Age]]&lt;=35, "Between 25-35", Table1[[#This Row],[Age]]&lt;=45, "Between 36-45", Table1[[#This Row],[Age]]&gt;45, "45+")</f>
        <v>45+</v>
      </c>
    </row>
    <row r="662" spans="1:21" x14ac:dyDescent="0.3">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c r="T662">
        <f>IF(Table1[[#This Row],[Discount_Applied]]="Yes", 1,0)</f>
        <v>1</v>
      </c>
      <c r="U662" t="str">
        <f>_xlfn.IFS(Table1[[#This Row],[Age]]&lt;=25, "Below 25", Table1[[#This Row],[Age]]&lt;=35, "Between 25-35", Table1[[#This Row],[Age]]&lt;=45, "Between 36-45", Table1[[#This Row],[Age]]&gt;45, "45+")</f>
        <v>45+</v>
      </c>
    </row>
    <row r="663" spans="1:21" x14ac:dyDescent="0.3">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c r="T663">
        <f>IF(Table1[[#This Row],[Discount_Applied]]="Yes", 1,0)</f>
        <v>1</v>
      </c>
      <c r="U663" t="str">
        <f>_xlfn.IFS(Table1[[#This Row],[Age]]&lt;=25, "Below 25", Table1[[#This Row],[Age]]&lt;=35, "Between 25-35", Table1[[#This Row],[Age]]&lt;=45, "Between 36-45", Table1[[#This Row],[Age]]&gt;45, "45+")</f>
        <v>45+</v>
      </c>
    </row>
    <row r="664" spans="1:21" x14ac:dyDescent="0.3">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c r="T664">
        <f>IF(Table1[[#This Row],[Discount_Applied]]="Yes", 1,0)</f>
        <v>1</v>
      </c>
      <c r="U664" t="str">
        <f>_xlfn.IFS(Table1[[#This Row],[Age]]&lt;=25, "Below 25", Table1[[#This Row],[Age]]&lt;=35, "Between 25-35", Table1[[#This Row],[Age]]&lt;=45, "Between 36-45", Table1[[#This Row],[Age]]&gt;45, "45+")</f>
        <v>Below 25</v>
      </c>
    </row>
    <row r="665" spans="1:21" x14ac:dyDescent="0.3">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c r="T665">
        <f>IF(Table1[[#This Row],[Discount_Applied]]="Yes", 1,0)</f>
        <v>1</v>
      </c>
      <c r="U665" t="str">
        <f>_xlfn.IFS(Table1[[#This Row],[Age]]&lt;=25, "Below 25", Table1[[#This Row],[Age]]&lt;=35, "Between 25-35", Table1[[#This Row],[Age]]&lt;=45, "Between 36-45", Table1[[#This Row],[Age]]&gt;45, "45+")</f>
        <v>45+</v>
      </c>
    </row>
    <row r="666" spans="1:21" x14ac:dyDescent="0.3">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c r="T666">
        <f>IF(Table1[[#This Row],[Discount_Applied]]="Yes", 1,0)</f>
        <v>1</v>
      </c>
      <c r="U666" t="str">
        <f>_xlfn.IFS(Table1[[#This Row],[Age]]&lt;=25, "Below 25", Table1[[#This Row],[Age]]&lt;=35, "Between 25-35", Table1[[#This Row],[Age]]&lt;=45, "Between 36-45", Table1[[#This Row],[Age]]&gt;45, "45+")</f>
        <v>45+</v>
      </c>
    </row>
    <row r="667" spans="1:21" x14ac:dyDescent="0.3">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c r="T667">
        <f>IF(Table1[[#This Row],[Discount_Applied]]="Yes", 1,0)</f>
        <v>1</v>
      </c>
      <c r="U667" t="str">
        <f>_xlfn.IFS(Table1[[#This Row],[Age]]&lt;=25, "Below 25", Table1[[#This Row],[Age]]&lt;=35, "Between 25-35", Table1[[#This Row],[Age]]&lt;=45, "Between 36-45", Table1[[#This Row],[Age]]&gt;45, "45+")</f>
        <v>Between 36-45</v>
      </c>
    </row>
    <row r="668" spans="1:21" x14ac:dyDescent="0.3">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c r="T668">
        <f>IF(Table1[[#This Row],[Discount_Applied]]="Yes", 1,0)</f>
        <v>1</v>
      </c>
      <c r="U668" t="str">
        <f>_xlfn.IFS(Table1[[#This Row],[Age]]&lt;=25, "Below 25", Table1[[#This Row],[Age]]&lt;=35, "Between 25-35", Table1[[#This Row],[Age]]&lt;=45, "Between 36-45", Table1[[#This Row],[Age]]&gt;45, "45+")</f>
        <v>Between 25-35</v>
      </c>
    </row>
    <row r="669" spans="1:21" x14ac:dyDescent="0.3">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c r="T669">
        <f>IF(Table1[[#This Row],[Discount_Applied]]="Yes", 1,0)</f>
        <v>1</v>
      </c>
      <c r="U669" t="str">
        <f>_xlfn.IFS(Table1[[#This Row],[Age]]&lt;=25, "Below 25", Table1[[#This Row],[Age]]&lt;=35, "Between 25-35", Table1[[#This Row],[Age]]&lt;=45, "Between 36-45", Table1[[#This Row],[Age]]&gt;45, "45+")</f>
        <v>Between 25-35</v>
      </c>
    </row>
    <row r="670" spans="1:21" x14ac:dyDescent="0.3">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c r="T670">
        <f>IF(Table1[[#This Row],[Discount_Applied]]="Yes", 1,0)</f>
        <v>1</v>
      </c>
      <c r="U670" t="str">
        <f>_xlfn.IFS(Table1[[#This Row],[Age]]&lt;=25, "Below 25", Table1[[#This Row],[Age]]&lt;=35, "Between 25-35", Table1[[#This Row],[Age]]&lt;=45, "Between 36-45", Table1[[#This Row],[Age]]&gt;45, "45+")</f>
        <v>45+</v>
      </c>
    </row>
    <row r="671" spans="1:21" x14ac:dyDescent="0.3">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c r="T671">
        <f>IF(Table1[[#This Row],[Discount_Applied]]="Yes", 1,0)</f>
        <v>1</v>
      </c>
      <c r="U671" t="str">
        <f>_xlfn.IFS(Table1[[#This Row],[Age]]&lt;=25, "Below 25", Table1[[#This Row],[Age]]&lt;=35, "Between 25-35", Table1[[#This Row],[Age]]&lt;=45, "Between 36-45", Table1[[#This Row],[Age]]&gt;45, "45+")</f>
        <v>Between 36-45</v>
      </c>
    </row>
    <row r="672" spans="1:21" x14ac:dyDescent="0.3">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c r="T672">
        <f>IF(Table1[[#This Row],[Discount_Applied]]="Yes", 1,0)</f>
        <v>1</v>
      </c>
      <c r="U672" t="str">
        <f>_xlfn.IFS(Table1[[#This Row],[Age]]&lt;=25, "Below 25", Table1[[#This Row],[Age]]&lt;=35, "Between 25-35", Table1[[#This Row],[Age]]&lt;=45, "Between 36-45", Table1[[#This Row],[Age]]&gt;45, "45+")</f>
        <v>45+</v>
      </c>
    </row>
    <row r="673" spans="1:21" x14ac:dyDescent="0.3">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c r="T673">
        <f>IF(Table1[[#This Row],[Discount_Applied]]="Yes", 1,0)</f>
        <v>1</v>
      </c>
      <c r="U673" t="str">
        <f>_xlfn.IFS(Table1[[#This Row],[Age]]&lt;=25, "Below 25", Table1[[#This Row],[Age]]&lt;=35, "Between 25-35", Table1[[#This Row],[Age]]&lt;=45, "Between 36-45", Table1[[#This Row],[Age]]&gt;45, "45+")</f>
        <v>Between 36-45</v>
      </c>
    </row>
    <row r="674" spans="1:21" x14ac:dyDescent="0.3">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c r="T674">
        <f>IF(Table1[[#This Row],[Discount_Applied]]="Yes", 1,0)</f>
        <v>1</v>
      </c>
      <c r="U674" t="str">
        <f>_xlfn.IFS(Table1[[#This Row],[Age]]&lt;=25, "Below 25", Table1[[#This Row],[Age]]&lt;=35, "Between 25-35", Table1[[#This Row],[Age]]&lt;=45, "Between 36-45", Table1[[#This Row],[Age]]&gt;45, "45+")</f>
        <v>45+</v>
      </c>
    </row>
    <row r="675" spans="1:21" x14ac:dyDescent="0.3">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c r="T675">
        <f>IF(Table1[[#This Row],[Discount_Applied]]="Yes", 1,0)</f>
        <v>1</v>
      </c>
      <c r="U675" t="str">
        <f>_xlfn.IFS(Table1[[#This Row],[Age]]&lt;=25, "Below 25", Table1[[#This Row],[Age]]&lt;=35, "Between 25-35", Table1[[#This Row],[Age]]&lt;=45, "Between 36-45", Table1[[#This Row],[Age]]&gt;45, "45+")</f>
        <v>Between 25-35</v>
      </c>
    </row>
    <row r="676" spans="1:21" x14ac:dyDescent="0.3">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c r="T676">
        <f>IF(Table1[[#This Row],[Discount_Applied]]="Yes", 1,0)</f>
        <v>1</v>
      </c>
      <c r="U676" t="str">
        <f>_xlfn.IFS(Table1[[#This Row],[Age]]&lt;=25, "Below 25", Table1[[#This Row],[Age]]&lt;=35, "Between 25-35", Table1[[#This Row],[Age]]&lt;=45, "Between 36-45", Table1[[#This Row],[Age]]&gt;45, "45+")</f>
        <v>45+</v>
      </c>
    </row>
    <row r="677" spans="1:21" x14ac:dyDescent="0.3">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c r="T677">
        <f>IF(Table1[[#This Row],[Discount_Applied]]="Yes", 1,0)</f>
        <v>1</v>
      </c>
      <c r="U677" t="str">
        <f>_xlfn.IFS(Table1[[#This Row],[Age]]&lt;=25, "Below 25", Table1[[#This Row],[Age]]&lt;=35, "Between 25-35", Table1[[#This Row],[Age]]&lt;=45, "Between 36-45", Table1[[#This Row],[Age]]&gt;45, "45+")</f>
        <v>45+</v>
      </c>
    </row>
    <row r="678" spans="1:21" x14ac:dyDescent="0.3">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c r="T678">
        <f>IF(Table1[[#This Row],[Discount_Applied]]="Yes", 1,0)</f>
        <v>1</v>
      </c>
      <c r="U678" t="str">
        <f>_xlfn.IFS(Table1[[#This Row],[Age]]&lt;=25, "Below 25", Table1[[#This Row],[Age]]&lt;=35, "Between 25-35", Table1[[#This Row],[Age]]&lt;=45, "Between 36-45", Table1[[#This Row],[Age]]&gt;45, "45+")</f>
        <v>Between 25-35</v>
      </c>
    </row>
    <row r="679" spans="1:21" x14ac:dyDescent="0.3">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c r="T679">
        <f>IF(Table1[[#This Row],[Discount_Applied]]="Yes", 1,0)</f>
        <v>1</v>
      </c>
      <c r="U679" t="str">
        <f>_xlfn.IFS(Table1[[#This Row],[Age]]&lt;=25, "Below 25", Table1[[#This Row],[Age]]&lt;=35, "Between 25-35", Table1[[#This Row],[Age]]&lt;=45, "Between 36-45", Table1[[#This Row],[Age]]&gt;45, "45+")</f>
        <v>45+</v>
      </c>
    </row>
    <row r="680" spans="1:21" x14ac:dyDescent="0.3">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c r="T680">
        <f>IF(Table1[[#This Row],[Discount_Applied]]="Yes", 1,0)</f>
        <v>1</v>
      </c>
      <c r="U680" t="str">
        <f>_xlfn.IFS(Table1[[#This Row],[Age]]&lt;=25, "Below 25", Table1[[#This Row],[Age]]&lt;=35, "Between 25-35", Table1[[#This Row],[Age]]&lt;=45, "Between 36-45", Table1[[#This Row],[Age]]&gt;45, "45+")</f>
        <v>Between 25-35</v>
      </c>
    </row>
    <row r="681" spans="1:21" x14ac:dyDescent="0.3">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c r="T681">
        <f>IF(Table1[[#This Row],[Discount_Applied]]="Yes", 1,0)</f>
        <v>1</v>
      </c>
      <c r="U681" t="str">
        <f>_xlfn.IFS(Table1[[#This Row],[Age]]&lt;=25, "Below 25", Table1[[#This Row],[Age]]&lt;=35, "Between 25-35", Table1[[#This Row],[Age]]&lt;=45, "Between 36-45", Table1[[#This Row],[Age]]&gt;45, "45+")</f>
        <v>45+</v>
      </c>
    </row>
    <row r="682" spans="1:21" x14ac:dyDescent="0.3">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c r="T682">
        <f>IF(Table1[[#This Row],[Discount_Applied]]="Yes", 1,0)</f>
        <v>1</v>
      </c>
      <c r="U682" t="str">
        <f>_xlfn.IFS(Table1[[#This Row],[Age]]&lt;=25, "Below 25", Table1[[#This Row],[Age]]&lt;=35, "Between 25-35", Table1[[#This Row],[Age]]&lt;=45, "Between 36-45", Table1[[#This Row],[Age]]&gt;45, "45+")</f>
        <v>45+</v>
      </c>
    </row>
    <row r="683" spans="1:21" x14ac:dyDescent="0.3">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c r="T683">
        <f>IF(Table1[[#This Row],[Discount_Applied]]="Yes", 1,0)</f>
        <v>1</v>
      </c>
      <c r="U683" t="str">
        <f>_xlfn.IFS(Table1[[#This Row],[Age]]&lt;=25, "Below 25", Table1[[#This Row],[Age]]&lt;=35, "Between 25-35", Table1[[#This Row],[Age]]&lt;=45, "Between 36-45", Table1[[#This Row],[Age]]&gt;45, "45+")</f>
        <v>Between 25-35</v>
      </c>
    </row>
    <row r="684" spans="1:21" x14ac:dyDescent="0.3">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c r="T684">
        <f>IF(Table1[[#This Row],[Discount_Applied]]="Yes", 1,0)</f>
        <v>1</v>
      </c>
      <c r="U684" t="str">
        <f>_xlfn.IFS(Table1[[#This Row],[Age]]&lt;=25, "Below 25", Table1[[#This Row],[Age]]&lt;=35, "Between 25-35", Table1[[#This Row],[Age]]&lt;=45, "Between 36-45", Table1[[#This Row],[Age]]&gt;45, "45+")</f>
        <v>Below 25</v>
      </c>
    </row>
    <row r="685" spans="1:21" x14ac:dyDescent="0.3">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c r="T685">
        <f>IF(Table1[[#This Row],[Discount_Applied]]="Yes", 1,0)</f>
        <v>1</v>
      </c>
      <c r="U685" t="str">
        <f>_xlfn.IFS(Table1[[#This Row],[Age]]&lt;=25, "Below 25", Table1[[#This Row],[Age]]&lt;=35, "Between 25-35", Table1[[#This Row],[Age]]&lt;=45, "Between 36-45", Table1[[#This Row],[Age]]&gt;45, "45+")</f>
        <v>Between 25-35</v>
      </c>
    </row>
    <row r="686" spans="1:21" x14ac:dyDescent="0.3">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c r="T686">
        <f>IF(Table1[[#This Row],[Discount_Applied]]="Yes", 1,0)</f>
        <v>1</v>
      </c>
      <c r="U686" t="str">
        <f>_xlfn.IFS(Table1[[#This Row],[Age]]&lt;=25, "Below 25", Table1[[#This Row],[Age]]&lt;=35, "Between 25-35", Table1[[#This Row],[Age]]&lt;=45, "Between 36-45", Table1[[#This Row],[Age]]&gt;45, "45+")</f>
        <v>45+</v>
      </c>
    </row>
    <row r="687" spans="1:21" x14ac:dyDescent="0.3">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c r="T687">
        <f>IF(Table1[[#This Row],[Discount_Applied]]="Yes", 1,0)</f>
        <v>1</v>
      </c>
      <c r="U687" t="str">
        <f>_xlfn.IFS(Table1[[#This Row],[Age]]&lt;=25, "Below 25", Table1[[#This Row],[Age]]&lt;=35, "Between 25-35", Table1[[#This Row],[Age]]&lt;=45, "Between 36-45", Table1[[#This Row],[Age]]&gt;45, "45+")</f>
        <v>45+</v>
      </c>
    </row>
    <row r="688" spans="1:21" x14ac:dyDescent="0.3">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c r="T688">
        <f>IF(Table1[[#This Row],[Discount_Applied]]="Yes", 1,0)</f>
        <v>1</v>
      </c>
      <c r="U688" t="str">
        <f>_xlfn.IFS(Table1[[#This Row],[Age]]&lt;=25, "Below 25", Table1[[#This Row],[Age]]&lt;=35, "Between 25-35", Table1[[#This Row],[Age]]&lt;=45, "Between 36-45", Table1[[#This Row],[Age]]&gt;45, "45+")</f>
        <v>45+</v>
      </c>
    </row>
    <row r="689" spans="1:21" x14ac:dyDescent="0.3">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c r="T689">
        <f>IF(Table1[[#This Row],[Discount_Applied]]="Yes", 1,0)</f>
        <v>1</v>
      </c>
      <c r="U689" t="str">
        <f>_xlfn.IFS(Table1[[#This Row],[Age]]&lt;=25, "Below 25", Table1[[#This Row],[Age]]&lt;=35, "Between 25-35", Table1[[#This Row],[Age]]&lt;=45, "Between 36-45", Table1[[#This Row],[Age]]&gt;45, "45+")</f>
        <v>Below 25</v>
      </c>
    </row>
    <row r="690" spans="1:21" x14ac:dyDescent="0.3">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c r="T690">
        <f>IF(Table1[[#This Row],[Discount_Applied]]="Yes", 1,0)</f>
        <v>1</v>
      </c>
      <c r="U690" t="str">
        <f>_xlfn.IFS(Table1[[#This Row],[Age]]&lt;=25, "Below 25", Table1[[#This Row],[Age]]&lt;=35, "Between 25-35", Table1[[#This Row],[Age]]&lt;=45, "Between 36-45", Table1[[#This Row],[Age]]&gt;45, "45+")</f>
        <v>Below 25</v>
      </c>
    </row>
    <row r="691" spans="1:21" x14ac:dyDescent="0.3">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c r="T691">
        <f>IF(Table1[[#This Row],[Discount_Applied]]="Yes", 1,0)</f>
        <v>1</v>
      </c>
      <c r="U691" t="str">
        <f>_xlfn.IFS(Table1[[#This Row],[Age]]&lt;=25, "Below 25", Table1[[#This Row],[Age]]&lt;=35, "Between 25-35", Table1[[#This Row],[Age]]&lt;=45, "Between 36-45", Table1[[#This Row],[Age]]&gt;45, "45+")</f>
        <v>Below 25</v>
      </c>
    </row>
    <row r="692" spans="1:21" x14ac:dyDescent="0.3">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c r="T692">
        <f>IF(Table1[[#This Row],[Discount_Applied]]="Yes", 1,0)</f>
        <v>1</v>
      </c>
      <c r="U692" t="str">
        <f>_xlfn.IFS(Table1[[#This Row],[Age]]&lt;=25, "Below 25", Table1[[#This Row],[Age]]&lt;=35, "Between 25-35", Table1[[#This Row],[Age]]&lt;=45, "Between 36-45", Table1[[#This Row],[Age]]&gt;45, "45+")</f>
        <v>Below 25</v>
      </c>
    </row>
    <row r="693" spans="1:21" x14ac:dyDescent="0.3">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c r="T693">
        <f>IF(Table1[[#This Row],[Discount_Applied]]="Yes", 1,0)</f>
        <v>1</v>
      </c>
      <c r="U693" t="str">
        <f>_xlfn.IFS(Table1[[#This Row],[Age]]&lt;=25, "Below 25", Table1[[#This Row],[Age]]&lt;=35, "Between 25-35", Table1[[#This Row],[Age]]&lt;=45, "Between 36-45", Table1[[#This Row],[Age]]&gt;45, "45+")</f>
        <v>45+</v>
      </c>
    </row>
    <row r="694" spans="1:21" x14ac:dyDescent="0.3">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c r="T694">
        <f>IF(Table1[[#This Row],[Discount_Applied]]="Yes", 1,0)</f>
        <v>1</v>
      </c>
      <c r="U694" t="str">
        <f>_xlfn.IFS(Table1[[#This Row],[Age]]&lt;=25, "Below 25", Table1[[#This Row],[Age]]&lt;=35, "Between 25-35", Table1[[#This Row],[Age]]&lt;=45, "Between 36-45", Table1[[#This Row],[Age]]&gt;45, "45+")</f>
        <v>Between 25-35</v>
      </c>
    </row>
    <row r="695" spans="1:21" x14ac:dyDescent="0.3">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c r="T695">
        <f>IF(Table1[[#This Row],[Discount_Applied]]="Yes", 1,0)</f>
        <v>1</v>
      </c>
      <c r="U695" t="str">
        <f>_xlfn.IFS(Table1[[#This Row],[Age]]&lt;=25, "Below 25", Table1[[#This Row],[Age]]&lt;=35, "Between 25-35", Table1[[#This Row],[Age]]&lt;=45, "Between 36-45", Table1[[#This Row],[Age]]&gt;45, "45+")</f>
        <v>45+</v>
      </c>
    </row>
    <row r="696" spans="1:21" x14ac:dyDescent="0.3">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c r="T696">
        <f>IF(Table1[[#This Row],[Discount_Applied]]="Yes", 1,0)</f>
        <v>1</v>
      </c>
      <c r="U696" t="str">
        <f>_xlfn.IFS(Table1[[#This Row],[Age]]&lt;=25, "Below 25", Table1[[#This Row],[Age]]&lt;=35, "Between 25-35", Table1[[#This Row],[Age]]&lt;=45, "Between 36-45", Table1[[#This Row],[Age]]&gt;45, "45+")</f>
        <v>Between 36-45</v>
      </c>
    </row>
    <row r="697" spans="1:21" x14ac:dyDescent="0.3">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c r="T697">
        <f>IF(Table1[[#This Row],[Discount_Applied]]="Yes", 1,0)</f>
        <v>1</v>
      </c>
      <c r="U697" t="str">
        <f>_xlfn.IFS(Table1[[#This Row],[Age]]&lt;=25, "Below 25", Table1[[#This Row],[Age]]&lt;=35, "Between 25-35", Table1[[#This Row],[Age]]&lt;=45, "Between 36-45", Table1[[#This Row],[Age]]&gt;45, "45+")</f>
        <v>Between 25-35</v>
      </c>
    </row>
    <row r="698" spans="1:21" x14ac:dyDescent="0.3">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c r="T698">
        <f>IF(Table1[[#This Row],[Discount_Applied]]="Yes", 1,0)</f>
        <v>1</v>
      </c>
      <c r="U698" t="str">
        <f>_xlfn.IFS(Table1[[#This Row],[Age]]&lt;=25, "Below 25", Table1[[#This Row],[Age]]&lt;=35, "Between 25-35", Table1[[#This Row],[Age]]&lt;=45, "Between 36-45", Table1[[#This Row],[Age]]&gt;45, "45+")</f>
        <v>Between 36-45</v>
      </c>
    </row>
    <row r="699" spans="1:21" x14ac:dyDescent="0.3">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c r="T699">
        <f>IF(Table1[[#This Row],[Discount_Applied]]="Yes", 1,0)</f>
        <v>1</v>
      </c>
      <c r="U699" t="str">
        <f>_xlfn.IFS(Table1[[#This Row],[Age]]&lt;=25, "Below 25", Table1[[#This Row],[Age]]&lt;=35, "Between 25-35", Table1[[#This Row],[Age]]&lt;=45, "Between 36-45", Table1[[#This Row],[Age]]&gt;45, "45+")</f>
        <v>45+</v>
      </c>
    </row>
    <row r="700" spans="1:21" x14ac:dyDescent="0.3">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c r="T700">
        <f>IF(Table1[[#This Row],[Discount_Applied]]="Yes", 1,0)</f>
        <v>1</v>
      </c>
      <c r="U700" t="str">
        <f>_xlfn.IFS(Table1[[#This Row],[Age]]&lt;=25, "Below 25", Table1[[#This Row],[Age]]&lt;=35, "Between 25-35", Table1[[#This Row],[Age]]&lt;=45, "Between 36-45", Table1[[#This Row],[Age]]&gt;45, "45+")</f>
        <v>45+</v>
      </c>
    </row>
    <row r="701" spans="1:21" x14ac:dyDescent="0.3">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c r="T701">
        <f>IF(Table1[[#This Row],[Discount_Applied]]="Yes", 1,0)</f>
        <v>1</v>
      </c>
      <c r="U701" t="str">
        <f>_xlfn.IFS(Table1[[#This Row],[Age]]&lt;=25, "Below 25", Table1[[#This Row],[Age]]&lt;=35, "Between 25-35", Table1[[#This Row],[Age]]&lt;=45, "Between 36-45", Table1[[#This Row],[Age]]&gt;45, "45+")</f>
        <v>45+</v>
      </c>
    </row>
    <row r="702" spans="1:21" x14ac:dyDescent="0.3">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c r="T702">
        <f>IF(Table1[[#This Row],[Discount_Applied]]="Yes", 1,0)</f>
        <v>1</v>
      </c>
      <c r="U702" t="str">
        <f>_xlfn.IFS(Table1[[#This Row],[Age]]&lt;=25, "Below 25", Table1[[#This Row],[Age]]&lt;=35, "Between 25-35", Table1[[#This Row],[Age]]&lt;=45, "Between 36-45", Table1[[#This Row],[Age]]&gt;45, "45+")</f>
        <v>45+</v>
      </c>
    </row>
    <row r="703" spans="1:21" x14ac:dyDescent="0.3">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c r="T703">
        <f>IF(Table1[[#This Row],[Discount_Applied]]="Yes", 1,0)</f>
        <v>1</v>
      </c>
      <c r="U703" t="str">
        <f>_xlfn.IFS(Table1[[#This Row],[Age]]&lt;=25, "Below 25", Table1[[#This Row],[Age]]&lt;=35, "Between 25-35", Table1[[#This Row],[Age]]&lt;=45, "Between 36-45", Table1[[#This Row],[Age]]&gt;45, "45+")</f>
        <v>45+</v>
      </c>
    </row>
    <row r="704" spans="1:21" x14ac:dyDescent="0.3">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c r="T704">
        <f>IF(Table1[[#This Row],[Discount_Applied]]="Yes", 1,0)</f>
        <v>1</v>
      </c>
      <c r="U704" t="str">
        <f>_xlfn.IFS(Table1[[#This Row],[Age]]&lt;=25, "Below 25", Table1[[#This Row],[Age]]&lt;=35, "Between 25-35", Table1[[#This Row],[Age]]&lt;=45, "Between 36-45", Table1[[#This Row],[Age]]&gt;45, "45+")</f>
        <v>Below 25</v>
      </c>
    </row>
    <row r="705" spans="1:21" x14ac:dyDescent="0.3">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c r="T705">
        <f>IF(Table1[[#This Row],[Discount_Applied]]="Yes", 1,0)</f>
        <v>1</v>
      </c>
      <c r="U705" t="str">
        <f>_xlfn.IFS(Table1[[#This Row],[Age]]&lt;=25, "Below 25", Table1[[#This Row],[Age]]&lt;=35, "Between 25-35", Table1[[#This Row],[Age]]&lt;=45, "Between 36-45", Table1[[#This Row],[Age]]&gt;45, "45+")</f>
        <v>45+</v>
      </c>
    </row>
    <row r="706" spans="1:21" x14ac:dyDescent="0.3">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c r="T706">
        <f>IF(Table1[[#This Row],[Discount_Applied]]="Yes", 1,0)</f>
        <v>1</v>
      </c>
      <c r="U706" t="str">
        <f>_xlfn.IFS(Table1[[#This Row],[Age]]&lt;=25, "Below 25", Table1[[#This Row],[Age]]&lt;=35, "Between 25-35", Table1[[#This Row],[Age]]&lt;=45, "Between 36-45", Table1[[#This Row],[Age]]&gt;45, "45+")</f>
        <v>Between 25-35</v>
      </c>
    </row>
    <row r="707" spans="1:21" x14ac:dyDescent="0.3">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c r="T707">
        <f>IF(Table1[[#This Row],[Discount_Applied]]="Yes", 1,0)</f>
        <v>1</v>
      </c>
      <c r="U707" t="str">
        <f>_xlfn.IFS(Table1[[#This Row],[Age]]&lt;=25, "Below 25", Table1[[#This Row],[Age]]&lt;=35, "Between 25-35", Table1[[#This Row],[Age]]&lt;=45, "Between 36-45", Table1[[#This Row],[Age]]&gt;45, "45+")</f>
        <v>Below 25</v>
      </c>
    </row>
    <row r="708" spans="1:21" x14ac:dyDescent="0.3">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c r="T708">
        <f>IF(Table1[[#This Row],[Discount_Applied]]="Yes", 1,0)</f>
        <v>1</v>
      </c>
      <c r="U708" t="str">
        <f>_xlfn.IFS(Table1[[#This Row],[Age]]&lt;=25, "Below 25", Table1[[#This Row],[Age]]&lt;=35, "Between 25-35", Table1[[#This Row],[Age]]&lt;=45, "Between 36-45", Table1[[#This Row],[Age]]&gt;45, "45+")</f>
        <v>45+</v>
      </c>
    </row>
    <row r="709" spans="1:21" x14ac:dyDescent="0.3">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c r="T709">
        <f>IF(Table1[[#This Row],[Discount_Applied]]="Yes", 1,0)</f>
        <v>1</v>
      </c>
      <c r="U709" t="str">
        <f>_xlfn.IFS(Table1[[#This Row],[Age]]&lt;=25, "Below 25", Table1[[#This Row],[Age]]&lt;=35, "Between 25-35", Table1[[#This Row],[Age]]&lt;=45, "Between 36-45", Table1[[#This Row],[Age]]&gt;45, "45+")</f>
        <v>45+</v>
      </c>
    </row>
    <row r="710" spans="1:21" x14ac:dyDescent="0.3">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c r="T710">
        <f>IF(Table1[[#This Row],[Discount_Applied]]="Yes", 1,0)</f>
        <v>1</v>
      </c>
      <c r="U710" t="str">
        <f>_xlfn.IFS(Table1[[#This Row],[Age]]&lt;=25, "Below 25", Table1[[#This Row],[Age]]&lt;=35, "Between 25-35", Table1[[#This Row],[Age]]&lt;=45, "Between 36-45", Table1[[#This Row],[Age]]&gt;45, "45+")</f>
        <v>Between 36-45</v>
      </c>
    </row>
    <row r="711" spans="1:21" x14ac:dyDescent="0.3">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c r="T711">
        <f>IF(Table1[[#This Row],[Discount_Applied]]="Yes", 1,0)</f>
        <v>1</v>
      </c>
      <c r="U711" t="str">
        <f>_xlfn.IFS(Table1[[#This Row],[Age]]&lt;=25, "Below 25", Table1[[#This Row],[Age]]&lt;=35, "Between 25-35", Table1[[#This Row],[Age]]&lt;=45, "Between 36-45", Table1[[#This Row],[Age]]&gt;45, "45+")</f>
        <v>45+</v>
      </c>
    </row>
    <row r="712" spans="1:21" x14ac:dyDescent="0.3">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c r="T712">
        <f>IF(Table1[[#This Row],[Discount_Applied]]="Yes", 1,0)</f>
        <v>1</v>
      </c>
      <c r="U712" t="str">
        <f>_xlfn.IFS(Table1[[#This Row],[Age]]&lt;=25, "Below 25", Table1[[#This Row],[Age]]&lt;=35, "Between 25-35", Table1[[#This Row],[Age]]&lt;=45, "Between 36-45", Table1[[#This Row],[Age]]&gt;45, "45+")</f>
        <v>Below 25</v>
      </c>
    </row>
    <row r="713" spans="1:21" x14ac:dyDescent="0.3">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c r="T713">
        <f>IF(Table1[[#This Row],[Discount_Applied]]="Yes", 1,0)</f>
        <v>1</v>
      </c>
      <c r="U713" t="str">
        <f>_xlfn.IFS(Table1[[#This Row],[Age]]&lt;=25, "Below 25", Table1[[#This Row],[Age]]&lt;=35, "Between 25-35", Table1[[#This Row],[Age]]&lt;=45, "Between 36-45", Table1[[#This Row],[Age]]&gt;45, "45+")</f>
        <v>45+</v>
      </c>
    </row>
    <row r="714" spans="1:21" x14ac:dyDescent="0.3">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c r="T714">
        <f>IF(Table1[[#This Row],[Discount_Applied]]="Yes", 1,0)</f>
        <v>1</v>
      </c>
      <c r="U714" t="str">
        <f>_xlfn.IFS(Table1[[#This Row],[Age]]&lt;=25, "Below 25", Table1[[#This Row],[Age]]&lt;=35, "Between 25-35", Table1[[#This Row],[Age]]&lt;=45, "Between 36-45", Table1[[#This Row],[Age]]&gt;45, "45+")</f>
        <v>Between 36-45</v>
      </c>
    </row>
    <row r="715" spans="1:21" x14ac:dyDescent="0.3">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c r="T715">
        <f>IF(Table1[[#This Row],[Discount_Applied]]="Yes", 1,0)</f>
        <v>1</v>
      </c>
      <c r="U715" t="str">
        <f>_xlfn.IFS(Table1[[#This Row],[Age]]&lt;=25, "Below 25", Table1[[#This Row],[Age]]&lt;=35, "Between 25-35", Table1[[#This Row],[Age]]&lt;=45, "Between 36-45", Table1[[#This Row],[Age]]&gt;45, "45+")</f>
        <v>Between 36-45</v>
      </c>
    </row>
    <row r="716" spans="1:21" x14ac:dyDescent="0.3">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c r="T716">
        <f>IF(Table1[[#This Row],[Discount_Applied]]="Yes", 1,0)</f>
        <v>1</v>
      </c>
      <c r="U716" t="str">
        <f>_xlfn.IFS(Table1[[#This Row],[Age]]&lt;=25, "Below 25", Table1[[#This Row],[Age]]&lt;=35, "Between 25-35", Table1[[#This Row],[Age]]&lt;=45, "Between 36-45", Table1[[#This Row],[Age]]&gt;45, "45+")</f>
        <v>Between 25-35</v>
      </c>
    </row>
    <row r="717" spans="1:21" x14ac:dyDescent="0.3">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c r="T717">
        <f>IF(Table1[[#This Row],[Discount_Applied]]="Yes", 1,0)</f>
        <v>1</v>
      </c>
      <c r="U717" t="str">
        <f>_xlfn.IFS(Table1[[#This Row],[Age]]&lt;=25, "Below 25", Table1[[#This Row],[Age]]&lt;=35, "Between 25-35", Table1[[#This Row],[Age]]&lt;=45, "Between 36-45", Table1[[#This Row],[Age]]&gt;45, "45+")</f>
        <v>Between 25-35</v>
      </c>
    </row>
    <row r="718" spans="1:21" x14ac:dyDescent="0.3">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c r="T718">
        <f>IF(Table1[[#This Row],[Discount_Applied]]="Yes", 1,0)</f>
        <v>1</v>
      </c>
      <c r="U718" t="str">
        <f>_xlfn.IFS(Table1[[#This Row],[Age]]&lt;=25, "Below 25", Table1[[#This Row],[Age]]&lt;=35, "Between 25-35", Table1[[#This Row],[Age]]&lt;=45, "Between 36-45", Table1[[#This Row],[Age]]&gt;45, "45+")</f>
        <v>Between 25-35</v>
      </c>
    </row>
    <row r="719" spans="1:21" x14ac:dyDescent="0.3">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c r="T719">
        <f>IF(Table1[[#This Row],[Discount_Applied]]="Yes", 1,0)</f>
        <v>1</v>
      </c>
      <c r="U719" t="str">
        <f>_xlfn.IFS(Table1[[#This Row],[Age]]&lt;=25, "Below 25", Table1[[#This Row],[Age]]&lt;=35, "Between 25-35", Table1[[#This Row],[Age]]&lt;=45, "Between 36-45", Table1[[#This Row],[Age]]&gt;45, "45+")</f>
        <v>Below 25</v>
      </c>
    </row>
    <row r="720" spans="1:21" x14ac:dyDescent="0.3">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c r="T720">
        <f>IF(Table1[[#This Row],[Discount_Applied]]="Yes", 1,0)</f>
        <v>1</v>
      </c>
      <c r="U720" t="str">
        <f>_xlfn.IFS(Table1[[#This Row],[Age]]&lt;=25, "Below 25", Table1[[#This Row],[Age]]&lt;=35, "Between 25-35", Table1[[#This Row],[Age]]&lt;=45, "Between 36-45", Table1[[#This Row],[Age]]&gt;45, "45+")</f>
        <v>Below 25</v>
      </c>
    </row>
    <row r="721" spans="1:21" x14ac:dyDescent="0.3">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c r="T721">
        <f>IF(Table1[[#This Row],[Discount_Applied]]="Yes", 1,0)</f>
        <v>1</v>
      </c>
      <c r="U721" t="str">
        <f>_xlfn.IFS(Table1[[#This Row],[Age]]&lt;=25, "Below 25", Table1[[#This Row],[Age]]&lt;=35, "Between 25-35", Table1[[#This Row],[Age]]&lt;=45, "Between 36-45", Table1[[#This Row],[Age]]&gt;45, "45+")</f>
        <v>45+</v>
      </c>
    </row>
    <row r="722" spans="1:21" x14ac:dyDescent="0.3">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c r="T722">
        <f>IF(Table1[[#This Row],[Discount_Applied]]="Yes", 1,0)</f>
        <v>1</v>
      </c>
      <c r="U722" t="str">
        <f>_xlfn.IFS(Table1[[#This Row],[Age]]&lt;=25, "Below 25", Table1[[#This Row],[Age]]&lt;=35, "Between 25-35", Table1[[#This Row],[Age]]&lt;=45, "Between 36-45", Table1[[#This Row],[Age]]&gt;45, "45+")</f>
        <v>Between 25-35</v>
      </c>
    </row>
    <row r="723" spans="1:21" x14ac:dyDescent="0.3">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c r="T723">
        <f>IF(Table1[[#This Row],[Discount_Applied]]="Yes", 1,0)</f>
        <v>1</v>
      </c>
      <c r="U723" t="str">
        <f>_xlfn.IFS(Table1[[#This Row],[Age]]&lt;=25, "Below 25", Table1[[#This Row],[Age]]&lt;=35, "Between 25-35", Table1[[#This Row],[Age]]&lt;=45, "Between 36-45", Table1[[#This Row],[Age]]&gt;45, "45+")</f>
        <v>Between 36-45</v>
      </c>
    </row>
    <row r="724" spans="1:21" x14ac:dyDescent="0.3">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c r="T724">
        <f>IF(Table1[[#This Row],[Discount_Applied]]="Yes", 1,0)</f>
        <v>1</v>
      </c>
      <c r="U724" t="str">
        <f>_xlfn.IFS(Table1[[#This Row],[Age]]&lt;=25, "Below 25", Table1[[#This Row],[Age]]&lt;=35, "Between 25-35", Table1[[#This Row],[Age]]&lt;=45, "Between 36-45", Table1[[#This Row],[Age]]&gt;45, "45+")</f>
        <v>Between 25-35</v>
      </c>
    </row>
    <row r="725" spans="1:21" x14ac:dyDescent="0.3">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c r="T725">
        <f>IF(Table1[[#This Row],[Discount_Applied]]="Yes", 1,0)</f>
        <v>1</v>
      </c>
      <c r="U725" t="str">
        <f>_xlfn.IFS(Table1[[#This Row],[Age]]&lt;=25, "Below 25", Table1[[#This Row],[Age]]&lt;=35, "Between 25-35", Table1[[#This Row],[Age]]&lt;=45, "Between 36-45", Table1[[#This Row],[Age]]&gt;45, "45+")</f>
        <v>Between 25-35</v>
      </c>
    </row>
    <row r="726" spans="1:21" x14ac:dyDescent="0.3">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c r="T726">
        <f>IF(Table1[[#This Row],[Discount_Applied]]="Yes", 1,0)</f>
        <v>1</v>
      </c>
      <c r="U726" t="str">
        <f>_xlfn.IFS(Table1[[#This Row],[Age]]&lt;=25, "Below 25", Table1[[#This Row],[Age]]&lt;=35, "Between 25-35", Table1[[#This Row],[Age]]&lt;=45, "Between 36-45", Table1[[#This Row],[Age]]&gt;45, "45+")</f>
        <v>Between 36-45</v>
      </c>
    </row>
    <row r="727" spans="1:21" x14ac:dyDescent="0.3">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c r="T727">
        <f>IF(Table1[[#This Row],[Discount_Applied]]="Yes", 1,0)</f>
        <v>1</v>
      </c>
      <c r="U727" t="str">
        <f>_xlfn.IFS(Table1[[#This Row],[Age]]&lt;=25, "Below 25", Table1[[#This Row],[Age]]&lt;=35, "Between 25-35", Table1[[#This Row],[Age]]&lt;=45, "Between 36-45", Table1[[#This Row],[Age]]&gt;45, "45+")</f>
        <v>45+</v>
      </c>
    </row>
    <row r="728" spans="1:21" x14ac:dyDescent="0.3">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c r="T728">
        <f>IF(Table1[[#This Row],[Discount_Applied]]="Yes", 1,0)</f>
        <v>1</v>
      </c>
      <c r="U728" t="str">
        <f>_xlfn.IFS(Table1[[#This Row],[Age]]&lt;=25, "Below 25", Table1[[#This Row],[Age]]&lt;=35, "Between 25-35", Table1[[#This Row],[Age]]&lt;=45, "Between 36-45", Table1[[#This Row],[Age]]&gt;45, "45+")</f>
        <v>Between 25-35</v>
      </c>
    </row>
    <row r="729" spans="1:21" x14ac:dyDescent="0.3">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c r="T729">
        <f>IF(Table1[[#This Row],[Discount_Applied]]="Yes", 1,0)</f>
        <v>1</v>
      </c>
      <c r="U729" t="str">
        <f>_xlfn.IFS(Table1[[#This Row],[Age]]&lt;=25, "Below 25", Table1[[#This Row],[Age]]&lt;=35, "Between 25-35", Table1[[#This Row],[Age]]&lt;=45, "Between 36-45", Table1[[#This Row],[Age]]&gt;45, "45+")</f>
        <v>45+</v>
      </c>
    </row>
    <row r="730" spans="1:21" x14ac:dyDescent="0.3">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c r="T730">
        <f>IF(Table1[[#This Row],[Discount_Applied]]="Yes", 1,0)</f>
        <v>1</v>
      </c>
      <c r="U730" t="str">
        <f>_xlfn.IFS(Table1[[#This Row],[Age]]&lt;=25, "Below 25", Table1[[#This Row],[Age]]&lt;=35, "Between 25-35", Table1[[#This Row],[Age]]&lt;=45, "Between 36-45", Table1[[#This Row],[Age]]&gt;45, "45+")</f>
        <v>Between 25-35</v>
      </c>
    </row>
    <row r="731" spans="1:21" x14ac:dyDescent="0.3">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c r="T731">
        <f>IF(Table1[[#This Row],[Discount_Applied]]="Yes", 1,0)</f>
        <v>1</v>
      </c>
      <c r="U731" t="str">
        <f>_xlfn.IFS(Table1[[#This Row],[Age]]&lt;=25, "Below 25", Table1[[#This Row],[Age]]&lt;=35, "Between 25-35", Table1[[#This Row],[Age]]&lt;=45, "Between 36-45", Table1[[#This Row],[Age]]&gt;45, "45+")</f>
        <v>Between 36-45</v>
      </c>
    </row>
    <row r="732" spans="1:21" x14ac:dyDescent="0.3">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c r="T732">
        <f>IF(Table1[[#This Row],[Discount_Applied]]="Yes", 1,0)</f>
        <v>1</v>
      </c>
      <c r="U732" t="str">
        <f>_xlfn.IFS(Table1[[#This Row],[Age]]&lt;=25, "Below 25", Table1[[#This Row],[Age]]&lt;=35, "Between 25-35", Table1[[#This Row],[Age]]&lt;=45, "Between 36-45", Table1[[#This Row],[Age]]&gt;45, "45+")</f>
        <v>45+</v>
      </c>
    </row>
    <row r="733" spans="1:21" x14ac:dyDescent="0.3">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c r="T733">
        <f>IF(Table1[[#This Row],[Discount_Applied]]="Yes", 1,0)</f>
        <v>1</v>
      </c>
      <c r="U733" t="str">
        <f>_xlfn.IFS(Table1[[#This Row],[Age]]&lt;=25, "Below 25", Table1[[#This Row],[Age]]&lt;=35, "Between 25-35", Table1[[#This Row],[Age]]&lt;=45, "Between 36-45", Table1[[#This Row],[Age]]&gt;45, "45+")</f>
        <v>Between 36-45</v>
      </c>
    </row>
    <row r="734" spans="1:21" x14ac:dyDescent="0.3">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c r="T734">
        <f>IF(Table1[[#This Row],[Discount_Applied]]="Yes", 1,0)</f>
        <v>1</v>
      </c>
      <c r="U734" t="str">
        <f>_xlfn.IFS(Table1[[#This Row],[Age]]&lt;=25, "Below 25", Table1[[#This Row],[Age]]&lt;=35, "Between 25-35", Table1[[#This Row],[Age]]&lt;=45, "Between 36-45", Table1[[#This Row],[Age]]&gt;45, "45+")</f>
        <v>Between 25-35</v>
      </c>
    </row>
    <row r="735" spans="1:21" x14ac:dyDescent="0.3">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c r="T735">
        <f>IF(Table1[[#This Row],[Discount_Applied]]="Yes", 1,0)</f>
        <v>1</v>
      </c>
      <c r="U735" t="str">
        <f>_xlfn.IFS(Table1[[#This Row],[Age]]&lt;=25, "Below 25", Table1[[#This Row],[Age]]&lt;=35, "Between 25-35", Table1[[#This Row],[Age]]&lt;=45, "Between 36-45", Table1[[#This Row],[Age]]&gt;45, "45+")</f>
        <v>Between 36-45</v>
      </c>
    </row>
    <row r="736" spans="1:21" x14ac:dyDescent="0.3">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c r="T736">
        <f>IF(Table1[[#This Row],[Discount_Applied]]="Yes", 1,0)</f>
        <v>1</v>
      </c>
      <c r="U736" t="str">
        <f>_xlfn.IFS(Table1[[#This Row],[Age]]&lt;=25, "Below 25", Table1[[#This Row],[Age]]&lt;=35, "Between 25-35", Table1[[#This Row],[Age]]&lt;=45, "Between 36-45", Table1[[#This Row],[Age]]&gt;45, "45+")</f>
        <v>45+</v>
      </c>
    </row>
    <row r="737" spans="1:21" x14ac:dyDescent="0.3">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c r="T737">
        <f>IF(Table1[[#This Row],[Discount_Applied]]="Yes", 1,0)</f>
        <v>1</v>
      </c>
      <c r="U737" t="str">
        <f>_xlfn.IFS(Table1[[#This Row],[Age]]&lt;=25, "Below 25", Table1[[#This Row],[Age]]&lt;=35, "Between 25-35", Table1[[#This Row],[Age]]&lt;=45, "Between 36-45", Table1[[#This Row],[Age]]&gt;45, "45+")</f>
        <v>45+</v>
      </c>
    </row>
    <row r="738" spans="1:21" x14ac:dyDescent="0.3">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c r="T738">
        <f>IF(Table1[[#This Row],[Discount_Applied]]="Yes", 1,0)</f>
        <v>1</v>
      </c>
      <c r="U738" t="str">
        <f>_xlfn.IFS(Table1[[#This Row],[Age]]&lt;=25, "Below 25", Table1[[#This Row],[Age]]&lt;=35, "Between 25-35", Table1[[#This Row],[Age]]&lt;=45, "Between 36-45", Table1[[#This Row],[Age]]&gt;45, "45+")</f>
        <v>Below 25</v>
      </c>
    </row>
    <row r="739" spans="1:21" x14ac:dyDescent="0.3">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c r="T739">
        <f>IF(Table1[[#This Row],[Discount_Applied]]="Yes", 1,0)</f>
        <v>1</v>
      </c>
      <c r="U739" t="str">
        <f>_xlfn.IFS(Table1[[#This Row],[Age]]&lt;=25, "Below 25", Table1[[#This Row],[Age]]&lt;=35, "Between 25-35", Table1[[#This Row],[Age]]&lt;=45, "Between 36-45", Table1[[#This Row],[Age]]&gt;45, "45+")</f>
        <v>45+</v>
      </c>
    </row>
    <row r="740" spans="1:21" x14ac:dyDescent="0.3">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c r="T740">
        <f>IF(Table1[[#This Row],[Discount_Applied]]="Yes", 1,0)</f>
        <v>1</v>
      </c>
      <c r="U740" t="str">
        <f>_xlfn.IFS(Table1[[#This Row],[Age]]&lt;=25, "Below 25", Table1[[#This Row],[Age]]&lt;=35, "Between 25-35", Table1[[#This Row],[Age]]&lt;=45, "Between 36-45", Table1[[#This Row],[Age]]&gt;45, "45+")</f>
        <v>45+</v>
      </c>
    </row>
    <row r="741" spans="1:21" x14ac:dyDescent="0.3">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c r="T741">
        <f>IF(Table1[[#This Row],[Discount_Applied]]="Yes", 1,0)</f>
        <v>1</v>
      </c>
      <c r="U741" t="str">
        <f>_xlfn.IFS(Table1[[#This Row],[Age]]&lt;=25, "Below 25", Table1[[#This Row],[Age]]&lt;=35, "Between 25-35", Table1[[#This Row],[Age]]&lt;=45, "Between 36-45", Table1[[#This Row],[Age]]&gt;45, "45+")</f>
        <v>45+</v>
      </c>
    </row>
    <row r="742" spans="1:21" x14ac:dyDescent="0.3">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c r="T742">
        <f>IF(Table1[[#This Row],[Discount_Applied]]="Yes", 1,0)</f>
        <v>1</v>
      </c>
      <c r="U742" t="str">
        <f>_xlfn.IFS(Table1[[#This Row],[Age]]&lt;=25, "Below 25", Table1[[#This Row],[Age]]&lt;=35, "Between 25-35", Table1[[#This Row],[Age]]&lt;=45, "Between 36-45", Table1[[#This Row],[Age]]&gt;45, "45+")</f>
        <v>Between 25-35</v>
      </c>
    </row>
    <row r="743" spans="1:21" x14ac:dyDescent="0.3">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c r="T743">
        <f>IF(Table1[[#This Row],[Discount_Applied]]="Yes", 1,0)</f>
        <v>1</v>
      </c>
      <c r="U743" t="str">
        <f>_xlfn.IFS(Table1[[#This Row],[Age]]&lt;=25, "Below 25", Table1[[#This Row],[Age]]&lt;=35, "Between 25-35", Table1[[#This Row],[Age]]&lt;=45, "Between 36-45", Table1[[#This Row],[Age]]&gt;45, "45+")</f>
        <v>Below 25</v>
      </c>
    </row>
    <row r="744" spans="1:21" x14ac:dyDescent="0.3">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c r="T744">
        <f>IF(Table1[[#This Row],[Discount_Applied]]="Yes", 1,0)</f>
        <v>1</v>
      </c>
      <c r="U744" t="str">
        <f>_xlfn.IFS(Table1[[#This Row],[Age]]&lt;=25, "Below 25", Table1[[#This Row],[Age]]&lt;=35, "Between 25-35", Table1[[#This Row],[Age]]&lt;=45, "Between 36-45", Table1[[#This Row],[Age]]&gt;45, "45+")</f>
        <v>45+</v>
      </c>
    </row>
    <row r="745" spans="1:21" x14ac:dyDescent="0.3">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c r="T745">
        <f>IF(Table1[[#This Row],[Discount_Applied]]="Yes", 1,0)</f>
        <v>1</v>
      </c>
      <c r="U745" t="str">
        <f>_xlfn.IFS(Table1[[#This Row],[Age]]&lt;=25, "Below 25", Table1[[#This Row],[Age]]&lt;=35, "Between 25-35", Table1[[#This Row],[Age]]&lt;=45, "Between 36-45", Table1[[#This Row],[Age]]&gt;45, "45+")</f>
        <v>Below 25</v>
      </c>
    </row>
    <row r="746" spans="1:21" x14ac:dyDescent="0.3">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c r="T746">
        <f>IF(Table1[[#This Row],[Discount_Applied]]="Yes", 1,0)</f>
        <v>1</v>
      </c>
      <c r="U746" t="str">
        <f>_xlfn.IFS(Table1[[#This Row],[Age]]&lt;=25, "Below 25", Table1[[#This Row],[Age]]&lt;=35, "Between 25-35", Table1[[#This Row],[Age]]&lt;=45, "Between 36-45", Table1[[#This Row],[Age]]&gt;45, "45+")</f>
        <v>45+</v>
      </c>
    </row>
    <row r="747" spans="1:21" x14ac:dyDescent="0.3">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c r="T747">
        <f>IF(Table1[[#This Row],[Discount_Applied]]="Yes", 1,0)</f>
        <v>1</v>
      </c>
      <c r="U747" t="str">
        <f>_xlfn.IFS(Table1[[#This Row],[Age]]&lt;=25, "Below 25", Table1[[#This Row],[Age]]&lt;=35, "Between 25-35", Table1[[#This Row],[Age]]&lt;=45, "Between 36-45", Table1[[#This Row],[Age]]&gt;45, "45+")</f>
        <v>45+</v>
      </c>
    </row>
    <row r="748" spans="1:21" x14ac:dyDescent="0.3">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c r="T748">
        <f>IF(Table1[[#This Row],[Discount_Applied]]="Yes", 1,0)</f>
        <v>1</v>
      </c>
      <c r="U748" t="str">
        <f>_xlfn.IFS(Table1[[#This Row],[Age]]&lt;=25, "Below 25", Table1[[#This Row],[Age]]&lt;=35, "Between 25-35", Table1[[#This Row],[Age]]&lt;=45, "Between 36-45", Table1[[#This Row],[Age]]&gt;45, "45+")</f>
        <v>Between 36-45</v>
      </c>
    </row>
    <row r="749" spans="1:21" x14ac:dyDescent="0.3">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c r="T749">
        <f>IF(Table1[[#This Row],[Discount_Applied]]="Yes", 1,0)</f>
        <v>1</v>
      </c>
      <c r="U749" t="str">
        <f>_xlfn.IFS(Table1[[#This Row],[Age]]&lt;=25, "Below 25", Table1[[#This Row],[Age]]&lt;=35, "Between 25-35", Table1[[#This Row],[Age]]&lt;=45, "Between 36-45", Table1[[#This Row],[Age]]&gt;45, "45+")</f>
        <v>45+</v>
      </c>
    </row>
    <row r="750" spans="1:21" x14ac:dyDescent="0.3">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c r="T750">
        <f>IF(Table1[[#This Row],[Discount_Applied]]="Yes", 1,0)</f>
        <v>1</v>
      </c>
      <c r="U750" t="str">
        <f>_xlfn.IFS(Table1[[#This Row],[Age]]&lt;=25, "Below 25", Table1[[#This Row],[Age]]&lt;=35, "Between 25-35", Table1[[#This Row],[Age]]&lt;=45, "Between 36-45", Table1[[#This Row],[Age]]&gt;45, "45+")</f>
        <v>Between 25-35</v>
      </c>
    </row>
    <row r="751" spans="1:21" x14ac:dyDescent="0.3">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c r="T751">
        <f>IF(Table1[[#This Row],[Discount_Applied]]="Yes", 1,0)</f>
        <v>1</v>
      </c>
      <c r="U751" t="str">
        <f>_xlfn.IFS(Table1[[#This Row],[Age]]&lt;=25, "Below 25", Table1[[#This Row],[Age]]&lt;=35, "Between 25-35", Table1[[#This Row],[Age]]&lt;=45, "Between 36-45", Table1[[#This Row],[Age]]&gt;45, "45+")</f>
        <v>45+</v>
      </c>
    </row>
    <row r="752" spans="1:21" x14ac:dyDescent="0.3">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c r="T752">
        <f>IF(Table1[[#This Row],[Discount_Applied]]="Yes", 1,0)</f>
        <v>1</v>
      </c>
      <c r="U752" t="str">
        <f>_xlfn.IFS(Table1[[#This Row],[Age]]&lt;=25, "Below 25", Table1[[#This Row],[Age]]&lt;=35, "Between 25-35", Table1[[#This Row],[Age]]&lt;=45, "Between 36-45", Table1[[#This Row],[Age]]&gt;45, "45+")</f>
        <v>Below 25</v>
      </c>
    </row>
    <row r="753" spans="1:21" x14ac:dyDescent="0.3">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c r="T753">
        <f>IF(Table1[[#This Row],[Discount_Applied]]="Yes", 1,0)</f>
        <v>1</v>
      </c>
      <c r="U753" t="str">
        <f>_xlfn.IFS(Table1[[#This Row],[Age]]&lt;=25, "Below 25", Table1[[#This Row],[Age]]&lt;=35, "Between 25-35", Table1[[#This Row],[Age]]&lt;=45, "Between 36-45", Table1[[#This Row],[Age]]&gt;45, "45+")</f>
        <v>45+</v>
      </c>
    </row>
    <row r="754" spans="1:21" x14ac:dyDescent="0.3">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c r="T754">
        <f>IF(Table1[[#This Row],[Discount_Applied]]="Yes", 1,0)</f>
        <v>1</v>
      </c>
      <c r="U754" t="str">
        <f>_xlfn.IFS(Table1[[#This Row],[Age]]&lt;=25, "Below 25", Table1[[#This Row],[Age]]&lt;=35, "Between 25-35", Table1[[#This Row],[Age]]&lt;=45, "Between 36-45", Table1[[#This Row],[Age]]&gt;45, "45+")</f>
        <v>Between 36-45</v>
      </c>
    </row>
    <row r="755" spans="1:21" x14ac:dyDescent="0.3">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c r="T755">
        <f>IF(Table1[[#This Row],[Discount_Applied]]="Yes", 1,0)</f>
        <v>1</v>
      </c>
      <c r="U755" t="str">
        <f>_xlfn.IFS(Table1[[#This Row],[Age]]&lt;=25, "Below 25", Table1[[#This Row],[Age]]&lt;=35, "Between 25-35", Table1[[#This Row],[Age]]&lt;=45, "Between 36-45", Table1[[#This Row],[Age]]&gt;45, "45+")</f>
        <v>45+</v>
      </c>
    </row>
    <row r="756" spans="1:21" x14ac:dyDescent="0.3">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c r="T756">
        <f>IF(Table1[[#This Row],[Discount_Applied]]="Yes", 1,0)</f>
        <v>1</v>
      </c>
      <c r="U756" t="str">
        <f>_xlfn.IFS(Table1[[#This Row],[Age]]&lt;=25, "Below 25", Table1[[#This Row],[Age]]&lt;=35, "Between 25-35", Table1[[#This Row],[Age]]&lt;=45, "Between 36-45", Table1[[#This Row],[Age]]&gt;45, "45+")</f>
        <v>Between 36-45</v>
      </c>
    </row>
    <row r="757" spans="1:21" x14ac:dyDescent="0.3">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c r="T757">
        <f>IF(Table1[[#This Row],[Discount_Applied]]="Yes", 1,0)</f>
        <v>1</v>
      </c>
      <c r="U757" t="str">
        <f>_xlfn.IFS(Table1[[#This Row],[Age]]&lt;=25, "Below 25", Table1[[#This Row],[Age]]&lt;=35, "Between 25-35", Table1[[#This Row],[Age]]&lt;=45, "Between 36-45", Table1[[#This Row],[Age]]&gt;45, "45+")</f>
        <v>45+</v>
      </c>
    </row>
    <row r="758" spans="1:21" x14ac:dyDescent="0.3">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c r="T758">
        <f>IF(Table1[[#This Row],[Discount_Applied]]="Yes", 1,0)</f>
        <v>1</v>
      </c>
      <c r="U758" t="str">
        <f>_xlfn.IFS(Table1[[#This Row],[Age]]&lt;=25, "Below 25", Table1[[#This Row],[Age]]&lt;=35, "Between 25-35", Table1[[#This Row],[Age]]&lt;=45, "Between 36-45", Table1[[#This Row],[Age]]&gt;45, "45+")</f>
        <v>45+</v>
      </c>
    </row>
    <row r="759" spans="1:21" x14ac:dyDescent="0.3">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c r="T759">
        <f>IF(Table1[[#This Row],[Discount_Applied]]="Yes", 1,0)</f>
        <v>1</v>
      </c>
      <c r="U759" t="str">
        <f>_xlfn.IFS(Table1[[#This Row],[Age]]&lt;=25, "Below 25", Table1[[#This Row],[Age]]&lt;=35, "Between 25-35", Table1[[#This Row],[Age]]&lt;=45, "Between 36-45", Table1[[#This Row],[Age]]&gt;45, "45+")</f>
        <v>Between 36-45</v>
      </c>
    </row>
    <row r="760" spans="1:21" x14ac:dyDescent="0.3">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c r="T760">
        <f>IF(Table1[[#This Row],[Discount_Applied]]="Yes", 1,0)</f>
        <v>1</v>
      </c>
      <c r="U760" t="str">
        <f>_xlfn.IFS(Table1[[#This Row],[Age]]&lt;=25, "Below 25", Table1[[#This Row],[Age]]&lt;=35, "Between 25-35", Table1[[#This Row],[Age]]&lt;=45, "Between 36-45", Table1[[#This Row],[Age]]&gt;45, "45+")</f>
        <v>45+</v>
      </c>
    </row>
    <row r="761" spans="1:21" x14ac:dyDescent="0.3">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c r="T761">
        <f>IF(Table1[[#This Row],[Discount_Applied]]="Yes", 1,0)</f>
        <v>1</v>
      </c>
      <c r="U761" t="str">
        <f>_xlfn.IFS(Table1[[#This Row],[Age]]&lt;=25, "Below 25", Table1[[#This Row],[Age]]&lt;=35, "Between 25-35", Table1[[#This Row],[Age]]&lt;=45, "Between 36-45", Table1[[#This Row],[Age]]&gt;45, "45+")</f>
        <v>45+</v>
      </c>
    </row>
    <row r="762" spans="1:21" x14ac:dyDescent="0.3">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c r="T762">
        <f>IF(Table1[[#This Row],[Discount_Applied]]="Yes", 1,0)</f>
        <v>1</v>
      </c>
      <c r="U762" t="str">
        <f>_xlfn.IFS(Table1[[#This Row],[Age]]&lt;=25, "Below 25", Table1[[#This Row],[Age]]&lt;=35, "Between 25-35", Table1[[#This Row],[Age]]&lt;=45, "Between 36-45", Table1[[#This Row],[Age]]&gt;45, "45+")</f>
        <v>Between 25-35</v>
      </c>
    </row>
    <row r="763" spans="1:21" x14ac:dyDescent="0.3">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c r="T763">
        <f>IF(Table1[[#This Row],[Discount_Applied]]="Yes", 1,0)</f>
        <v>1</v>
      </c>
      <c r="U763" t="str">
        <f>_xlfn.IFS(Table1[[#This Row],[Age]]&lt;=25, "Below 25", Table1[[#This Row],[Age]]&lt;=35, "Between 25-35", Table1[[#This Row],[Age]]&lt;=45, "Between 36-45", Table1[[#This Row],[Age]]&gt;45, "45+")</f>
        <v>45+</v>
      </c>
    </row>
    <row r="764" spans="1:21" x14ac:dyDescent="0.3">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c r="T764">
        <f>IF(Table1[[#This Row],[Discount_Applied]]="Yes", 1,0)</f>
        <v>1</v>
      </c>
      <c r="U764" t="str">
        <f>_xlfn.IFS(Table1[[#This Row],[Age]]&lt;=25, "Below 25", Table1[[#This Row],[Age]]&lt;=35, "Between 25-35", Table1[[#This Row],[Age]]&lt;=45, "Between 36-45", Table1[[#This Row],[Age]]&gt;45, "45+")</f>
        <v>Between 36-45</v>
      </c>
    </row>
    <row r="765" spans="1:21" x14ac:dyDescent="0.3">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c r="T765">
        <f>IF(Table1[[#This Row],[Discount_Applied]]="Yes", 1,0)</f>
        <v>1</v>
      </c>
      <c r="U765" t="str">
        <f>_xlfn.IFS(Table1[[#This Row],[Age]]&lt;=25, "Below 25", Table1[[#This Row],[Age]]&lt;=35, "Between 25-35", Table1[[#This Row],[Age]]&lt;=45, "Between 36-45", Table1[[#This Row],[Age]]&gt;45, "45+")</f>
        <v>45+</v>
      </c>
    </row>
    <row r="766" spans="1:21" x14ac:dyDescent="0.3">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c r="T766">
        <f>IF(Table1[[#This Row],[Discount_Applied]]="Yes", 1,0)</f>
        <v>1</v>
      </c>
      <c r="U766" t="str">
        <f>_xlfn.IFS(Table1[[#This Row],[Age]]&lt;=25, "Below 25", Table1[[#This Row],[Age]]&lt;=35, "Between 25-35", Table1[[#This Row],[Age]]&lt;=45, "Between 36-45", Table1[[#This Row],[Age]]&gt;45, "45+")</f>
        <v>45+</v>
      </c>
    </row>
    <row r="767" spans="1:21" x14ac:dyDescent="0.3">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c r="T767">
        <f>IF(Table1[[#This Row],[Discount_Applied]]="Yes", 1,0)</f>
        <v>1</v>
      </c>
      <c r="U767" t="str">
        <f>_xlfn.IFS(Table1[[#This Row],[Age]]&lt;=25, "Below 25", Table1[[#This Row],[Age]]&lt;=35, "Between 25-35", Table1[[#This Row],[Age]]&lt;=45, "Between 36-45", Table1[[#This Row],[Age]]&gt;45, "45+")</f>
        <v>45+</v>
      </c>
    </row>
    <row r="768" spans="1:21" x14ac:dyDescent="0.3">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c r="T768">
        <f>IF(Table1[[#This Row],[Discount_Applied]]="Yes", 1,0)</f>
        <v>1</v>
      </c>
      <c r="U768" t="str">
        <f>_xlfn.IFS(Table1[[#This Row],[Age]]&lt;=25, "Below 25", Table1[[#This Row],[Age]]&lt;=35, "Between 25-35", Table1[[#This Row],[Age]]&lt;=45, "Between 36-45", Table1[[#This Row],[Age]]&gt;45, "45+")</f>
        <v>45+</v>
      </c>
    </row>
    <row r="769" spans="1:21" x14ac:dyDescent="0.3">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c r="T769">
        <f>IF(Table1[[#This Row],[Discount_Applied]]="Yes", 1,0)</f>
        <v>1</v>
      </c>
      <c r="U769" t="str">
        <f>_xlfn.IFS(Table1[[#This Row],[Age]]&lt;=25, "Below 25", Table1[[#This Row],[Age]]&lt;=35, "Between 25-35", Table1[[#This Row],[Age]]&lt;=45, "Between 36-45", Table1[[#This Row],[Age]]&gt;45, "45+")</f>
        <v>Between 25-35</v>
      </c>
    </row>
    <row r="770" spans="1:21" x14ac:dyDescent="0.3">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c r="T770">
        <f>IF(Table1[[#This Row],[Discount_Applied]]="Yes", 1,0)</f>
        <v>1</v>
      </c>
      <c r="U770" t="str">
        <f>_xlfn.IFS(Table1[[#This Row],[Age]]&lt;=25, "Below 25", Table1[[#This Row],[Age]]&lt;=35, "Between 25-35", Table1[[#This Row],[Age]]&lt;=45, "Between 36-45", Table1[[#This Row],[Age]]&gt;45, "45+")</f>
        <v>45+</v>
      </c>
    </row>
    <row r="771" spans="1:21" x14ac:dyDescent="0.3">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c r="T771">
        <f>IF(Table1[[#This Row],[Discount_Applied]]="Yes", 1,0)</f>
        <v>1</v>
      </c>
      <c r="U771" t="str">
        <f>_xlfn.IFS(Table1[[#This Row],[Age]]&lt;=25, "Below 25", Table1[[#This Row],[Age]]&lt;=35, "Between 25-35", Table1[[#This Row],[Age]]&lt;=45, "Between 36-45", Table1[[#This Row],[Age]]&gt;45, "45+")</f>
        <v>45+</v>
      </c>
    </row>
    <row r="772" spans="1:21" x14ac:dyDescent="0.3">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c r="T772">
        <f>IF(Table1[[#This Row],[Discount_Applied]]="Yes", 1,0)</f>
        <v>1</v>
      </c>
      <c r="U772" t="str">
        <f>_xlfn.IFS(Table1[[#This Row],[Age]]&lt;=25, "Below 25", Table1[[#This Row],[Age]]&lt;=35, "Between 25-35", Table1[[#This Row],[Age]]&lt;=45, "Between 36-45", Table1[[#This Row],[Age]]&gt;45, "45+")</f>
        <v>Below 25</v>
      </c>
    </row>
    <row r="773" spans="1:21" x14ac:dyDescent="0.3">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c r="T773">
        <f>IF(Table1[[#This Row],[Discount_Applied]]="Yes", 1,0)</f>
        <v>1</v>
      </c>
      <c r="U773" t="str">
        <f>_xlfn.IFS(Table1[[#This Row],[Age]]&lt;=25, "Below 25", Table1[[#This Row],[Age]]&lt;=35, "Between 25-35", Table1[[#This Row],[Age]]&lt;=45, "Between 36-45", Table1[[#This Row],[Age]]&gt;45, "45+")</f>
        <v>Below 25</v>
      </c>
    </row>
    <row r="774" spans="1:21" x14ac:dyDescent="0.3">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c r="T774">
        <f>IF(Table1[[#This Row],[Discount_Applied]]="Yes", 1,0)</f>
        <v>1</v>
      </c>
      <c r="U774" t="str">
        <f>_xlfn.IFS(Table1[[#This Row],[Age]]&lt;=25, "Below 25", Table1[[#This Row],[Age]]&lt;=35, "Between 25-35", Table1[[#This Row],[Age]]&lt;=45, "Between 36-45", Table1[[#This Row],[Age]]&gt;45, "45+")</f>
        <v>Below 25</v>
      </c>
    </row>
    <row r="775" spans="1:21" x14ac:dyDescent="0.3">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c r="T775">
        <f>IF(Table1[[#This Row],[Discount_Applied]]="Yes", 1,0)</f>
        <v>1</v>
      </c>
      <c r="U775" t="str">
        <f>_xlfn.IFS(Table1[[#This Row],[Age]]&lt;=25, "Below 25", Table1[[#This Row],[Age]]&lt;=35, "Between 25-35", Table1[[#This Row],[Age]]&lt;=45, "Between 36-45", Table1[[#This Row],[Age]]&gt;45, "45+")</f>
        <v>Between 25-35</v>
      </c>
    </row>
    <row r="776" spans="1:21" x14ac:dyDescent="0.3">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c r="T776">
        <f>IF(Table1[[#This Row],[Discount_Applied]]="Yes", 1,0)</f>
        <v>1</v>
      </c>
      <c r="U776" t="str">
        <f>_xlfn.IFS(Table1[[#This Row],[Age]]&lt;=25, "Below 25", Table1[[#This Row],[Age]]&lt;=35, "Between 25-35", Table1[[#This Row],[Age]]&lt;=45, "Between 36-45", Table1[[#This Row],[Age]]&gt;45, "45+")</f>
        <v>Between 36-45</v>
      </c>
    </row>
    <row r="777" spans="1:21" x14ac:dyDescent="0.3">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c r="T777">
        <f>IF(Table1[[#This Row],[Discount_Applied]]="Yes", 1,0)</f>
        <v>1</v>
      </c>
      <c r="U777" t="str">
        <f>_xlfn.IFS(Table1[[#This Row],[Age]]&lt;=25, "Below 25", Table1[[#This Row],[Age]]&lt;=35, "Between 25-35", Table1[[#This Row],[Age]]&lt;=45, "Between 36-45", Table1[[#This Row],[Age]]&gt;45, "45+")</f>
        <v>45+</v>
      </c>
    </row>
    <row r="778" spans="1:21" x14ac:dyDescent="0.3">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c r="T778">
        <f>IF(Table1[[#This Row],[Discount_Applied]]="Yes", 1,0)</f>
        <v>1</v>
      </c>
      <c r="U778" t="str">
        <f>_xlfn.IFS(Table1[[#This Row],[Age]]&lt;=25, "Below 25", Table1[[#This Row],[Age]]&lt;=35, "Between 25-35", Table1[[#This Row],[Age]]&lt;=45, "Between 36-45", Table1[[#This Row],[Age]]&gt;45, "45+")</f>
        <v>45+</v>
      </c>
    </row>
    <row r="779" spans="1:21" x14ac:dyDescent="0.3">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c r="T779">
        <f>IF(Table1[[#This Row],[Discount_Applied]]="Yes", 1,0)</f>
        <v>1</v>
      </c>
      <c r="U779" t="str">
        <f>_xlfn.IFS(Table1[[#This Row],[Age]]&lt;=25, "Below 25", Table1[[#This Row],[Age]]&lt;=35, "Between 25-35", Table1[[#This Row],[Age]]&lt;=45, "Between 36-45", Table1[[#This Row],[Age]]&gt;45, "45+")</f>
        <v>45+</v>
      </c>
    </row>
    <row r="780" spans="1:21" x14ac:dyDescent="0.3">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c r="T780">
        <f>IF(Table1[[#This Row],[Discount_Applied]]="Yes", 1,0)</f>
        <v>1</v>
      </c>
      <c r="U780" t="str">
        <f>_xlfn.IFS(Table1[[#This Row],[Age]]&lt;=25, "Below 25", Table1[[#This Row],[Age]]&lt;=35, "Between 25-35", Table1[[#This Row],[Age]]&lt;=45, "Between 36-45", Table1[[#This Row],[Age]]&gt;45, "45+")</f>
        <v>Between 25-35</v>
      </c>
    </row>
    <row r="781" spans="1:21" x14ac:dyDescent="0.3">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c r="T781">
        <f>IF(Table1[[#This Row],[Discount_Applied]]="Yes", 1,0)</f>
        <v>1</v>
      </c>
      <c r="U781" t="str">
        <f>_xlfn.IFS(Table1[[#This Row],[Age]]&lt;=25, "Below 25", Table1[[#This Row],[Age]]&lt;=35, "Between 25-35", Table1[[#This Row],[Age]]&lt;=45, "Between 36-45", Table1[[#This Row],[Age]]&gt;45, "45+")</f>
        <v>45+</v>
      </c>
    </row>
    <row r="782" spans="1:21" x14ac:dyDescent="0.3">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c r="T782">
        <f>IF(Table1[[#This Row],[Discount_Applied]]="Yes", 1,0)</f>
        <v>1</v>
      </c>
      <c r="U782" t="str">
        <f>_xlfn.IFS(Table1[[#This Row],[Age]]&lt;=25, "Below 25", Table1[[#This Row],[Age]]&lt;=35, "Between 25-35", Table1[[#This Row],[Age]]&lt;=45, "Between 36-45", Table1[[#This Row],[Age]]&gt;45, "45+")</f>
        <v>Between 25-35</v>
      </c>
    </row>
    <row r="783" spans="1:21" x14ac:dyDescent="0.3">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c r="T783">
        <f>IF(Table1[[#This Row],[Discount_Applied]]="Yes", 1,0)</f>
        <v>1</v>
      </c>
      <c r="U783" t="str">
        <f>_xlfn.IFS(Table1[[#This Row],[Age]]&lt;=25, "Below 25", Table1[[#This Row],[Age]]&lt;=35, "Between 25-35", Table1[[#This Row],[Age]]&lt;=45, "Between 36-45", Table1[[#This Row],[Age]]&gt;45, "45+")</f>
        <v>Between 25-35</v>
      </c>
    </row>
    <row r="784" spans="1:21" x14ac:dyDescent="0.3">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c r="T784">
        <f>IF(Table1[[#This Row],[Discount_Applied]]="Yes", 1,0)</f>
        <v>1</v>
      </c>
      <c r="U784" t="str">
        <f>_xlfn.IFS(Table1[[#This Row],[Age]]&lt;=25, "Below 25", Table1[[#This Row],[Age]]&lt;=35, "Between 25-35", Table1[[#This Row],[Age]]&lt;=45, "Between 36-45", Table1[[#This Row],[Age]]&gt;45, "45+")</f>
        <v>Between 25-35</v>
      </c>
    </row>
    <row r="785" spans="1:21" x14ac:dyDescent="0.3">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c r="T785">
        <f>IF(Table1[[#This Row],[Discount_Applied]]="Yes", 1,0)</f>
        <v>1</v>
      </c>
      <c r="U785" t="str">
        <f>_xlfn.IFS(Table1[[#This Row],[Age]]&lt;=25, "Below 25", Table1[[#This Row],[Age]]&lt;=35, "Between 25-35", Table1[[#This Row],[Age]]&lt;=45, "Between 36-45", Table1[[#This Row],[Age]]&gt;45, "45+")</f>
        <v>45+</v>
      </c>
    </row>
    <row r="786" spans="1:21" x14ac:dyDescent="0.3">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c r="T786">
        <f>IF(Table1[[#This Row],[Discount_Applied]]="Yes", 1,0)</f>
        <v>1</v>
      </c>
      <c r="U786" t="str">
        <f>_xlfn.IFS(Table1[[#This Row],[Age]]&lt;=25, "Below 25", Table1[[#This Row],[Age]]&lt;=35, "Between 25-35", Table1[[#This Row],[Age]]&lt;=45, "Between 36-45", Table1[[#This Row],[Age]]&gt;45, "45+")</f>
        <v>Between 25-35</v>
      </c>
    </row>
    <row r="787" spans="1:21" x14ac:dyDescent="0.3">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c r="T787">
        <f>IF(Table1[[#This Row],[Discount_Applied]]="Yes", 1,0)</f>
        <v>1</v>
      </c>
      <c r="U787" t="str">
        <f>_xlfn.IFS(Table1[[#This Row],[Age]]&lt;=25, "Below 25", Table1[[#This Row],[Age]]&lt;=35, "Between 25-35", Table1[[#This Row],[Age]]&lt;=45, "Between 36-45", Table1[[#This Row],[Age]]&gt;45, "45+")</f>
        <v>45+</v>
      </c>
    </row>
    <row r="788" spans="1:21" x14ac:dyDescent="0.3">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c r="T788">
        <f>IF(Table1[[#This Row],[Discount_Applied]]="Yes", 1,0)</f>
        <v>1</v>
      </c>
      <c r="U788" t="str">
        <f>_xlfn.IFS(Table1[[#This Row],[Age]]&lt;=25, "Below 25", Table1[[#This Row],[Age]]&lt;=35, "Between 25-35", Table1[[#This Row],[Age]]&lt;=45, "Between 36-45", Table1[[#This Row],[Age]]&gt;45, "45+")</f>
        <v>45+</v>
      </c>
    </row>
    <row r="789" spans="1:21" x14ac:dyDescent="0.3">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c r="T789">
        <f>IF(Table1[[#This Row],[Discount_Applied]]="Yes", 1,0)</f>
        <v>1</v>
      </c>
      <c r="U789" t="str">
        <f>_xlfn.IFS(Table1[[#This Row],[Age]]&lt;=25, "Below 25", Table1[[#This Row],[Age]]&lt;=35, "Between 25-35", Table1[[#This Row],[Age]]&lt;=45, "Between 36-45", Table1[[#This Row],[Age]]&gt;45, "45+")</f>
        <v>45+</v>
      </c>
    </row>
    <row r="790" spans="1:21" x14ac:dyDescent="0.3">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c r="T790">
        <f>IF(Table1[[#This Row],[Discount_Applied]]="Yes", 1,0)</f>
        <v>1</v>
      </c>
      <c r="U790" t="str">
        <f>_xlfn.IFS(Table1[[#This Row],[Age]]&lt;=25, "Below 25", Table1[[#This Row],[Age]]&lt;=35, "Between 25-35", Table1[[#This Row],[Age]]&lt;=45, "Between 36-45", Table1[[#This Row],[Age]]&gt;45, "45+")</f>
        <v>45+</v>
      </c>
    </row>
    <row r="791" spans="1:21" x14ac:dyDescent="0.3">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c r="T791">
        <f>IF(Table1[[#This Row],[Discount_Applied]]="Yes", 1,0)</f>
        <v>1</v>
      </c>
      <c r="U791" t="str">
        <f>_xlfn.IFS(Table1[[#This Row],[Age]]&lt;=25, "Below 25", Table1[[#This Row],[Age]]&lt;=35, "Between 25-35", Table1[[#This Row],[Age]]&lt;=45, "Between 36-45", Table1[[#This Row],[Age]]&gt;45, "45+")</f>
        <v>Between 25-35</v>
      </c>
    </row>
    <row r="792" spans="1:21" x14ac:dyDescent="0.3">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c r="T792">
        <f>IF(Table1[[#This Row],[Discount_Applied]]="Yes", 1,0)</f>
        <v>1</v>
      </c>
      <c r="U792" t="str">
        <f>_xlfn.IFS(Table1[[#This Row],[Age]]&lt;=25, "Below 25", Table1[[#This Row],[Age]]&lt;=35, "Between 25-35", Table1[[#This Row],[Age]]&lt;=45, "Between 36-45", Table1[[#This Row],[Age]]&gt;45, "45+")</f>
        <v>Below 25</v>
      </c>
    </row>
    <row r="793" spans="1:21" x14ac:dyDescent="0.3">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c r="T793">
        <f>IF(Table1[[#This Row],[Discount_Applied]]="Yes", 1,0)</f>
        <v>1</v>
      </c>
      <c r="U793" t="str">
        <f>_xlfn.IFS(Table1[[#This Row],[Age]]&lt;=25, "Below 25", Table1[[#This Row],[Age]]&lt;=35, "Between 25-35", Table1[[#This Row],[Age]]&lt;=45, "Between 36-45", Table1[[#This Row],[Age]]&gt;45, "45+")</f>
        <v>45+</v>
      </c>
    </row>
    <row r="794" spans="1:21" x14ac:dyDescent="0.3">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c r="T794">
        <f>IF(Table1[[#This Row],[Discount_Applied]]="Yes", 1,0)</f>
        <v>1</v>
      </c>
      <c r="U794" t="str">
        <f>_xlfn.IFS(Table1[[#This Row],[Age]]&lt;=25, "Below 25", Table1[[#This Row],[Age]]&lt;=35, "Between 25-35", Table1[[#This Row],[Age]]&lt;=45, "Between 36-45", Table1[[#This Row],[Age]]&gt;45, "45+")</f>
        <v>Between 25-35</v>
      </c>
    </row>
    <row r="795" spans="1:21" x14ac:dyDescent="0.3">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c r="T795">
        <f>IF(Table1[[#This Row],[Discount_Applied]]="Yes", 1,0)</f>
        <v>1</v>
      </c>
      <c r="U795" t="str">
        <f>_xlfn.IFS(Table1[[#This Row],[Age]]&lt;=25, "Below 25", Table1[[#This Row],[Age]]&lt;=35, "Between 25-35", Table1[[#This Row],[Age]]&lt;=45, "Between 36-45", Table1[[#This Row],[Age]]&gt;45, "45+")</f>
        <v>Below 25</v>
      </c>
    </row>
    <row r="796" spans="1:21" x14ac:dyDescent="0.3">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c r="T796">
        <f>IF(Table1[[#This Row],[Discount_Applied]]="Yes", 1,0)</f>
        <v>1</v>
      </c>
      <c r="U796" t="str">
        <f>_xlfn.IFS(Table1[[#This Row],[Age]]&lt;=25, "Below 25", Table1[[#This Row],[Age]]&lt;=35, "Between 25-35", Table1[[#This Row],[Age]]&lt;=45, "Between 36-45", Table1[[#This Row],[Age]]&gt;45, "45+")</f>
        <v>45+</v>
      </c>
    </row>
    <row r="797" spans="1:21" x14ac:dyDescent="0.3">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c r="T797">
        <f>IF(Table1[[#This Row],[Discount_Applied]]="Yes", 1,0)</f>
        <v>1</v>
      </c>
      <c r="U797" t="str">
        <f>_xlfn.IFS(Table1[[#This Row],[Age]]&lt;=25, "Below 25", Table1[[#This Row],[Age]]&lt;=35, "Between 25-35", Table1[[#This Row],[Age]]&lt;=45, "Between 36-45", Table1[[#This Row],[Age]]&gt;45, "45+")</f>
        <v>Between 36-45</v>
      </c>
    </row>
    <row r="798" spans="1:21" x14ac:dyDescent="0.3">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c r="T798">
        <f>IF(Table1[[#This Row],[Discount_Applied]]="Yes", 1,0)</f>
        <v>1</v>
      </c>
      <c r="U798" t="str">
        <f>_xlfn.IFS(Table1[[#This Row],[Age]]&lt;=25, "Below 25", Table1[[#This Row],[Age]]&lt;=35, "Between 25-35", Table1[[#This Row],[Age]]&lt;=45, "Between 36-45", Table1[[#This Row],[Age]]&gt;45, "45+")</f>
        <v>Between 36-45</v>
      </c>
    </row>
    <row r="799" spans="1:21" x14ac:dyDescent="0.3">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c r="T799">
        <f>IF(Table1[[#This Row],[Discount_Applied]]="Yes", 1,0)</f>
        <v>1</v>
      </c>
      <c r="U799" t="str">
        <f>_xlfn.IFS(Table1[[#This Row],[Age]]&lt;=25, "Below 25", Table1[[#This Row],[Age]]&lt;=35, "Between 25-35", Table1[[#This Row],[Age]]&lt;=45, "Between 36-45", Table1[[#This Row],[Age]]&gt;45, "45+")</f>
        <v>Between 36-45</v>
      </c>
    </row>
    <row r="800" spans="1:21" x14ac:dyDescent="0.3">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c r="T800">
        <f>IF(Table1[[#This Row],[Discount_Applied]]="Yes", 1,0)</f>
        <v>1</v>
      </c>
      <c r="U800" t="str">
        <f>_xlfn.IFS(Table1[[#This Row],[Age]]&lt;=25, "Below 25", Table1[[#This Row],[Age]]&lt;=35, "Between 25-35", Table1[[#This Row],[Age]]&lt;=45, "Between 36-45", Table1[[#This Row],[Age]]&gt;45, "45+")</f>
        <v>Between 25-35</v>
      </c>
    </row>
    <row r="801" spans="1:21" x14ac:dyDescent="0.3">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c r="T801">
        <f>IF(Table1[[#This Row],[Discount_Applied]]="Yes", 1,0)</f>
        <v>1</v>
      </c>
      <c r="U801" t="str">
        <f>_xlfn.IFS(Table1[[#This Row],[Age]]&lt;=25, "Below 25", Table1[[#This Row],[Age]]&lt;=35, "Between 25-35", Table1[[#This Row],[Age]]&lt;=45, "Between 36-45", Table1[[#This Row],[Age]]&gt;45, "45+")</f>
        <v>45+</v>
      </c>
    </row>
    <row r="802" spans="1:21" x14ac:dyDescent="0.3">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c r="T802">
        <f>IF(Table1[[#This Row],[Discount_Applied]]="Yes", 1,0)</f>
        <v>1</v>
      </c>
      <c r="U802" t="str">
        <f>_xlfn.IFS(Table1[[#This Row],[Age]]&lt;=25, "Below 25", Table1[[#This Row],[Age]]&lt;=35, "Between 25-35", Table1[[#This Row],[Age]]&lt;=45, "Between 36-45", Table1[[#This Row],[Age]]&gt;45, "45+")</f>
        <v>Between 25-35</v>
      </c>
    </row>
    <row r="803" spans="1:21" x14ac:dyDescent="0.3">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c r="T803">
        <f>IF(Table1[[#This Row],[Discount_Applied]]="Yes", 1,0)</f>
        <v>1</v>
      </c>
      <c r="U803" t="str">
        <f>_xlfn.IFS(Table1[[#This Row],[Age]]&lt;=25, "Below 25", Table1[[#This Row],[Age]]&lt;=35, "Between 25-35", Table1[[#This Row],[Age]]&lt;=45, "Between 36-45", Table1[[#This Row],[Age]]&gt;45, "45+")</f>
        <v>Below 25</v>
      </c>
    </row>
    <row r="804" spans="1:21" x14ac:dyDescent="0.3">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c r="T804">
        <f>IF(Table1[[#This Row],[Discount_Applied]]="Yes", 1,0)</f>
        <v>1</v>
      </c>
      <c r="U804" t="str">
        <f>_xlfn.IFS(Table1[[#This Row],[Age]]&lt;=25, "Below 25", Table1[[#This Row],[Age]]&lt;=35, "Between 25-35", Table1[[#This Row],[Age]]&lt;=45, "Between 36-45", Table1[[#This Row],[Age]]&gt;45, "45+")</f>
        <v>Between 36-45</v>
      </c>
    </row>
    <row r="805" spans="1:21" x14ac:dyDescent="0.3">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c r="T805">
        <f>IF(Table1[[#This Row],[Discount_Applied]]="Yes", 1,0)</f>
        <v>1</v>
      </c>
      <c r="U805" t="str">
        <f>_xlfn.IFS(Table1[[#This Row],[Age]]&lt;=25, "Below 25", Table1[[#This Row],[Age]]&lt;=35, "Between 25-35", Table1[[#This Row],[Age]]&lt;=45, "Between 36-45", Table1[[#This Row],[Age]]&gt;45, "45+")</f>
        <v>Between 25-35</v>
      </c>
    </row>
    <row r="806" spans="1:21" x14ac:dyDescent="0.3">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c r="T806">
        <f>IF(Table1[[#This Row],[Discount_Applied]]="Yes", 1,0)</f>
        <v>1</v>
      </c>
      <c r="U806" t="str">
        <f>_xlfn.IFS(Table1[[#This Row],[Age]]&lt;=25, "Below 25", Table1[[#This Row],[Age]]&lt;=35, "Between 25-35", Table1[[#This Row],[Age]]&lt;=45, "Between 36-45", Table1[[#This Row],[Age]]&gt;45, "45+")</f>
        <v>Between 36-45</v>
      </c>
    </row>
    <row r="807" spans="1:21" x14ac:dyDescent="0.3">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c r="T807">
        <f>IF(Table1[[#This Row],[Discount_Applied]]="Yes", 1,0)</f>
        <v>1</v>
      </c>
      <c r="U807" t="str">
        <f>_xlfn.IFS(Table1[[#This Row],[Age]]&lt;=25, "Below 25", Table1[[#This Row],[Age]]&lt;=35, "Between 25-35", Table1[[#This Row],[Age]]&lt;=45, "Between 36-45", Table1[[#This Row],[Age]]&gt;45, "45+")</f>
        <v>Between 36-45</v>
      </c>
    </row>
    <row r="808" spans="1:21" x14ac:dyDescent="0.3">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c r="T808">
        <f>IF(Table1[[#This Row],[Discount_Applied]]="Yes", 1,0)</f>
        <v>1</v>
      </c>
      <c r="U808" t="str">
        <f>_xlfn.IFS(Table1[[#This Row],[Age]]&lt;=25, "Below 25", Table1[[#This Row],[Age]]&lt;=35, "Between 25-35", Table1[[#This Row],[Age]]&lt;=45, "Between 36-45", Table1[[#This Row],[Age]]&gt;45, "45+")</f>
        <v>45+</v>
      </c>
    </row>
    <row r="809" spans="1:21" x14ac:dyDescent="0.3">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c r="T809">
        <f>IF(Table1[[#This Row],[Discount_Applied]]="Yes", 1,0)</f>
        <v>1</v>
      </c>
      <c r="U809" t="str">
        <f>_xlfn.IFS(Table1[[#This Row],[Age]]&lt;=25, "Below 25", Table1[[#This Row],[Age]]&lt;=35, "Between 25-35", Table1[[#This Row],[Age]]&lt;=45, "Between 36-45", Table1[[#This Row],[Age]]&gt;45, "45+")</f>
        <v>Between 25-35</v>
      </c>
    </row>
    <row r="810" spans="1:21" x14ac:dyDescent="0.3">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c r="T810">
        <f>IF(Table1[[#This Row],[Discount_Applied]]="Yes", 1,0)</f>
        <v>1</v>
      </c>
      <c r="U810" t="str">
        <f>_xlfn.IFS(Table1[[#This Row],[Age]]&lt;=25, "Below 25", Table1[[#This Row],[Age]]&lt;=35, "Between 25-35", Table1[[#This Row],[Age]]&lt;=45, "Between 36-45", Table1[[#This Row],[Age]]&gt;45, "45+")</f>
        <v>45+</v>
      </c>
    </row>
    <row r="811" spans="1:21" x14ac:dyDescent="0.3">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c r="T811">
        <f>IF(Table1[[#This Row],[Discount_Applied]]="Yes", 1,0)</f>
        <v>1</v>
      </c>
      <c r="U811" t="str">
        <f>_xlfn.IFS(Table1[[#This Row],[Age]]&lt;=25, "Below 25", Table1[[#This Row],[Age]]&lt;=35, "Between 25-35", Table1[[#This Row],[Age]]&lt;=45, "Between 36-45", Table1[[#This Row],[Age]]&gt;45, "45+")</f>
        <v>45+</v>
      </c>
    </row>
    <row r="812" spans="1:21" x14ac:dyDescent="0.3">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c r="T812">
        <f>IF(Table1[[#This Row],[Discount_Applied]]="Yes", 1,0)</f>
        <v>1</v>
      </c>
      <c r="U812" t="str">
        <f>_xlfn.IFS(Table1[[#This Row],[Age]]&lt;=25, "Below 25", Table1[[#This Row],[Age]]&lt;=35, "Between 25-35", Table1[[#This Row],[Age]]&lt;=45, "Between 36-45", Table1[[#This Row],[Age]]&gt;45, "45+")</f>
        <v>45+</v>
      </c>
    </row>
    <row r="813" spans="1:21" x14ac:dyDescent="0.3">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c r="T813">
        <f>IF(Table1[[#This Row],[Discount_Applied]]="Yes", 1,0)</f>
        <v>1</v>
      </c>
      <c r="U813" t="str">
        <f>_xlfn.IFS(Table1[[#This Row],[Age]]&lt;=25, "Below 25", Table1[[#This Row],[Age]]&lt;=35, "Between 25-35", Table1[[#This Row],[Age]]&lt;=45, "Between 36-45", Table1[[#This Row],[Age]]&gt;45, "45+")</f>
        <v>Below 25</v>
      </c>
    </row>
    <row r="814" spans="1:21" x14ac:dyDescent="0.3">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c r="T814">
        <f>IF(Table1[[#This Row],[Discount_Applied]]="Yes", 1,0)</f>
        <v>1</v>
      </c>
      <c r="U814" t="str">
        <f>_xlfn.IFS(Table1[[#This Row],[Age]]&lt;=25, "Below 25", Table1[[#This Row],[Age]]&lt;=35, "Between 25-35", Table1[[#This Row],[Age]]&lt;=45, "Between 36-45", Table1[[#This Row],[Age]]&gt;45, "45+")</f>
        <v>45+</v>
      </c>
    </row>
    <row r="815" spans="1:21" x14ac:dyDescent="0.3">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c r="T815">
        <f>IF(Table1[[#This Row],[Discount_Applied]]="Yes", 1,0)</f>
        <v>1</v>
      </c>
      <c r="U815" t="str">
        <f>_xlfn.IFS(Table1[[#This Row],[Age]]&lt;=25, "Below 25", Table1[[#This Row],[Age]]&lt;=35, "Between 25-35", Table1[[#This Row],[Age]]&lt;=45, "Between 36-45", Table1[[#This Row],[Age]]&gt;45, "45+")</f>
        <v>45+</v>
      </c>
    </row>
    <row r="816" spans="1:21" x14ac:dyDescent="0.3">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c r="T816">
        <f>IF(Table1[[#This Row],[Discount_Applied]]="Yes", 1,0)</f>
        <v>1</v>
      </c>
      <c r="U816" t="str">
        <f>_xlfn.IFS(Table1[[#This Row],[Age]]&lt;=25, "Below 25", Table1[[#This Row],[Age]]&lt;=35, "Between 25-35", Table1[[#This Row],[Age]]&lt;=45, "Between 36-45", Table1[[#This Row],[Age]]&gt;45, "45+")</f>
        <v>Between 25-35</v>
      </c>
    </row>
    <row r="817" spans="1:21" x14ac:dyDescent="0.3">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c r="T817">
        <f>IF(Table1[[#This Row],[Discount_Applied]]="Yes", 1,0)</f>
        <v>1</v>
      </c>
      <c r="U817" t="str">
        <f>_xlfn.IFS(Table1[[#This Row],[Age]]&lt;=25, "Below 25", Table1[[#This Row],[Age]]&lt;=35, "Between 25-35", Table1[[#This Row],[Age]]&lt;=45, "Between 36-45", Table1[[#This Row],[Age]]&gt;45, "45+")</f>
        <v>Between 25-35</v>
      </c>
    </row>
    <row r="818" spans="1:21" x14ac:dyDescent="0.3">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c r="T818">
        <f>IF(Table1[[#This Row],[Discount_Applied]]="Yes", 1,0)</f>
        <v>1</v>
      </c>
      <c r="U818" t="str">
        <f>_xlfn.IFS(Table1[[#This Row],[Age]]&lt;=25, "Below 25", Table1[[#This Row],[Age]]&lt;=35, "Between 25-35", Table1[[#This Row],[Age]]&lt;=45, "Between 36-45", Table1[[#This Row],[Age]]&gt;45, "45+")</f>
        <v>Between 25-35</v>
      </c>
    </row>
    <row r="819" spans="1:21" x14ac:dyDescent="0.3">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c r="T819">
        <f>IF(Table1[[#This Row],[Discount_Applied]]="Yes", 1,0)</f>
        <v>1</v>
      </c>
      <c r="U819" t="str">
        <f>_xlfn.IFS(Table1[[#This Row],[Age]]&lt;=25, "Below 25", Table1[[#This Row],[Age]]&lt;=35, "Between 25-35", Table1[[#This Row],[Age]]&lt;=45, "Between 36-45", Table1[[#This Row],[Age]]&gt;45, "45+")</f>
        <v>Below 25</v>
      </c>
    </row>
    <row r="820" spans="1:21" x14ac:dyDescent="0.3">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c r="T820">
        <f>IF(Table1[[#This Row],[Discount_Applied]]="Yes", 1,0)</f>
        <v>1</v>
      </c>
      <c r="U820" t="str">
        <f>_xlfn.IFS(Table1[[#This Row],[Age]]&lt;=25, "Below 25", Table1[[#This Row],[Age]]&lt;=35, "Between 25-35", Table1[[#This Row],[Age]]&lt;=45, "Between 36-45", Table1[[#This Row],[Age]]&gt;45, "45+")</f>
        <v>45+</v>
      </c>
    </row>
    <row r="821" spans="1:21" x14ac:dyDescent="0.3">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c r="T821">
        <f>IF(Table1[[#This Row],[Discount_Applied]]="Yes", 1,0)</f>
        <v>1</v>
      </c>
      <c r="U821" t="str">
        <f>_xlfn.IFS(Table1[[#This Row],[Age]]&lt;=25, "Below 25", Table1[[#This Row],[Age]]&lt;=35, "Between 25-35", Table1[[#This Row],[Age]]&lt;=45, "Between 36-45", Table1[[#This Row],[Age]]&gt;45, "45+")</f>
        <v>45+</v>
      </c>
    </row>
    <row r="822" spans="1:21" x14ac:dyDescent="0.3">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c r="T822">
        <f>IF(Table1[[#This Row],[Discount_Applied]]="Yes", 1,0)</f>
        <v>1</v>
      </c>
      <c r="U822" t="str">
        <f>_xlfn.IFS(Table1[[#This Row],[Age]]&lt;=25, "Below 25", Table1[[#This Row],[Age]]&lt;=35, "Between 25-35", Table1[[#This Row],[Age]]&lt;=45, "Between 36-45", Table1[[#This Row],[Age]]&gt;45, "45+")</f>
        <v>45+</v>
      </c>
    </row>
    <row r="823" spans="1:21" x14ac:dyDescent="0.3">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c r="T823">
        <f>IF(Table1[[#This Row],[Discount_Applied]]="Yes", 1,0)</f>
        <v>1</v>
      </c>
      <c r="U823" t="str">
        <f>_xlfn.IFS(Table1[[#This Row],[Age]]&lt;=25, "Below 25", Table1[[#This Row],[Age]]&lt;=35, "Between 25-35", Table1[[#This Row],[Age]]&lt;=45, "Between 36-45", Table1[[#This Row],[Age]]&gt;45, "45+")</f>
        <v>45+</v>
      </c>
    </row>
    <row r="824" spans="1:21" x14ac:dyDescent="0.3">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c r="T824">
        <f>IF(Table1[[#This Row],[Discount_Applied]]="Yes", 1,0)</f>
        <v>1</v>
      </c>
      <c r="U824" t="str">
        <f>_xlfn.IFS(Table1[[#This Row],[Age]]&lt;=25, "Below 25", Table1[[#This Row],[Age]]&lt;=35, "Between 25-35", Table1[[#This Row],[Age]]&lt;=45, "Between 36-45", Table1[[#This Row],[Age]]&gt;45, "45+")</f>
        <v>Between 25-35</v>
      </c>
    </row>
    <row r="825" spans="1:21" x14ac:dyDescent="0.3">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c r="T825">
        <f>IF(Table1[[#This Row],[Discount_Applied]]="Yes", 1,0)</f>
        <v>1</v>
      </c>
      <c r="U825" t="str">
        <f>_xlfn.IFS(Table1[[#This Row],[Age]]&lt;=25, "Below 25", Table1[[#This Row],[Age]]&lt;=35, "Between 25-35", Table1[[#This Row],[Age]]&lt;=45, "Between 36-45", Table1[[#This Row],[Age]]&gt;45, "45+")</f>
        <v>45+</v>
      </c>
    </row>
    <row r="826" spans="1:21" x14ac:dyDescent="0.3">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c r="T826">
        <f>IF(Table1[[#This Row],[Discount_Applied]]="Yes", 1,0)</f>
        <v>1</v>
      </c>
      <c r="U826" t="str">
        <f>_xlfn.IFS(Table1[[#This Row],[Age]]&lt;=25, "Below 25", Table1[[#This Row],[Age]]&lt;=35, "Between 25-35", Table1[[#This Row],[Age]]&lt;=45, "Between 36-45", Table1[[#This Row],[Age]]&gt;45, "45+")</f>
        <v>45+</v>
      </c>
    </row>
    <row r="827" spans="1:21" x14ac:dyDescent="0.3">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c r="T827">
        <f>IF(Table1[[#This Row],[Discount_Applied]]="Yes", 1,0)</f>
        <v>1</v>
      </c>
      <c r="U827" t="str">
        <f>_xlfn.IFS(Table1[[#This Row],[Age]]&lt;=25, "Below 25", Table1[[#This Row],[Age]]&lt;=35, "Between 25-35", Table1[[#This Row],[Age]]&lt;=45, "Between 36-45", Table1[[#This Row],[Age]]&gt;45, "45+")</f>
        <v>Between 25-35</v>
      </c>
    </row>
    <row r="828" spans="1:21" x14ac:dyDescent="0.3">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c r="T828">
        <f>IF(Table1[[#This Row],[Discount_Applied]]="Yes", 1,0)</f>
        <v>1</v>
      </c>
      <c r="U828" t="str">
        <f>_xlfn.IFS(Table1[[#This Row],[Age]]&lt;=25, "Below 25", Table1[[#This Row],[Age]]&lt;=35, "Between 25-35", Table1[[#This Row],[Age]]&lt;=45, "Between 36-45", Table1[[#This Row],[Age]]&gt;45, "45+")</f>
        <v>45+</v>
      </c>
    </row>
    <row r="829" spans="1:21" x14ac:dyDescent="0.3">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c r="T829">
        <f>IF(Table1[[#This Row],[Discount_Applied]]="Yes", 1,0)</f>
        <v>1</v>
      </c>
      <c r="U829" t="str">
        <f>_xlfn.IFS(Table1[[#This Row],[Age]]&lt;=25, "Below 25", Table1[[#This Row],[Age]]&lt;=35, "Between 25-35", Table1[[#This Row],[Age]]&lt;=45, "Between 36-45", Table1[[#This Row],[Age]]&gt;45, "45+")</f>
        <v>Between 25-35</v>
      </c>
    </row>
    <row r="830" spans="1:21" x14ac:dyDescent="0.3">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c r="T830">
        <f>IF(Table1[[#This Row],[Discount_Applied]]="Yes", 1,0)</f>
        <v>1</v>
      </c>
      <c r="U830" t="str">
        <f>_xlfn.IFS(Table1[[#This Row],[Age]]&lt;=25, "Below 25", Table1[[#This Row],[Age]]&lt;=35, "Between 25-35", Table1[[#This Row],[Age]]&lt;=45, "Between 36-45", Table1[[#This Row],[Age]]&gt;45, "45+")</f>
        <v>Below 25</v>
      </c>
    </row>
    <row r="831" spans="1:21" x14ac:dyDescent="0.3">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c r="T831">
        <f>IF(Table1[[#This Row],[Discount_Applied]]="Yes", 1,0)</f>
        <v>1</v>
      </c>
      <c r="U831" t="str">
        <f>_xlfn.IFS(Table1[[#This Row],[Age]]&lt;=25, "Below 25", Table1[[#This Row],[Age]]&lt;=35, "Between 25-35", Table1[[#This Row],[Age]]&lt;=45, "Between 36-45", Table1[[#This Row],[Age]]&gt;45, "45+")</f>
        <v>Between 36-45</v>
      </c>
    </row>
    <row r="832" spans="1:21" x14ac:dyDescent="0.3">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c r="T832">
        <f>IF(Table1[[#This Row],[Discount_Applied]]="Yes", 1,0)</f>
        <v>1</v>
      </c>
      <c r="U832" t="str">
        <f>_xlfn.IFS(Table1[[#This Row],[Age]]&lt;=25, "Below 25", Table1[[#This Row],[Age]]&lt;=35, "Between 25-35", Table1[[#This Row],[Age]]&lt;=45, "Between 36-45", Table1[[#This Row],[Age]]&gt;45, "45+")</f>
        <v>Between 36-45</v>
      </c>
    </row>
    <row r="833" spans="1:21" x14ac:dyDescent="0.3">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c r="T833">
        <f>IF(Table1[[#This Row],[Discount_Applied]]="Yes", 1,0)</f>
        <v>1</v>
      </c>
      <c r="U833" t="str">
        <f>_xlfn.IFS(Table1[[#This Row],[Age]]&lt;=25, "Below 25", Table1[[#This Row],[Age]]&lt;=35, "Between 25-35", Table1[[#This Row],[Age]]&lt;=45, "Between 36-45", Table1[[#This Row],[Age]]&gt;45, "45+")</f>
        <v>45+</v>
      </c>
    </row>
    <row r="834" spans="1:21" x14ac:dyDescent="0.3">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c r="T834">
        <f>IF(Table1[[#This Row],[Discount_Applied]]="Yes", 1,0)</f>
        <v>1</v>
      </c>
      <c r="U834" t="str">
        <f>_xlfn.IFS(Table1[[#This Row],[Age]]&lt;=25, "Below 25", Table1[[#This Row],[Age]]&lt;=35, "Between 25-35", Table1[[#This Row],[Age]]&lt;=45, "Between 36-45", Table1[[#This Row],[Age]]&gt;45, "45+")</f>
        <v>45+</v>
      </c>
    </row>
    <row r="835" spans="1:21" x14ac:dyDescent="0.3">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c r="T835">
        <f>IF(Table1[[#This Row],[Discount_Applied]]="Yes", 1,0)</f>
        <v>1</v>
      </c>
      <c r="U835" t="str">
        <f>_xlfn.IFS(Table1[[#This Row],[Age]]&lt;=25, "Below 25", Table1[[#This Row],[Age]]&lt;=35, "Between 25-35", Table1[[#This Row],[Age]]&lt;=45, "Between 36-45", Table1[[#This Row],[Age]]&gt;45, "45+")</f>
        <v>Between 36-45</v>
      </c>
    </row>
    <row r="836" spans="1:21" x14ac:dyDescent="0.3">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c r="T836">
        <f>IF(Table1[[#This Row],[Discount_Applied]]="Yes", 1,0)</f>
        <v>1</v>
      </c>
      <c r="U836" t="str">
        <f>_xlfn.IFS(Table1[[#This Row],[Age]]&lt;=25, "Below 25", Table1[[#This Row],[Age]]&lt;=35, "Between 25-35", Table1[[#This Row],[Age]]&lt;=45, "Between 36-45", Table1[[#This Row],[Age]]&gt;45, "45+")</f>
        <v>45+</v>
      </c>
    </row>
    <row r="837" spans="1:21" x14ac:dyDescent="0.3">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c r="T837">
        <f>IF(Table1[[#This Row],[Discount_Applied]]="Yes", 1,0)</f>
        <v>1</v>
      </c>
      <c r="U837" t="str">
        <f>_xlfn.IFS(Table1[[#This Row],[Age]]&lt;=25, "Below 25", Table1[[#This Row],[Age]]&lt;=35, "Between 25-35", Table1[[#This Row],[Age]]&lt;=45, "Between 36-45", Table1[[#This Row],[Age]]&gt;45, "45+")</f>
        <v>Between 25-35</v>
      </c>
    </row>
    <row r="838" spans="1:21" x14ac:dyDescent="0.3">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c r="T838">
        <f>IF(Table1[[#This Row],[Discount_Applied]]="Yes", 1,0)</f>
        <v>1</v>
      </c>
      <c r="U838" t="str">
        <f>_xlfn.IFS(Table1[[#This Row],[Age]]&lt;=25, "Below 25", Table1[[#This Row],[Age]]&lt;=35, "Between 25-35", Table1[[#This Row],[Age]]&lt;=45, "Between 36-45", Table1[[#This Row],[Age]]&gt;45, "45+")</f>
        <v>Below 25</v>
      </c>
    </row>
    <row r="839" spans="1:21" x14ac:dyDescent="0.3">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c r="T839">
        <f>IF(Table1[[#This Row],[Discount_Applied]]="Yes", 1,0)</f>
        <v>1</v>
      </c>
      <c r="U839" t="str">
        <f>_xlfn.IFS(Table1[[#This Row],[Age]]&lt;=25, "Below 25", Table1[[#This Row],[Age]]&lt;=35, "Between 25-35", Table1[[#This Row],[Age]]&lt;=45, "Between 36-45", Table1[[#This Row],[Age]]&gt;45, "45+")</f>
        <v>Below 25</v>
      </c>
    </row>
    <row r="840" spans="1:21" x14ac:dyDescent="0.3">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c r="T840">
        <f>IF(Table1[[#This Row],[Discount_Applied]]="Yes", 1,0)</f>
        <v>1</v>
      </c>
      <c r="U840" t="str">
        <f>_xlfn.IFS(Table1[[#This Row],[Age]]&lt;=25, "Below 25", Table1[[#This Row],[Age]]&lt;=35, "Between 25-35", Table1[[#This Row],[Age]]&lt;=45, "Between 36-45", Table1[[#This Row],[Age]]&gt;45, "45+")</f>
        <v>Between 25-35</v>
      </c>
    </row>
    <row r="841" spans="1:21" x14ac:dyDescent="0.3">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c r="T841">
        <f>IF(Table1[[#This Row],[Discount_Applied]]="Yes", 1,0)</f>
        <v>1</v>
      </c>
      <c r="U841" t="str">
        <f>_xlfn.IFS(Table1[[#This Row],[Age]]&lt;=25, "Below 25", Table1[[#This Row],[Age]]&lt;=35, "Between 25-35", Table1[[#This Row],[Age]]&lt;=45, "Between 36-45", Table1[[#This Row],[Age]]&gt;45, "45+")</f>
        <v>45+</v>
      </c>
    </row>
    <row r="842" spans="1:21" x14ac:dyDescent="0.3">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c r="T842">
        <f>IF(Table1[[#This Row],[Discount_Applied]]="Yes", 1,0)</f>
        <v>1</v>
      </c>
      <c r="U842" t="str">
        <f>_xlfn.IFS(Table1[[#This Row],[Age]]&lt;=25, "Below 25", Table1[[#This Row],[Age]]&lt;=35, "Between 25-35", Table1[[#This Row],[Age]]&lt;=45, "Between 36-45", Table1[[#This Row],[Age]]&gt;45, "45+")</f>
        <v>Between 36-45</v>
      </c>
    </row>
    <row r="843" spans="1:21" x14ac:dyDescent="0.3">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c r="T843">
        <f>IF(Table1[[#This Row],[Discount_Applied]]="Yes", 1,0)</f>
        <v>1</v>
      </c>
      <c r="U843" t="str">
        <f>_xlfn.IFS(Table1[[#This Row],[Age]]&lt;=25, "Below 25", Table1[[#This Row],[Age]]&lt;=35, "Between 25-35", Table1[[#This Row],[Age]]&lt;=45, "Between 36-45", Table1[[#This Row],[Age]]&gt;45, "45+")</f>
        <v>45+</v>
      </c>
    </row>
    <row r="844" spans="1:21" x14ac:dyDescent="0.3">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c r="T844">
        <f>IF(Table1[[#This Row],[Discount_Applied]]="Yes", 1,0)</f>
        <v>1</v>
      </c>
      <c r="U844" t="str">
        <f>_xlfn.IFS(Table1[[#This Row],[Age]]&lt;=25, "Below 25", Table1[[#This Row],[Age]]&lt;=35, "Between 25-35", Table1[[#This Row],[Age]]&lt;=45, "Between 36-45", Table1[[#This Row],[Age]]&gt;45, "45+")</f>
        <v>45+</v>
      </c>
    </row>
    <row r="845" spans="1:21" x14ac:dyDescent="0.3">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c r="T845">
        <f>IF(Table1[[#This Row],[Discount_Applied]]="Yes", 1,0)</f>
        <v>1</v>
      </c>
      <c r="U845" t="str">
        <f>_xlfn.IFS(Table1[[#This Row],[Age]]&lt;=25, "Below 25", Table1[[#This Row],[Age]]&lt;=35, "Between 25-35", Table1[[#This Row],[Age]]&lt;=45, "Between 36-45", Table1[[#This Row],[Age]]&gt;45, "45+")</f>
        <v>45+</v>
      </c>
    </row>
    <row r="846" spans="1:21" x14ac:dyDescent="0.3">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c r="T846">
        <f>IF(Table1[[#This Row],[Discount_Applied]]="Yes", 1,0)</f>
        <v>1</v>
      </c>
      <c r="U846" t="str">
        <f>_xlfn.IFS(Table1[[#This Row],[Age]]&lt;=25, "Below 25", Table1[[#This Row],[Age]]&lt;=35, "Between 25-35", Table1[[#This Row],[Age]]&lt;=45, "Between 36-45", Table1[[#This Row],[Age]]&gt;45, "45+")</f>
        <v>45+</v>
      </c>
    </row>
    <row r="847" spans="1:21" x14ac:dyDescent="0.3">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c r="T847">
        <f>IF(Table1[[#This Row],[Discount_Applied]]="Yes", 1,0)</f>
        <v>1</v>
      </c>
      <c r="U847" t="str">
        <f>_xlfn.IFS(Table1[[#This Row],[Age]]&lt;=25, "Below 25", Table1[[#This Row],[Age]]&lt;=35, "Between 25-35", Table1[[#This Row],[Age]]&lt;=45, "Between 36-45", Table1[[#This Row],[Age]]&gt;45, "45+")</f>
        <v>Between 25-35</v>
      </c>
    </row>
    <row r="848" spans="1:21" x14ac:dyDescent="0.3">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c r="T848">
        <f>IF(Table1[[#This Row],[Discount_Applied]]="Yes", 1,0)</f>
        <v>1</v>
      </c>
      <c r="U848" t="str">
        <f>_xlfn.IFS(Table1[[#This Row],[Age]]&lt;=25, "Below 25", Table1[[#This Row],[Age]]&lt;=35, "Between 25-35", Table1[[#This Row],[Age]]&lt;=45, "Between 36-45", Table1[[#This Row],[Age]]&gt;45, "45+")</f>
        <v>45+</v>
      </c>
    </row>
    <row r="849" spans="1:21" x14ac:dyDescent="0.3">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c r="T849">
        <f>IF(Table1[[#This Row],[Discount_Applied]]="Yes", 1,0)</f>
        <v>1</v>
      </c>
      <c r="U849" t="str">
        <f>_xlfn.IFS(Table1[[#This Row],[Age]]&lt;=25, "Below 25", Table1[[#This Row],[Age]]&lt;=35, "Between 25-35", Table1[[#This Row],[Age]]&lt;=45, "Between 36-45", Table1[[#This Row],[Age]]&gt;45, "45+")</f>
        <v>45+</v>
      </c>
    </row>
    <row r="850" spans="1:21" x14ac:dyDescent="0.3">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c r="T850">
        <f>IF(Table1[[#This Row],[Discount_Applied]]="Yes", 1,0)</f>
        <v>1</v>
      </c>
      <c r="U850" t="str">
        <f>_xlfn.IFS(Table1[[#This Row],[Age]]&lt;=25, "Below 25", Table1[[#This Row],[Age]]&lt;=35, "Between 25-35", Table1[[#This Row],[Age]]&lt;=45, "Between 36-45", Table1[[#This Row],[Age]]&gt;45, "45+")</f>
        <v>45+</v>
      </c>
    </row>
    <row r="851" spans="1:21" x14ac:dyDescent="0.3">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c r="T851">
        <f>IF(Table1[[#This Row],[Discount_Applied]]="Yes", 1,0)</f>
        <v>1</v>
      </c>
      <c r="U851" t="str">
        <f>_xlfn.IFS(Table1[[#This Row],[Age]]&lt;=25, "Below 25", Table1[[#This Row],[Age]]&lt;=35, "Between 25-35", Table1[[#This Row],[Age]]&lt;=45, "Between 36-45", Table1[[#This Row],[Age]]&gt;45, "45+")</f>
        <v>Below 25</v>
      </c>
    </row>
    <row r="852" spans="1:21" x14ac:dyDescent="0.3">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c r="T852">
        <f>IF(Table1[[#This Row],[Discount_Applied]]="Yes", 1,0)</f>
        <v>1</v>
      </c>
      <c r="U852" t="str">
        <f>_xlfn.IFS(Table1[[#This Row],[Age]]&lt;=25, "Below 25", Table1[[#This Row],[Age]]&lt;=35, "Between 25-35", Table1[[#This Row],[Age]]&lt;=45, "Between 36-45", Table1[[#This Row],[Age]]&gt;45, "45+")</f>
        <v>45+</v>
      </c>
    </row>
    <row r="853" spans="1:21" x14ac:dyDescent="0.3">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c r="T853">
        <f>IF(Table1[[#This Row],[Discount_Applied]]="Yes", 1,0)</f>
        <v>1</v>
      </c>
      <c r="U853" t="str">
        <f>_xlfn.IFS(Table1[[#This Row],[Age]]&lt;=25, "Below 25", Table1[[#This Row],[Age]]&lt;=35, "Between 25-35", Table1[[#This Row],[Age]]&lt;=45, "Between 36-45", Table1[[#This Row],[Age]]&gt;45, "45+")</f>
        <v>Between 25-35</v>
      </c>
    </row>
    <row r="854" spans="1:21" x14ac:dyDescent="0.3">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c r="T854">
        <f>IF(Table1[[#This Row],[Discount_Applied]]="Yes", 1,0)</f>
        <v>1</v>
      </c>
      <c r="U854" t="str">
        <f>_xlfn.IFS(Table1[[#This Row],[Age]]&lt;=25, "Below 25", Table1[[#This Row],[Age]]&lt;=35, "Between 25-35", Table1[[#This Row],[Age]]&lt;=45, "Between 36-45", Table1[[#This Row],[Age]]&gt;45, "45+")</f>
        <v>Between 25-35</v>
      </c>
    </row>
    <row r="855" spans="1:21" x14ac:dyDescent="0.3">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c r="T855">
        <f>IF(Table1[[#This Row],[Discount_Applied]]="Yes", 1,0)</f>
        <v>1</v>
      </c>
      <c r="U855" t="str">
        <f>_xlfn.IFS(Table1[[#This Row],[Age]]&lt;=25, "Below 25", Table1[[#This Row],[Age]]&lt;=35, "Between 25-35", Table1[[#This Row],[Age]]&lt;=45, "Between 36-45", Table1[[#This Row],[Age]]&gt;45, "45+")</f>
        <v>45+</v>
      </c>
    </row>
    <row r="856" spans="1:21" x14ac:dyDescent="0.3">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c r="T856">
        <f>IF(Table1[[#This Row],[Discount_Applied]]="Yes", 1,0)</f>
        <v>1</v>
      </c>
      <c r="U856" t="str">
        <f>_xlfn.IFS(Table1[[#This Row],[Age]]&lt;=25, "Below 25", Table1[[#This Row],[Age]]&lt;=35, "Between 25-35", Table1[[#This Row],[Age]]&lt;=45, "Between 36-45", Table1[[#This Row],[Age]]&gt;45, "45+")</f>
        <v>Below 25</v>
      </c>
    </row>
    <row r="857" spans="1:21" x14ac:dyDescent="0.3">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c r="T857">
        <f>IF(Table1[[#This Row],[Discount_Applied]]="Yes", 1,0)</f>
        <v>1</v>
      </c>
      <c r="U857" t="str">
        <f>_xlfn.IFS(Table1[[#This Row],[Age]]&lt;=25, "Below 25", Table1[[#This Row],[Age]]&lt;=35, "Between 25-35", Table1[[#This Row],[Age]]&lt;=45, "Between 36-45", Table1[[#This Row],[Age]]&gt;45, "45+")</f>
        <v>45+</v>
      </c>
    </row>
    <row r="858" spans="1:21" x14ac:dyDescent="0.3">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c r="T858">
        <f>IF(Table1[[#This Row],[Discount_Applied]]="Yes", 1,0)</f>
        <v>1</v>
      </c>
      <c r="U858" t="str">
        <f>_xlfn.IFS(Table1[[#This Row],[Age]]&lt;=25, "Below 25", Table1[[#This Row],[Age]]&lt;=35, "Between 25-35", Table1[[#This Row],[Age]]&lt;=45, "Between 36-45", Table1[[#This Row],[Age]]&gt;45, "45+")</f>
        <v>45+</v>
      </c>
    </row>
    <row r="859" spans="1:21" x14ac:dyDescent="0.3">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c r="T859">
        <f>IF(Table1[[#This Row],[Discount_Applied]]="Yes", 1,0)</f>
        <v>1</v>
      </c>
      <c r="U859" t="str">
        <f>_xlfn.IFS(Table1[[#This Row],[Age]]&lt;=25, "Below 25", Table1[[#This Row],[Age]]&lt;=35, "Between 25-35", Table1[[#This Row],[Age]]&lt;=45, "Between 36-45", Table1[[#This Row],[Age]]&gt;45, "45+")</f>
        <v>Between 36-45</v>
      </c>
    </row>
    <row r="860" spans="1:21" x14ac:dyDescent="0.3">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c r="T860">
        <f>IF(Table1[[#This Row],[Discount_Applied]]="Yes", 1,0)</f>
        <v>1</v>
      </c>
      <c r="U860" t="str">
        <f>_xlfn.IFS(Table1[[#This Row],[Age]]&lt;=25, "Below 25", Table1[[#This Row],[Age]]&lt;=35, "Between 25-35", Table1[[#This Row],[Age]]&lt;=45, "Between 36-45", Table1[[#This Row],[Age]]&gt;45, "45+")</f>
        <v>Below 25</v>
      </c>
    </row>
    <row r="861" spans="1:21" x14ac:dyDescent="0.3">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c r="T861">
        <f>IF(Table1[[#This Row],[Discount_Applied]]="Yes", 1,0)</f>
        <v>1</v>
      </c>
      <c r="U861" t="str">
        <f>_xlfn.IFS(Table1[[#This Row],[Age]]&lt;=25, "Below 25", Table1[[#This Row],[Age]]&lt;=35, "Between 25-35", Table1[[#This Row],[Age]]&lt;=45, "Between 36-45", Table1[[#This Row],[Age]]&gt;45, "45+")</f>
        <v>45+</v>
      </c>
    </row>
    <row r="862" spans="1:21" x14ac:dyDescent="0.3">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c r="T862">
        <f>IF(Table1[[#This Row],[Discount_Applied]]="Yes", 1,0)</f>
        <v>1</v>
      </c>
      <c r="U862" t="str">
        <f>_xlfn.IFS(Table1[[#This Row],[Age]]&lt;=25, "Below 25", Table1[[#This Row],[Age]]&lt;=35, "Between 25-35", Table1[[#This Row],[Age]]&lt;=45, "Between 36-45", Table1[[#This Row],[Age]]&gt;45, "45+")</f>
        <v>Between 25-35</v>
      </c>
    </row>
    <row r="863" spans="1:21" x14ac:dyDescent="0.3">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c r="T863">
        <f>IF(Table1[[#This Row],[Discount_Applied]]="Yes", 1,0)</f>
        <v>1</v>
      </c>
      <c r="U863" t="str">
        <f>_xlfn.IFS(Table1[[#This Row],[Age]]&lt;=25, "Below 25", Table1[[#This Row],[Age]]&lt;=35, "Between 25-35", Table1[[#This Row],[Age]]&lt;=45, "Between 36-45", Table1[[#This Row],[Age]]&gt;45, "45+")</f>
        <v>45+</v>
      </c>
    </row>
    <row r="864" spans="1:21" x14ac:dyDescent="0.3">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c r="T864">
        <f>IF(Table1[[#This Row],[Discount_Applied]]="Yes", 1,0)</f>
        <v>1</v>
      </c>
      <c r="U864" t="str">
        <f>_xlfn.IFS(Table1[[#This Row],[Age]]&lt;=25, "Below 25", Table1[[#This Row],[Age]]&lt;=35, "Between 25-35", Table1[[#This Row],[Age]]&lt;=45, "Between 36-45", Table1[[#This Row],[Age]]&gt;45, "45+")</f>
        <v>Below 25</v>
      </c>
    </row>
    <row r="865" spans="1:21" x14ac:dyDescent="0.3">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c r="T865">
        <f>IF(Table1[[#This Row],[Discount_Applied]]="Yes", 1,0)</f>
        <v>1</v>
      </c>
      <c r="U865" t="str">
        <f>_xlfn.IFS(Table1[[#This Row],[Age]]&lt;=25, "Below 25", Table1[[#This Row],[Age]]&lt;=35, "Between 25-35", Table1[[#This Row],[Age]]&lt;=45, "Between 36-45", Table1[[#This Row],[Age]]&gt;45, "45+")</f>
        <v>45+</v>
      </c>
    </row>
    <row r="866" spans="1:21" x14ac:dyDescent="0.3">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c r="T866">
        <f>IF(Table1[[#This Row],[Discount_Applied]]="Yes", 1,0)</f>
        <v>1</v>
      </c>
      <c r="U866" t="str">
        <f>_xlfn.IFS(Table1[[#This Row],[Age]]&lt;=25, "Below 25", Table1[[#This Row],[Age]]&lt;=35, "Between 25-35", Table1[[#This Row],[Age]]&lt;=45, "Between 36-45", Table1[[#This Row],[Age]]&gt;45, "45+")</f>
        <v>45+</v>
      </c>
    </row>
    <row r="867" spans="1:21" x14ac:dyDescent="0.3">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c r="T867">
        <f>IF(Table1[[#This Row],[Discount_Applied]]="Yes", 1,0)</f>
        <v>1</v>
      </c>
      <c r="U867" t="str">
        <f>_xlfn.IFS(Table1[[#This Row],[Age]]&lt;=25, "Below 25", Table1[[#This Row],[Age]]&lt;=35, "Between 25-35", Table1[[#This Row],[Age]]&lt;=45, "Between 36-45", Table1[[#This Row],[Age]]&gt;45, "45+")</f>
        <v>45+</v>
      </c>
    </row>
    <row r="868" spans="1:21" x14ac:dyDescent="0.3">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c r="T868">
        <f>IF(Table1[[#This Row],[Discount_Applied]]="Yes", 1,0)</f>
        <v>1</v>
      </c>
      <c r="U868" t="str">
        <f>_xlfn.IFS(Table1[[#This Row],[Age]]&lt;=25, "Below 25", Table1[[#This Row],[Age]]&lt;=35, "Between 25-35", Table1[[#This Row],[Age]]&lt;=45, "Between 36-45", Table1[[#This Row],[Age]]&gt;45, "45+")</f>
        <v>45+</v>
      </c>
    </row>
    <row r="869" spans="1:21" x14ac:dyDescent="0.3">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c r="T869">
        <f>IF(Table1[[#This Row],[Discount_Applied]]="Yes", 1,0)</f>
        <v>1</v>
      </c>
      <c r="U869" t="str">
        <f>_xlfn.IFS(Table1[[#This Row],[Age]]&lt;=25, "Below 25", Table1[[#This Row],[Age]]&lt;=35, "Between 25-35", Table1[[#This Row],[Age]]&lt;=45, "Between 36-45", Table1[[#This Row],[Age]]&gt;45, "45+")</f>
        <v>Between 36-45</v>
      </c>
    </row>
    <row r="870" spans="1:21" x14ac:dyDescent="0.3">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c r="T870">
        <f>IF(Table1[[#This Row],[Discount_Applied]]="Yes", 1,0)</f>
        <v>1</v>
      </c>
      <c r="U870" t="str">
        <f>_xlfn.IFS(Table1[[#This Row],[Age]]&lt;=25, "Below 25", Table1[[#This Row],[Age]]&lt;=35, "Between 25-35", Table1[[#This Row],[Age]]&lt;=45, "Between 36-45", Table1[[#This Row],[Age]]&gt;45, "45+")</f>
        <v>Between 36-45</v>
      </c>
    </row>
    <row r="871" spans="1:21" x14ac:dyDescent="0.3">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c r="T871">
        <f>IF(Table1[[#This Row],[Discount_Applied]]="Yes", 1,0)</f>
        <v>1</v>
      </c>
      <c r="U871" t="str">
        <f>_xlfn.IFS(Table1[[#This Row],[Age]]&lt;=25, "Below 25", Table1[[#This Row],[Age]]&lt;=35, "Between 25-35", Table1[[#This Row],[Age]]&lt;=45, "Between 36-45", Table1[[#This Row],[Age]]&gt;45, "45+")</f>
        <v>Between 36-45</v>
      </c>
    </row>
    <row r="872" spans="1:21" x14ac:dyDescent="0.3">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c r="T872">
        <f>IF(Table1[[#This Row],[Discount_Applied]]="Yes", 1,0)</f>
        <v>1</v>
      </c>
      <c r="U872" t="str">
        <f>_xlfn.IFS(Table1[[#This Row],[Age]]&lt;=25, "Below 25", Table1[[#This Row],[Age]]&lt;=35, "Between 25-35", Table1[[#This Row],[Age]]&lt;=45, "Between 36-45", Table1[[#This Row],[Age]]&gt;45, "45+")</f>
        <v>45+</v>
      </c>
    </row>
    <row r="873" spans="1:21" x14ac:dyDescent="0.3">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c r="T873">
        <f>IF(Table1[[#This Row],[Discount_Applied]]="Yes", 1,0)</f>
        <v>1</v>
      </c>
      <c r="U873" t="str">
        <f>_xlfn.IFS(Table1[[#This Row],[Age]]&lt;=25, "Below 25", Table1[[#This Row],[Age]]&lt;=35, "Between 25-35", Table1[[#This Row],[Age]]&lt;=45, "Between 36-45", Table1[[#This Row],[Age]]&gt;45, "45+")</f>
        <v>45+</v>
      </c>
    </row>
    <row r="874" spans="1:21" x14ac:dyDescent="0.3">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c r="T874">
        <f>IF(Table1[[#This Row],[Discount_Applied]]="Yes", 1,0)</f>
        <v>1</v>
      </c>
      <c r="U874" t="str">
        <f>_xlfn.IFS(Table1[[#This Row],[Age]]&lt;=25, "Below 25", Table1[[#This Row],[Age]]&lt;=35, "Between 25-35", Table1[[#This Row],[Age]]&lt;=45, "Between 36-45", Table1[[#This Row],[Age]]&gt;45, "45+")</f>
        <v>45+</v>
      </c>
    </row>
    <row r="875" spans="1:21" x14ac:dyDescent="0.3">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c r="T875">
        <f>IF(Table1[[#This Row],[Discount_Applied]]="Yes", 1,0)</f>
        <v>1</v>
      </c>
      <c r="U875" t="str">
        <f>_xlfn.IFS(Table1[[#This Row],[Age]]&lt;=25, "Below 25", Table1[[#This Row],[Age]]&lt;=35, "Between 25-35", Table1[[#This Row],[Age]]&lt;=45, "Between 36-45", Table1[[#This Row],[Age]]&gt;45, "45+")</f>
        <v>45+</v>
      </c>
    </row>
    <row r="876" spans="1:21" x14ac:dyDescent="0.3">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c r="T876">
        <f>IF(Table1[[#This Row],[Discount_Applied]]="Yes", 1,0)</f>
        <v>1</v>
      </c>
      <c r="U876" t="str">
        <f>_xlfn.IFS(Table1[[#This Row],[Age]]&lt;=25, "Below 25", Table1[[#This Row],[Age]]&lt;=35, "Between 25-35", Table1[[#This Row],[Age]]&lt;=45, "Between 36-45", Table1[[#This Row],[Age]]&gt;45, "45+")</f>
        <v>Below 25</v>
      </c>
    </row>
    <row r="877" spans="1:21" x14ac:dyDescent="0.3">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c r="T877">
        <f>IF(Table1[[#This Row],[Discount_Applied]]="Yes", 1,0)</f>
        <v>1</v>
      </c>
      <c r="U877" t="str">
        <f>_xlfn.IFS(Table1[[#This Row],[Age]]&lt;=25, "Below 25", Table1[[#This Row],[Age]]&lt;=35, "Between 25-35", Table1[[#This Row],[Age]]&lt;=45, "Between 36-45", Table1[[#This Row],[Age]]&gt;45, "45+")</f>
        <v>Between 36-45</v>
      </c>
    </row>
    <row r="878" spans="1:21" x14ac:dyDescent="0.3">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c r="T878">
        <f>IF(Table1[[#This Row],[Discount_Applied]]="Yes", 1,0)</f>
        <v>1</v>
      </c>
      <c r="U878" t="str">
        <f>_xlfn.IFS(Table1[[#This Row],[Age]]&lt;=25, "Below 25", Table1[[#This Row],[Age]]&lt;=35, "Between 25-35", Table1[[#This Row],[Age]]&lt;=45, "Between 36-45", Table1[[#This Row],[Age]]&gt;45, "45+")</f>
        <v>Between 36-45</v>
      </c>
    </row>
    <row r="879" spans="1:21" x14ac:dyDescent="0.3">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c r="T879">
        <f>IF(Table1[[#This Row],[Discount_Applied]]="Yes", 1,0)</f>
        <v>1</v>
      </c>
      <c r="U879" t="str">
        <f>_xlfn.IFS(Table1[[#This Row],[Age]]&lt;=25, "Below 25", Table1[[#This Row],[Age]]&lt;=35, "Between 25-35", Table1[[#This Row],[Age]]&lt;=45, "Between 36-45", Table1[[#This Row],[Age]]&gt;45, "45+")</f>
        <v>45+</v>
      </c>
    </row>
    <row r="880" spans="1:21" x14ac:dyDescent="0.3">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c r="T880">
        <f>IF(Table1[[#This Row],[Discount_Applied]]="Yes", 1,0)</f>
        <v>1</v>
      </c>
      <c r="U880" t="str">
        <f>_xlfn.IFS(Table1[[#This Row],[Age]]&lt;=25, "Below 25", Table1[[#This Row],[Age]]&lt;=35, "Between 25-35", Table1[[#This Row],[Age]]&lt;=45, "Between 36-45", Table1[[#This Row],[Age]]&gt;45, "45+")</f>
        <v>Below 25</v>
      </c>
    </row>
    <row r="881" spans="1:21" x14ac:dyDescent="0.3">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c r="T881">
        <f>IF(Table1[[#This Row],[Discount_Applied]]="Yes", 1,0)</f>
        <v>1</v>
      </c>
      <c r="U881" t="str">
        <f>_xlfn.IFS(Table1[[#This Row],[Age]]&lt;=25, "Below 25", Table1[[#This Row],[Age]]&lt;=35, "Between 25-35", Table1[[#This Row],[Age]]&lt;=45, "Between 36-45", Table1[[#This Row],[Age]]&gt;45, "45+")</f>
        <v>45+</v>
      </c>
    </row>
    <row r="882" spans="1:21" x14ac:dyDescent="0.3">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c r="T882">
        <f>IF(Table1[[#This Row],[Discount_Applied]]="Yes", 1,0)</f>
        <v>1</v>
      </c>
      <c r="U882" t="str">
        <f>_xlfn.IFS(Table1[[#This Row],[Age]]&lt;=25, "Below 25", Table1[[#This Row],[Age]]&lt;=35, "Between 25-35", Table1[[#This Row],[Age]]&lt;=45, "Between 36-45", Table1[[#This Row],[Age]]&gt;45, "45+")</f>
        <v>Between 36-45</v>
      </c>
    </row>
    <row r="883" spans="1:21" x14ac:dyDescent="0.3">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c r="T883">
        <f>IF(Table1[[#This Row],[Discount_Applied]]="Yes", 1,0)</f>
        <v>1</v>
      </c>
      <c r="U883" t="str">
        <f>_xlfn.IFS(Table1[[#This Row],[Age]]&lt;=25, "Below 25", Table1[[#This Row],[Age]]&lt;=35, "Between 25-35", Table1[[#This Row],[Age]]&lt;=45, "Between 36-45", Table1[[#This Row],[Age]]&gt;45, "45+")</f>
        <v>45+</v>
      </c>
    </row>
    <row r="884" spans="1:21" x14ac:dyDescent="0.3">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c r="T884">
        <f>IF(Table1[[#This Row],[Discount_Applied]]="Yes", 1,0)</f>
        <v>1</v>
      </c>
      <c r="U884" t="str">
        <f>_xlfn.IFS(Table1[[#This Row],[Age]]&lt;=25, "Below 25", Table1[[#This Row],[Age]]&lt;=35, "Between 25-35", Table1[[#This Row],[Age]]&lt;=45, "Between 36-45", Table1[[#This Row],[Age]]&gt;45, "45+")</f>
        <v>45+</v>
      </c>
    </row>
    <row r="885" spans="1:21" x14ac:dyDescent="0.3">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c r="T885">
        <f>IF(Table1[[#This Row],[Discount_Applied]]="Yes", 1,0)</f>
        <v>1</v>
      </c>
      <c r="U885" t="str">
        <f>_xlfn.IFS(Table1[[#This Row],[Age]]&lt;=25, "Below 25", Table1[[#This Row],[Age]]&lt;=35, "Between 25-35", Table1[[#This Row],[Age]]&lt;=45, "Between 36-45", Table1[[#This Row],[Age]]&gt;45, "45+")</f>
        <v>Between 25-35</v>
      </c>
    </row>
    <row r="886" spans="1:21" x14ac:dyDescent="0.3">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c r="T886">
        <f>IF(Table1[[#This Row],[Discount_Applied]]="Yes", 1,0)</f>
        <v>1</v>
      </c>
      <c r="U886" t="str">
        <f>_xlfn.IFS(Table1[[#This Row],[Age]]&lt;=25, "Below 25", Table1[[#This Row],[Age]]&lt;=35, "Between 25-35", Table1[[#This Row],[Age]]&lt;=45, "Between 36-45", Table1[[#This Row],[Age]]&gt;45, "45+")</f>
        <v>45+</v>
      </c>
    </row>
    <row r="887" spans="1:21" x14ac:dyDescent="0.3">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c r="T887">
        <f>IF(Table1[[#This Row],[Discount_Applied]]="Yes", 1,0)</f>
        <v>1</v>
      </c>
      <c r="U887" t="str">
        <f>_xlfn.IFS(Table1[[#This Row],[Age]]&lt;=25, "Below 25", Table1[[#This Row],[Age]]&lt;=35, "Between 25-35", Table1[[#This Row],[Age]]&lt;=45, "Between 36-45", Table1[[#This Row],[Age]]&gt;45, "45+")</f>
        <v>Between 36-45</v>
      </c>
    </row>
    <row r="888" spans="1:21" x14ac:dyDescent="0.3">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c r="T888">
        <f>IF(Table1[[#This Row],[Discount_Applied]]="Yes", 1,0)</f>
        <v>1</v>
      </c>
      <c r="U888" t="str">
        <f>_xlfn.IFS(Table1[[#This Row],[Age]]&lt;=25, "Below 25", Table1[[#This Row],[Age]]&lt;=35, "Between 25-35", Table1[[#This Row],[Age]]&lt;=45, "Between 36-45", Table1[[#This Row],[Age]]&gt;45, "45+")</f>
        <v>Below 25</v>
      </c>
    </row>
    <row r="889" spans="1:21" x14ac:dyDescent="0.3">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c r="T889">
        <f>IF(Table1[[#This Row],[Discount_Applied]]="Yes", 1,0)</f>
        <v>1</v>
      </c>
      <c r="U889" t="str">
        <f>_xlfn.IFS(Table1[[#This Row],[Age]]&lt;=25, "Below 25", Table1[[#This Row],[Age]]&lt;=35, "Between 25-35", Table1[[#This Row],[Age]]&lt;=45, "Between 36-45", Table1[[#This Row],[Age]]&gt;45, "45+")</f>
        <v>45+</v>
      </c>
    </row>
    <row r="890" spans="1:21" x14ac:dyDescent="0.3">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c r="T890">
        <f>IF(Table1[[#This Row],[Discount_Applied]]="Yes", 1,0)</f>
        <v>1</v>
      </c>
      <c r="U890" t="str">
        <f>_xlfn.IFS(Table1[[#This Row],[Age]]&lt;=25, "Below 25", Table1[[#This Row],[Age]]&lt;=35, "Between 25-35", Table1[[#This Row],[Age]]&lt;=45, "Between 36-45", Table1[[#This Row],[Age]]&gt;45, "45+")</f>
        <v>45+</v>
      </c>
    </row>
    <row r="891" spans="1:21" x14ac:dyDescent="0.3">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c r="T891">
        <f>IF(Table1[[#This Row],[Discount_Applied]]="Yes", 1,0)</f>
        <v>1</v>
      </c>
      <c r="U891" t="str">
        <f>_xlfn.IFS(Table1[[#This Row],[Age]]&lt;=25, "Below 25", Table1[[#This Row],[Age]]&lt;=35, "Between 25-35", Table1[[#This Row],[Age]]&lt;=45, "Between 36-45", Table1[[#This Row],[Age]]&gt;45, "45+")</f>
        <v>45+</v>
      </c>
    </row>
    <row r="892" spans="1:21" x14ac:dyDescent="0.3">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c r="T892">
        <f>IF(Table1[[#This Row],[Discount_Applied]]="Yes", 1,0)</f>
        <v>1</v>
      </c>
      <c r="U892" t="str">
        <f>_xlfn.IFS(Table1[[#This Row],[Age]]&lt;=25, "Below 25", Table1[[#This Row],[Age]]&lt;=35, "Between 25-35", Table1[[#This Row],[Age]]&lt;=45, "Between 36-45", Table1[[#This Row],[Age]]&gt;45, "45+")</f>
        <v>45+</v>
      </c>
    </row>
    <row r="893" spans="1:21" x14ac:dyDescent="0.3">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c r="T893">
        <f>IF(Table1[[#This Row],[Discount_Applied]]="Yes", 1,0)</f>
        <v>1</v>
      </c>
      <c r="U893" t="str">
        <f>_xlfn.IFS(Table1[[#This Row],[Age]]&lt;=25, "Below 25", Table1[[#This Row],[Age]]&lt;=35, "Between 25-35", Table1[[#This Row],[Age]]&lt;=45, "Between 36-45", Table1[[#This Row],[Age]]&gt;45, "45+")</f>
        <v>Below 25</v>
      </c>
    </row>
    <row r="894" spans="1:21" x14ac:dyDescent="0.3">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c r="T894">
        <f>IF(Table1[[#This Row],[Discount_Applied]]="Yes", 1,0)</f>
        <v>1</v>
      </c>
      <c r="U894" t="str">
        <f>_xlfn.IFS(Table1[[#This Row],[Age]]&lt;=25, "Below 25", Table1[[#This Row],[Age]]&lt;=35, "Between 25-35", Table1[[#This Row],[Age]]&lt;=45, "Between 36-45", Table1[[#This Row],[Age]]&gt;45, "45+")</f>
        <v>Between 25-35</v>
      </c>
    </row>
    <row r="895" spans="1:21" x14ac:dyDescent="0.3">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c r="T895">
        <f>IF(Table1[[#This Row],[Discount_Applied]]="Yes", 1,0)</f>
        <v>1</v>
      </c>
      <c r="U895" t="str">
        <f>_xlfn.IFS(Table1[[#This Row],[Age]]&lt;=25, "Below 25", Table1[[#This Row],[Age]]&lt;=35, "Between 25-35", Table1[[#This Row],[Age]]&lt;=45, "Between 36-45", Table1[[#This Row],[Age]]&gt;45, "45+")</f>
        <v>Between 25-35</v>
      </c>
    </row>
    <row r="896" spans="1:21" x14ac:dyDescent="0.3">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c r="T896">
        <f>IF(Table1[[#This Row],[Discount_Applied]]="Yes", 1,0)</f>
        <v>1</v>
      </c>
      <c r="U896" t="str">
        <f>_xlfn.IFS(Table1[[#This Row],[Age]]&lt;=25, "Below 25", Table1[[#This Row],[Age]]&lt;=35, "Between 25-35", Table1[[#This Row],[Age]]&lt;=45, "Between 36-45", Table1[[#This Row],[Age]]&gt;45, "45+")</f>
        <v>Between 36-45</v>
      </c>
    </row>
    <row r="897" spans="1:21" x14ac:dyDescent="0.3">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c r="T897">
        <f>IF(Table1[[#This Row],[Discount_Applied]]="Yes", 1,0)</f>
        <v>1</v>
      </c>
      <c r="U897" t="str">
        <f>_xlfn.IFS(Table1[[#This Row],[Age]]&lt;=25, "Below 25", Table1[[#This Row],[Age]]&lt;=35, "Between 25-35", Table1[[#This Row],[Age]]&lt;=45, "Between 36-45", Table1[[#This Row],[Age]]&gt;45, "45+")</f>
        <v>Between 36-45</v>
      </c>
    </row>
    <row r="898" spans="1:21" x14ac:dyDescent="0.3">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c r="T898">
        <f>IF(Table1[[#This Row],[Discount_Applied]]="Yes", 1,0)</f>
        <v>1</v>
      </c>
      <c r="U898" t="str">
        <f>_xlfn.IFS(Table1[[#This Row],[Age]]&lt;=25, "Below 25", Table1[[#This Row],[Age]]&lt;=35, "Between 25-35", Table1[[#This Row],[Age]]&lt;=45, "Between 36-45", Table1[[#This Row],[Age]]&gt;45, "45+")</f>
        <v>45+</v>
      </c>
    </row>
    <row r="899" spans="1:21" x14ac:dyDescent="0.3">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c r="T899">
        <f>IF(Table1[[#This Row],[Discount_Applied]]="Yes", 1,0)</f>
        <v>1</v>
      </c>
      <c r="U899" t="str">
        <f>_xlfn.IFS(Table1[[#This Row],[Age]]&lt;=25, "Below 25", Table1[[#This Row],[Age]]&lt;=35, "Between 25-35", Table1[[#This Row],[Age]]&lt;=45, "Between 36-45", Table1[[#This Row],[Age]]&gt;45, "45+")</f>
        <v>Between 25-35</v>
      </c>
    </row>
    <row r="900" spans="1:21" x14ac:dyDescent="0.3">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c r="T900">
        <f>IF(Table1[[#This Row],[Discount_Applied]]="Yes", 1,0)</f>
        <v>1</v>
      </c>
      <c r="U900" t="str">
        <f>_xlfn.IFS(Table1[[#This Row],[Age]]&lt;=25, "Below 25", Table1[[#This Row],[Age]]&lt;=35, "Between 25-35", Table1[[#This Row],[Age]]&lt;=45, "Between 36-45", Table1[[#This Row],[Age]]&gt;45, "45+")</f>
        <v>45+</v>
      </c>
    </row>
    <row r="901" spans="1:21" x14ac:dyDescent="0.3">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c r="T901">
        <f>IF(Table1[[#This Row],[Discount_Applied]]="Yes", 1,0)</f>
        <v>1</v>
      </c>
      <c r="U901" t="str">
        <f>_xlfn.IFS(Table1[[#This Row],[Age]]&lt;=25, "Below 25", Table1[[#This Row],[Age]]&lt;=35, "Between 25-35", Table1[[#This Row],[Age]]&lt;=45, "Between 36-45", Table1[[#This Row],[Age]]&gt;45, "45+")</f>
        <v>45+</v>
      </c>
    </row>
    <row r="902" spans="1:21" x14ac:dyDescent="0.3">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c r="T902">
        <f>IF(Table1[[#This Row],[Discount_Applied]]="Yes", 1,0)</f>
        <v>1</v>
      </c>
      <c r="U902" t="str">
        <f>_xlfn.IFS(Table1[[#This Row],[Age]]&lt;=25, "Below 25", Table1[[#This Row],[Age]]&lt;=35, "Between 25-35", Table1[[#This Row],[Age]]&lt;=45, "Between 36-45", Table1[[#This Row],[Age]]&gt;45, "45+")</f>
        <v>45+</v>
      </c>
    </row>
    <row r="903" spans="1:21" x14ac:dyDescent="0.3">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c r="T903">
        <f>IF(Table1[[#This Row],[Discount_Applied]]="Yes", 1,0)</f>
        <v>1</v>
      </c>
      <c r="U903" t="str">
        <f>_xlfn.IFS(Table1[[#This Row],[Age]]&lt;=25, "Below 25", Table1[[#This Row],[Age]]&lt;=35, "Between 25-35", Table1[[#This Row],[Age]]&lt;=45, "Between 36-45", Table1[[#This Row],[Age]]&gt;45, "45+")</f>
        <v>45+</v>
      </c>
    </row>
    <row r="904" spans="1:21" x14ac:dyDescent="0.3">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c r="T904">
        <f>IF(Table1[[#This Row],[Discount_Applied]]="Yes", 1,0)</f>
        <v>1</v>
      </c>
      <c r="U904" t="str">
        <f>_xlfn.IFS(Table1[[#This Row],[Age]]&lt;=25, "Below 25", Table1[[#This Row],[Age]]&lt;=35, "Between 25-35", Table1[[#This Row],[Age]]&lt;=45, "Between 36-45", Table1[[#This Row],[Age]]&gt;45, "45+")</f>
        <v>Between 36-45</v>
      </c>
    </row>
    <row r="905" spans="1:21" x14ac:dyDescent="0.3">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c r="T905">
        <f>IF(Table1[[#This Row],[Discount_Applied]]="Yes", 1,0)</f>
        <v>1</v>
      </c>
      <c r="U905" t="str">
        <f>_xlfn.IFS(Table1[[#This Row],[Age]]&lt;=25, "Below 25", Table1[[#This Row],[Age]]&lt;=35, "Between 25-35", Table1[[#This Row],[Age]]&lt;=45, "Between 36-45", Table1[[#This Row],[Age]]&gt;45, "45+")</f>
        <v>Between 36-45</v>
      </c>
    </row>
    <row r="906" spans="1:21" x14ac:dyDescent="0.3">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c r="T906">
        <f>IF(Table1[[#This Row],[Discount_Applied]]="Yes", 1,0)</f>
        <v>1</v>
      </c>
      <c r="U906" t="str">
        <f>_xlfn.IFS(Table1[[#This Row],[Age]]&lt;=25, "Below 25", Table1[[#This Row],[Age]]&lt;=35, "Between 25-35", Table1[[#This Row],[Age]]&lt;=45, "Between 36-45", Table1[[#This Row],[Age]]&gt;45, "45+")</f>
        <v>45+</v>
      </c>
    </row>
    <row r="907" spans="1:21" x14ac:dyDescent="0.3">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c r="T907">
        <f>IF(Table1[[#This Row],[Discount_Applied]]="Yes", 1,0)</f>
        <v>1</v>
      </c>
      <c r="U907" t="str">
        <f>_xlfn.IFS(Table1[[#This Row],[Age]]&lt;=25, "Below 25", Table1[[#This Row],[Age]]&lt;=35, "Between 25-35", Table1[[#This Row],[Age]]&lt;=45, "Between 36-45", Table1[[#This Row],[Age]]&gt;45, "45+")</f>
        <v>45+</v>
      </c>
    </row>
    <row r="908" spans="1:21" x14ac:dyDescent="0.3">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c r="T908">
        <f>IF(Table1[[#This Row],[Discount_Applied]]="Yes", 1,0)</f>
        <v>1</v>
      </c>
      <c r="U908" t="str">
        <f>_xlfn.IFS(Table1[[#This Row],[Age]]&lt;=25, "Below 25", Table1[[#This Row],[Age]]&lt;=35, "Between 25-35", Table1[[#This Row],[Age]]&lt;=45, "Between 36-45", Table1[[#This Row],[Age]]&gt;45, "45+")</f>
        <v>Between 36-45</v>
      </c>
    </row>
    <row r="909" spans="1:21" x14ac:dyDescent="0.3">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c r="T909">
        <f>IF(Table1[[#This Row],[Discount_Applied]]="Yes", 1,0)</f>
        <v>1</v>
      </c>
      <c r="U909" t="str">
        <f>_xlfn.IFS(Table1[[#This Row],[Age]]&lt;=25, "Below 25", Table1[[#This Row],[Age]]&lt;=35, "Between 25-35", Table1[[#This Row],[Age]]&lt;=45, "Between 36-45", Table1[[#This Row],[Age]]&gt;45, "45+")</f>
        <v>Between 25-35</v>
      </c>
    </row>
    <row r="910" spans="1:21" x14ac:dyDescent="0.3">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c r="T910">
        <f>IF(Table1[[#This Row],[Discount_Applied]]="Yes", 1,0)</f>
        <v>1</v>
      </c>
      <c r="U910" t="str">
        <f>_xlfn.IFS(Table1[[#This Row],[Age]]&lt;=25, "Below 25", Table1[[#This Row],[Age]]&lt;=35, "Between 25-35", Table1[[#This Row],[Age]]&lt;=45, "Between 36-45", Table1[[#This Row],[Age]]&gt;45, "45+")</f>
        <v>Between 25-35</v>
      </c>
    </row>
    <row r="911" spans="1:21" x14ac:dyDescent="0.3">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c r="T911">
        <f>IF(Table1[[#This Row],[Discount_Applied]]="Yes", 1,0)</f>
        <v>1</v>
      </c>
      <c r="U911" t="str">
        <f>_xlfn.IFS(Table1[[#This Row],[Age]]&lt;=25, "Below 25", Table1[[#This Row],[Age]]&lt;=35, "Between 25-35", Table1[[#This Row],[Age]]&lt;=45, "Between 36-45", Table1[[#This Row],[Age]]&gt;45, "45+")</f>
        <v>45+</v>
      </c>
    </row>
    <row r="912" spans="1:21" x14ac:dyDescent="0.3">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c r="T912">
        <f>IF(Table1[[#This Row],[Discount_Applied]]="Yes", 1,0)</f>
        <v>1</v>
      </c>
      <c r="U912" t="str">
        <f>_xlfn.IFS(Table1[[#This Row],[Age]]&lt;=25, "Below 25", Table1[[#This Row],[Age]]&lt;=35, "Between 25-35", Table1[[#This Row],[Age]]&lt;=45, "Between 36-45", Table1[[#This Row],[Age]]&gt;45, "45+")</f>
        <v>45+</v>
      </c>
    </row>
    <row r="913" spans="1:21" x14ac:dyDescent="0.3">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c r="T913">
        <f>IF(Table1[[#This Row],[Discount_Applied]]="Yes", 1,0)</f>
        <v>1</v>
      </c>
      <c r="U913" t="str">
        <f>_xlfn.IFS(Table1[[#This Row],[Age]]&lt;=25, "Below 25", Table1[[#This Row],[Age]]&lt;=35, "Between 25-35", Table1[[#This Row],[Age]]&lt;=45, "Between 36-45", Table1[[#This Row],[Age]]&gt;45, "45+")</f>
        <v>45+</v>
      </c>
    </row>
    <row r="914" spans="1:21" x14ac:dyDescent="0.3">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c r="T914">
        <f>IF(Table1[[#This Row],[Discount_Applied]]="Yes", 1,0)</f>
        <v>1</v>
      </c>
      <c r="U914" t="str">
        <f>_xlfn.IFS(Table1[[#This Row],[Age]]&lt;=25, "Below 25", Table1[[#This Row],[Age]]&lt;=35, "Between 25-35", Table1[[#This Row],[Age]]&lt;=45, "Between 36-45", Table1[[#This Row],[Age]]&gt;45, "45+")</f>
        <v>Below 25</v>
      </c>
    </row>
    <row r="915" spans="1:21" x14ac:dyDescent="0.3">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c r="T915">
        <f>IF(Table1[[#This Row],[Discount_Applied]]="Yes", 1,0)</f>
        <v>1</v>
      </c>
      <c r="U915" t="str">
        <f>_xlfn.IFS(Table1[[#This Row],[Age]]&lt;=25, "Below 25", Table1[[#This Row],[Age]]&lt;=35, "Between 25-35", Table1[[#This Row],[Age]]&lt;=45, "Between 36-45", Table1[[#This Row],[Age]]&gt;45, "45+")</f>
        <v>Between 36-45</v>
      </c>
    </row>
    <row r="916" spans="1:21" x14ac:dyDescent="0.3">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c r="T916">
        <f>IF(Table1[[#This Row],[Discount_Applied]]="Yes", 1,0)</f>
        <v>1</v>
      </c>
      <c r="U916" t="str">
        <f>_xlfn.IFS(Table1[[#This Row],[Age]]&lt;=25, "Below 25", Table1[[#This Row],[Age]]&lt;=35, "Between 25-35", Table1[[#This Row],[Age]]&lt;=45, "Between 36-45", Table1[[#This Row],[Age]]&gt;45, "45+")</f>
        <v>Between 36-45</v>
      </c>
    </row>
    <row r="917" spans="1:21" x14ac:dyDescent="0.3">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c r="T917">
        <f>IF(Table1[[#This Row],[Discount_Applied]]="Yes", 1,0)</f>
        <v>1</v>
      </c>
      <c r="U917" t="str">
        <f>_xlfn.IFS(Table1[[#This Row],[Age]]&lt;=25, "Below 25", Table1[[#This Row],[Age]]&lt;=35, "Between 25-35", Table1[[#This Row],[Age]]&lt;=45, "Between 36-45", Table1[[#This Row],[Age]]&gt;45, "45+")</f>
        <v>Between 25-35</v>
      </c>
    </row>
    <row r="918" spans="1:21" x14ac:dyDescent="0.3">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c r="T918">
        <f>IF(Table1[[#This Row],[Discount_Applied]]="Yes", 1,0)</f>
        <v>1</v>
      </c>
      <c r="U918" t="str">
        <f>_xlfn.IFS(Table1[[#This Row],[Age]]&lt;=25, "Below 25", Table1[[#This Row],[Age]]&lt;=35, "Between 25-35", Table1[[#This Row],[Age]]&lt;=45, "Between 36-45", Table1[[#This Row],[Age]]&gt;45, "45+")</f>
        <v>45+</v>
      </c>
    </row>
    <row r="919" spans="1:21" x14ac:dyDescent="0.3">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c r="T919">
        <f>IF(Table1[[#This Row],[Discount_Applied]]="Yes", 1,0)</f>
        <v>1</v>
      </c>
      <c r="U919" t="str">
        <f>_xlfn.IFS(Table1[[#This Row],[Age]]&lt;=25, "Below 25", Table1[[#This Row],[Age]]&lt;=35, "Between 25-35", Table1[[#This Row],[Age]]&lt;=45, "Between 36-45", Table1[[#This Row],[Age]]&gt;45, "45+")</f>
        <v>45+</v>
      </c>
    </row>
    <row r="920" spans="1:21" x14ac:dyDescent="0.3">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c r="T920">
        <f>IF(Table1[[#This Row],[Discount_Applied]]="Yes", 1,0)</f>
        <v>1</v>
      </c>
      <c r="U920" t="str">
        <f>_xlfn.IFS(Table1[[#This Row],[Age]]&lt;=25, "Below 25", Table1[[#This Row],[Age]]&lt;=35, "Between 25-35", Table1[[#This Row],[Age]]&lt;=45, "Between 36-45", Table1[[#This Row],[Age]]&gt;45, "45+")</f>
        <v>45+</v>
      </c>
    </row>
    <row r="921" spans="1:21" x14ac:dyDescent="0.3">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c r="T921">
        <f>IF(Table1[[#This Row],[Discount_Applied]]="Yes", 1,0)</f>
        <v>1</v>
      </c>
      <c r="U921" t="str">
        <f>_xlfn.IFS(Table1[[#This Row],[Age]]&lt;=25, "Below 25", Table1[[#This Row],[Age]]&lt;=35, "Between 25-35", Table1[[#This Row],[Age]]&lt;=45, "Between 36-45", Table1[[#This Row],[Age]]&gt;45, "45+")</f>
        <v>Between 36-45</v>
      </c>
    </row>
    <row r="922" spans="1:21" x14ac:dyDescent="0.3">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c r="T922">
        <f>IF(Table1[[#This Row],[Discount_Applied]]="Yes", 1,0)</f>
        <v>1</v>
      </c>
      <c r="U922" t="str">
        <f>_xlfn.IFS(Table1[[#This Row],[Age]]&lt;=25, "Below 25", Table1[[#This Row],[Age]]&lt;=35, "Between 25-35", Table1[[#This Row],[Age]]&lt;=45, "Between 36-45", Table1[[#This Row],[Age]]&gt;45, "45+")</f>
        <v>Between 36-45</v>
      </c>
    </row>
    <row r="923" spans="1:21" x14ac:dyDescent="0.3">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c r="T923">
        <f>IF(Table1[[#This Row],[Discount_Applied]]="Yes", 1,0)</f>
        <v>1</v>
      </c>
      <c r="U923" t="str">
        <f>_xlfn.IFS(Table1[[#This Row],[Age]]&lt;=25, "Below 25", Table1[[#This Row],[Age]]&lt;=35, "Between 25-35", Table1[[#This Row],[Age]]&lt;=45, "Between 36-45", Table1[[#This Row],[Age]]&gt;45, "45+")</f>
        <v>45+</v>
      </c>
    </row>
    <row r="924" spans="1:21" x14ac:dyDescent="0.3">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c r="T924">
        <f>IF(Table1[[#This Row],[Discount_Applied]]="Yes", 1,0)</f>
        <v>1</v>
      </c>
      <c r="U924" t="str">
        <f>_xlfn.IFS(Table1[[#This Row],[Age]]&lt;=25, "Below 25", Table1[[#This Row],[Age]]&lt;=35, "Between 25-35", Table1[[#This Row],[Age]]&lt;=45, "Between 36-45", Table1[[#This Row],[Age]]&gt;45, "45+")</f>
        <v>45+</v>
      </c>
    </row>
    <row r="925" spans="1:21" x14ac:dyDescent="0.3">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c r="T925">
        <f>IF(Table1[[#This Row],[Discount_Applied]]="Yes", 1,0)</f>
        <v>1</v>
      </c>
      <c r="U925" t="str">
        <f>_xlfn.IFS(Table1[[#This Row],[Age]]&lt;=25, "Below 25", Table1[[#This Row],[Age]]&lt;=35, "Between 25-35", Table1[[#This Row],[Age]]&lt;=45, "Between 36-45", Table1[[#This Row],[Age]]&gt;45, "45+")</f>
        <v>45+</v>
      </c>
    </row>
    <row r="926" spans="1:21" x14ac:dyDescent="0.3">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c r="T926">
        <f>IF(Table1[[#This Row],[Discount_Applied]]="Yes", 1,0)</f>
        <v>1</v>
      </c>
      <c r="U926" t="str">
        <f>_xlfn.IFS(Table1[[#This Row],[Age]]&lt;=25, "Below 25", Table1[[#This Row],[Age]]&lt;=35, "Between 25-35", Table1[[#This Row],[Age]]&lt;=45, "Between 36-45", Table1[[#This Row],[Age]]&gt;45, "45+")</f>
        <v>45+</v>
      </c>
    </row>
    <row r="927" spans="1:21" x14ac:dyDescent="0.3">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c r="T927">
        <f>IF(Table1[[#This Row],[Discount_Applied]]="Yes", 1,0)</f>
        <v>1</v>
      </c>
      <c r="U927" t="str">
        <f>_xlfn.IFS(Table1[[#This Row],[Age]]&lt;=25, "Below 25", Table1[[#This Row],[Age]]&lt;=35, "Between 25-35", Table1[[#This Row],[Age]]&lt;=45, "Between 36-45", Table1[[#This Row],[Age]]&gt;45, "45+")</f>
        <v>Below 25</v>
      </c>
    </row>
    <row r="928" spans="1:21" x14ac:dyDescent="0.3">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c r="T928">
        <f>IF(Table1[[#This Row],[Discount_Applied]]="Yes", 1,0)</f>
        <v>1</v>
      </c>
      <c r="U928" t="str">
        <f>_xlfn.IFS(Table1[[#This Row],[Age]]&lt;=25, "Below 25", Table1[[#This Row],[Age]]&lt;=35, "Between 25-35", Table1[[#This Row],[Age]]&lt;=45, "Between 36-45", Table1[[#This Row],[Age]]&gt;45, "45+")</f>
        <v>45+</v>
      </c>
    </row>
    <row r="929" spans="1:21" x14ac:dyDescent="0.3">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c r="T929">
        <f>IF(Table1[[#This Row],[Discount_Applied]]="Yes", 1,0)</f>
        <v>1</v>
      </c>
      <c r="U929" t="str">
        <f>_xlfn.IFS(Table1[[#This Row],[Age]]&lt;=25, "Below 25", Table1[[#This Row],[Age]]&lt;=35, "Between 25-35", Table1[[#This Row],[Age]]&lt;=45, "Between 36-45", Table1[[#This Row],[Age]]&gt;45, "45+")</f>
        <v>Between 25-35</v>
      </c>
    </row>
    <row r="930" spans="1:21" x14ac:dyDescent="0.3">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c r="T930">
        <f>IF(Table1[[#This Row],[Discount_Applied]]="Yes", 1,0)</f>
        <v>1</v>
      </c>
      <c r="U930" t="str">
        <f>_xlfn.IFS(Table1[[#This Row],[Age]]&lt;=25, "Below 25", Table1[[#This Row],[Age]]&lt;=35, "Between 25-35", Table1[[#This Row],[Age]]&lt;=45, "Between 36-45", Table1[[#This Row],[Age]]&gt;45, "45+")</f>
        <v>45+</v>
      </c>
    </row>
    <row r="931" spans="1:21" x14ac:dyDescent="0.3">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c r="T931">
        <f>IF(Table1[[#This Row],[Discount_Applied]]="Yes", 1,0)</f>
        <v>1</v>
      </c>
      <c r="U931" t="str">
        <f>_xlfn.IFS(Table1[[#This Row],[Age]]&lt;=25, "Below 25", Table1[[#This Row],[Age]]&lt;=35, "Between 25-35", Table1[[#This Row],[Age]]&lt;=45, "Between 36-45", Table1[[#This Row],[Age]]&gt;45, "45+")</f>
        <v>45+</v>
      </c>
    </row>
    <row r="932" spans="1:21" x14ac:dyDescent="0.3">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c r="T932">
        <f>IF(Table1[[#This Row],[Discount_Applied]]="Yes", 1,0)</f>
        <v>1</v>
      </c>
      <c r="U932" t="str">
        <f>_xlfn.IFS(Table1[[#This Row],[Age]]&lt;=25, "Below 25", Table1[[#This Row],[Age]]&lt;=35, "Between 25-35", Table1[[#This Row],[Age]]&lt;=45, "Between 36-45", Table1[[#This Row],[Age]]&gt;45, "45+")</f>
        <v>Between 25-35</v>
      </c>
    </row>
    <row r="933" spans="1:21" x14ac:dyDescent="0.3">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c r="T933">
        <f>IF(Table1[[#This Row],[Discount_Applied]]="Yes", 1,0)</f>
        <v>1</v>
      </c>
      <c r="U933" t="str">
        <f>_xlfn.IFS(Table1[[#This Row],[Age]]&lt;=25, "Below 25", Table1[[#This Row],[Age]]&lt;=35, "Between 25-35", Table1[[#This Row],[Age]]&lt;=45, "Between 36-45", Table1[[#This Row],[Age]]&gt;45, "45+")</f>
        <v>Below 25</v>
      </c>
    </row>
    <row r="934" spans="1:21" x14ac:dyDescent="0.3">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c r="T934">
        <f>IF(Table1[[#This Row],[Discount_Applied]]="Yes", 1,0)</f>
        <v>1</v>
      </c>
      <c r="U934" t="str">
        <f>_xlfn.IFS(Table1[[#This Row],[Age]]&lt;=25, "Below 25", Table1[[#This Row],[Age]]&lt;=35, "Between 25-35", Table1[[#This Row],[Age]]&lt;=45, "Between 36-45", Table1[[#This Row],[Age]]&gt;45, "45+")</f>
        <v>45+</v>
      </c>
    </row>
    <row r="935" spans="1:21" x14ac:dyDescent="0.3">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c r="T935">
        <f>IF(Table1[[#This Row],[Discount_Applied]]="Yes", 1,0)</f>
        <v>1</v>
      </c>
      <c r="U935" t="str">
        <f>_xlfn.IFS(Table1[[#This Row],[Age]]&lt;=25, "Below 25", Table1[[#This Row],[Age]]&lt;=35, "Between 25-35", Table1[[#This Row],[Age]]&lt;=45, "Between 36-45", Table1[[#This Row],[Age]]&gt;45, "45+")</f>
        <v>45+</v>
      </c>
    </row>
    <row r="936" spans="1:21" x14ac:dyDescent="0.3">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c r="T936">
        <f>IF(Table1[[#This Row],[Discount_Applied]]="Yes", 1,0)</f>
        <v>1</v>
      </c>
      <c r="U936" t="str">
        <f>_xlfn.IFS(Table1[[#This Row],[Age]]&lt;=25, "Below 25", Table1[[#This Row],[Age]]&lt;=35, "Between 25-35", Table1[[#This Row],[Age]]&lt;=45, "Between 36-45", Table1[[#This Row],[Age]]&gt;45, "45+")</f>
        <v>Between 36-45</v>
      </c>
    </row>
    <row r="937" spans="1:21" x14ac:dyDescent="0.3">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c r="T937">
        <f>IF(Table1[[#This Row],[Discount_Applied]]="Yes", 1,0)</f>
        <v>1</v>
      </c>
      <c r="U937" t="str">
        <f>_xlfn.IFS(Table1[[#This Row],[Age]]&lt;=25, "Below 25", Table1[[#This Row],[Age]]&lt;=35, "Between 25-35", Table1[[#This Row],[Age]]&lt;=45, "Between 36-45", Table1[[#This Row],[Age]]&gt;45, "45+")</f>
        <v>45+</v>
      </c>
    </row>
    <row r="938" spans="1:21" x14ac:dyDescent="0.3">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c r="T938">
        <f>IF(Table1[[#This Row],[Discount_Applied]]="Yes", 1,0)</f>
        <v>1</v>
      </c>
      <c r="U938" t="str">
        <f>_xlfn.IFS(Table1[[#This Row],[Age]]&lt;=25, "Below 25", Table1[[#This Row],[Age]]&lt;=35, "Between 25-35", Table1[[#This Row],[Age]]&lt;=45, "Between 36-45", Table1[[#This Row],[Age]]&gt;45, "45+")</f>
        <v>Between 25-35</v>
      </c>
    </row>
    <row r="939" spans="1:21" x14ac:dyDescent="0.3">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c r="T939">
        <f>IF(Table1[[#This Row],[Discount_Applied]]="Yes", 1,0)</f>
        <v>1</v>
      </c>
      <c r="U939" t="str">
        <f>_xlfn.IFS(Table1[[#This Row],[Age]]&lt;=25, "Below 25", Table1[[#This Row],[Age]]&lt;=35, "Between 25-35", Table1[[#This Row],[Age]]&lt;=45, "Between 36-45", Table1[[#This Row],[Age]]&gt;45, "45+")</f>
        <v>Between 25-35</v>
      </c>
    </row>
    <row r="940" spans="1:21" x14ac:dyDescent="0.3">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c r="T940">
        <f>IF(Table1[[#This Row],[Discount_Applied]]="Yes", 1,0)</f>
        <v>1</v>
      </c>
      <c r="U940" t="str">
        <f>_xlfn.IFS(Table1[[#This Row],[Age]]&lt;=25, "Below 25", Table1[[#This Row],[Age]]&lt;=35, "Between 25-35", Table1[[#This Row],[Age]]&lt;=45, "Between 36-45", Table1[[#This Row],[Age]]&gt;45, "45+")</f>
        <v>Between 36-45</v>
      </c>
    </row>
    <row r="941" spans="1:21" x14ac:dyDescent="0.3">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c r="T941">
        <f>IF(Table1[[#This Row],[Discount_Applied]]="Yes", 1,0)</f>
        <v>1</v>
      </c>
      <c r="U941" t="str">
        <f>_xlfn.IFS(Table1[[#This Row],[Age]]&lt;=25, "Below 25", Table1[[#This Row],[Age]]&lt;=35, "Between 25-35", Table1[[#This Row],[Age]]&lt;=45, "Between 36-45", Table1[[#This Row],[Age]]&gt;45, "45+")</f>
        <v>Below 25</v>
      </c>
    </row>
    <row r="942" spans="1:21" x14ac:dyDescent="0.3">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c r="T942">
        <f>IF(Table1[[#This Row],[Discount_Applied]]="Yes", 1,0)</f>
        <v>1</v>
      </c>
      <c r="U942" t="str">
        <f>_xlfn.IFS(Table1[[#This Row],[Age]]&lt;=25, "Below 25", Table1[[#This Row],[Age]]&lt;=35, "Between 25-35", Table1[[#This Row],[Age]]&lt;=45, "Between 36-45", Table1[[#This Row],[Age]]&gt;45, "45+")</f>
        <v>45+</v>
      </c>
    </row>
    <row r="943" spans="1:21" x14ac:dyDescent="0.3">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c r="T943">
        <f>IF(Table1[[#This Row],[Discount_Applied]]="Yes", 1,0)</f>
        <v>1</v>
      </c>
      <c r="U943" t="str">
        <f>_xlfn.IFS(Table1[[#This Row],[Age]]&lt;=25, "Below 25", Table1[[#This Row],[Age]]&lt;=35, "Between 25-35", Table1[[#This Row],[Age]]&lt;=45, "Between 36-45", Table1[[#This Row],[Age]]&gt;45, "45+")</f>
        <v>Between 36-45</v>
      </c>
    </row>
    <row r="944" spans="1:21" x14ac:dyDescent="0.3">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c r="T944">
        <f>IF(Table1[[#This Row],[Discount_Applied]]="Yes", 1,0)</f>
        <v>1</v>
      </c>
      <c r="U944" t="str">
        <f>_xlfn.IFS(Table1[[#This Row],[Age]]&lt;=25, "Below 25", Table1[[#This Row],[Age]]&lt;=35, "Between 25-35", Table1[[#This Row],[Age]]&lt;=45, "Between 36-45", Table1[[#This Row],[Age]]&gt;45, "45+")</f>
        <v>Between 25-35</v>
      </c>
    </row>
    <row r="945" spans="1:21" x14ac:dyDescent="0.3">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c r="T945">
        <f>IF(Table1[[#This Row],[Discount_Applied]]="Yes", 1,0)</f>
        <v>1</v>
      </c>
      <c r="U945" t="str">
        <f>_xlfn.IFS(Table1[[#This Row],[Age]]&lt;=25, "Below 25", Table1[[#This Row],[Age]]&lt;=35, "Between 25-35", Table1[[#This Row],[Age]]&lt;=45, "Between 36-45", Table1[[#This Row],[Age]]&gt;45, "45+")</f>
        <v>Between 25-35</v>
      </c>
    </row>
    <row r="946" spans="1:21" x14ac:dyDescent="0.3">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c r="T946">
        <f>IF(Table1[[#This Row],[Discount_Applied]]="Yes", 1,0)</f>
        <v>1</v>
      </c>
      <c r="U946" t="str">
        <f>_xlfn.IFS(Table1[[#This Row],[Age]]&lt;=25, "Below 25", Table1[[#This Row],[Age]]&lt;=35, "Between 25-35", Table1[[#This Row],[Age]]&lt;=45, "Between 36-45", Table1[[#This Row],[Age]]&gt;45, "45+")</f>
        <v>45+</v>
      </c>
    </row>
    <row r="947" spans="1:21" x14ac:dyDescent="0.3">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c r="T947">
        <f>IF(Table1[[#This Row],[Discount_Applied]]="Yes", 1,0)</f>
        <v>1</v>
      </c>
      <c r="U947" t="str">
        <f>_xlfn.IFS(Table1[[#This Row],[Age]]&lt;=25, "Below 25", Table1[[#This Row],[Age]]&lt;=35, "Between 25-35", Table1[[#This Row],[Age]]&lt;=45, "Between 36-45", Table1[[#This Row],[Age]]&gt;45, "45+")</f>
        <v>Between 36-45</v>
      </c>
    </row>
    <row r="948" spans="1:21" x14ac:dyDescent="0.3">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c r="T948">
        <f>IF(Table1[[#This Row],[Discount_Applied]]="Yes", 1,0)</f>
        <v>1</v>
      </c>
      <c r="U948" t="str">
        <f>_xlfn.IFS(Table1[[#This Row],[Age]]&lt;=25, "Below 25", Table1[[#This Row],[Age]]&lt;=35, "Between 25-35", Table1[[#This Row],[Age]]&lt;=45, "Between 36-45", Table1[[#This Row],[Age]]&gt;45, "45+")</f>
        <v>45+</v>
      </c>
    </row>
    <row r="949" spans="1:21" x14ac:dyDescent="0.3">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c r="T949">
        <f>IF(Table1[[#This Row],[Discount_Applied]]="Yes", 1,0)</f>
        <v>1</v>
      </c>
      <c r="U949" t="str">
        <f>_xlfn.IFS(Table1[[#This Row],[Age]]&lt;=25, "Below 25", Table1[[#This Row],[Age]]&lt;=35, "Between 25-35", Table1[[#This Row],[Age]]&lt;=45, "Between 36-45", Table1[[#This Row],[Age]]&gt;45, "45+")</f>
        <v>45+</v>
      </c>
    </row>
    <row r="950" spans="1:21" x14ac:dyDescent="0.3">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c r="T950">
        <f>IF(Table1[[#This Row],[Discount_Applied]]="Yes", 1,0)</f>
        <v>1</v>
      </c>
      <c r="U950" t="str">
        <f>_xlfn.IFS(Table1[[#This Row],[Age]]&lt;=25, "Below 25", Table1[[#This Row],[Age]]&lt;=35, "Between 25-35", Table1[[#This Row],[Age]]&lt;=45, "Between 36-45", Table1[[#This Row],[Age]]&gt;45, "45+")</f>
        <v>45+</v>
      </c>
    </row>
    <row r="951" spans="1:21" x14ac:dyDescent="0.3">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c r="T951">
        <f>IF(Table1[[#This Row],[Discount_Applied]]="Yes", 1,0)</f>
        <v>1</v>
      </c>
      <c r="U951" t="str">
        <f>_xlfn.IFS(Table1[[#This Row],[Age]]&lt;=25, "Below 25", Table1[[#This Row],[Age]]&lt;=35, "Between 25-35", Table1[[#This Row],[Age]]&lt;=45, "Between 36-45", Table1[[#This Row],[Age]]&gt;45, "45+")</f>
        <v>Between 25-35</v>
      </c>
    </row>
    <row r="952" spans="1:21" x14ac:dyDescent="0.3">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c r="T952">
        <f>IF(Table1[[#This Row],[Discount_Applied]]="Yes", 1,0)</f>
        <v>1</v>
      </c>
      <c r="U952" t="str">
        <f>_xlfn.IFS(Table1[[#This Row],[Age]]&lt;=25, "Below 25", Table1[[#This Row],[Age]]&lt;=35, "Between 25-35", Table1[[#This Row],[Age]]&lt;=45, "Between 36-45", Table1[[#This Row],[Age]]&gt;45, "45+")</f>
        <v>45+</v>
      </c>
    </row>
    <row r="953" spans="1:21" x14ac:dyDescent="0.3">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c r="T953">
        <f>IF(Table1[[#This Row],[Discount_Applied]]="Yes", 1,0)</f>
        <v>1</v>
      </c>
      <c r="U953" t="str">
        <f>_xlfn.IFS(Table1[[#This Row],[Age]]&lt;=25, "Below 25", Table1[[#This Row],[Age]]&lt;=35, "Between 25-35", Table1[[#This Row],[Age]]&lt;=45, "Between 36-45", Table1[[#This Row],[Age]]&gt;45, "45+")</f>
        <v>45+</v>
      </c>
    </row>
    <row r="954" spans="1:21" x14ac:dyDescent="0.3">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c r="T954">
        <f>IF(Table1[[#This Row],[Discount_Applied]]="Yes", 1,0)</f>
        <v>1</v>
      </c>
      <c r="U954" t="str">
        <f>_xlfn.IFS(Table1[[#This Row],[Age]]&lt;=25, "Below 25", Table1[[#This Row],[Age]]&lt;=35, "Between 25-35", Table1[[#This Row],[Age]]&lt;=45, "Between 36-45", Table1[[#This Row],[Age]]&gt;45, "45+")</f>
        <v>Between 36-45</v>
      </c>
    </row>
    <row r="955" spans="1:21" x14ac:dyDescent="0.3">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c r="T955">
        <f>IF(Table1[[#This Row],[Discount_Applied]]="Yes", 1,0)</f>
        <v>1</v>
      </c>
      <c r="U955" t="str">
        <f>_xlfn.IFS(Table1[[#This Row],[Age]]&lt;=25, "Below 25", Table1[[#This Row],[Age]]&lt;=35, "Between 25-35", Table1[[#This Row],[Age]]&lt;=45, "Between 36-45", Table1[[#This Row],[Age]]&gt;45, "45+")</f>
        <v>45+</v>
      </c>
    </row>
    <row r="956" spans="1:21" x14ac:dyDescent="0.3">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c r="T956">
        <f>IF(Table1[[#This Row],[Discount_Applied]]="Yes", 1,0)</f>
        <v>1</v>
      </c>
      <c r="U956" t="str">
        <f>_xlfn.IFS(Table1[[#This Row],[Age]]&lt;=25, "Below 25", Table1[[#This Row],[Age]]&lt;=35, "Between 25-35", Table1[[#This Row],[Age]]&lt;=45, "Between 36-45", Table1[[#This Row],[Age]]&gt;45, "45+")</f>
        <v>45+</v>
      </c>
    </row>
    <row r="957" spans="1:21" x14ac:dyDescent="0.3">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c r="T957">
        <f>IF(Table1[[#This Row],[Discount_Applied]]="Yes", 1,0)</f>
        <v>1</v>
      </c>
      <c r="U957" t="str">
        <f>_xlfn.IFS(Table1[[#This Row],[Age]]&lt;=25, "Below 25", Table1[[#This Row],[Age]]&lt;=35, "Between 25-35", Table1[[#This Row],[Age]]&lt;=45, "Between 36-45", Table1[[#This Row],[Age]]&gt;45, "45+")</f>
        <v>45+</v>
      </c>
    </row>
    <row r="958" spans="1:21" x14ac:dyDescent="0.3">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c r="T958">
        <f>IF(Table1[[#This Row],[Discount_Applied]]="Yes", 1,0)</f>
        <v>1</v>
      </c>
      <c r="U958" t="str">
        <f>_xlfn.IFS(Table1[[#This Row],[Age]]&lt;=25, "Below 25", Table1[[#This Row],[Age]]&lt;=35, "Between 25-35", Table1[[#This Row],[Age]]&lt;=45, "Between 36-45", Table1[[#This Row],[Age]]&gt;45, "45+")</f>
        <v>Between 25-35</v>
      </c>
    </row>
    <row r="959" spans="1:21" x14ac:dyDescent="0.3">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c r="T959">
        <f>IF(Table1[[#This Row],[Discount_Applied]]="Yes", 1,0)</f>
        <v>1</v>
      </c>
      <c r="U959" t="str">
        <f>_xlfn.IFS(Table1[[#This Row],[Age]]&lt;=25, "Below 25", Table1[[#This Row],[Age]]&lt;=35, "Between 25-35", Table1[[#This Row],[Age]]&lt;=45, "Between 36-45", Table1[[#This Row],[Age]]&gt;45, "45+")</f>
        <v>Between 36-45</v>
      </c>
    </row>
    <row r="960" spans="1:21" x14ac:dyDescent="0.3">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c r="T960">
        <f>IF(Table1[[#This Row],[Discount_Applied]]="Yes", 1,0)</f>
        <v>1</v>
      </c>
      <c r="U960" t="str">
        <f>_xlfn.IFS(Table1[[#This Row],[Age]]&lt;=25, "Below 25", Table1[[#This Row],[Age]]&lt;=35, "Between 25-35", Table1[[#This Row],[Age]]&lt;=45, "Between 36-45", Table1[[#This Row],[Age]]&gt;45, "45+")</f>
        <v>45+</v>
      </c>
    </row>
    <row r="961" spans="1:21" x14ac:dyDescent="0.3">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c r="T961">
        <f>IF(Table1[[#This Row],[Discount_Applied]]="Yes", 1,0)</f>
        <v>1</v>
      </c>
      <c r="U961" t="str">
        <f>_xlfn.IFS(Table1[[#This Row],[Age]]&lt;=25, "Below 25", Table1[[#This Row],[Age]]&lt;=35, "Between 25-35", Table1[[#This Row],[Age]]&lt;=45, "Between 36-45", Table1[[#This Row],[Age]]&gt;45, "45+")</f>
        <v>Between 36-45</v>
      </c>
    </row>
    <row r="962" spans="1:21" x14ac:dyDescent="0.3">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c r="T962">
        <f>IF(Table1[[#This Row],[Discount_Applied]]="Yes", 1,0)</f>
        <v>1</v>
      </c>
      <c r="U962" t="str">
        <f>_xlfn.IFS(Table1[[#This Row],[Age]]&lt;=25, "Below 25", Table1[[#This Row],[Age]]&lt;=35, "Between 25-35", Table1[[#This Row],[Age]]&lt;=45, "Between 36-45", Table1[[#This Row],[Age]]&gt;45, "45+")</f>
        <v>Below 25</v>
      </c>
    </row>
    <row r="963" spans="1:21" x14ac:dyDescent="0.3">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c r="T963">
        <f>IF(Table1[[#This Row],[Discount_Applied]]="Yes", 1,0)</f>
        <v>1</v>
      </c>
      <c r="U963" t="str">
        <f>_xlfn.IFS(Table1[[#This Row],[Age]]&lt;=25, "Below 25", Table1[[#This Row],[Age]]&lt;=35, "Between 25-35", Table1[[#This Row],[Age]]&lt;=45, "Between 36-45", Table1[[#This Row],[Age]]&gt;45, "45+")</f>
        <v>45+</v>
      </c>
    </row>
    <row r="964" spans="1:21" x14ac:dyDescent="0.3">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c r="T964">
        <f>IF(Table1[[#This Row],[Discount_Applied]]="Yes", 1,0)</f>
        <v>1</v>
      </c>
      <c r="U964" t="str">
        <f>_xlfn.IFS(Table1[[#This Row],[Age]]&lt;=25, "Below 25", Table1[[#This Row],[Age]]&lt;=35, "Between 25-35", Table1[[#This Row],[Age]]&lt;=45, "Between 36-45", Table1[[#This Row],[Age]]&gt;45, "45+")</f>
        <v>Between 25-35</v>
      </c>
    </row>
    <row r="965" spans="1:21" x14ac:dyDescent="0.3">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c r="T965">
        <f>IF(Table1[[#This Row],[Discount_Applied]]="Yes", 1,0)</f>
        <v>1</v>
      </c>
      <c r="U965" t="str">
        <f>_xlfn.IFS(Table1[[#This Row],[Age]]&lt;=25, "Below 25", Table1[[#This Row],[Age]]&lt;=35, "Between 25-35", Table1[[#This Row],[Age]]&lt;=45, "Between 36-45", Table1[[#This Row],[Age]]&gt;45, "45+")</f>
        <v>Below 25</v>
      </c>
    </row>
    <row r="966" spans="1:21" x14ac:dyDescent="0.3">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c r="T966">
        <f>IF(Table1[[#This Row],[Discount_Applied]]="Yes", 1,0)</f>
        <v>1</v>
      </c>
      <c r="U966" t="str">
        <f>_xlfn.IFS(Table1[[#This Row],[Age]]&lt;=25, "Below 25", Table1[[#This Row],[Age]]&lt;=35, "Between 25-35", Table1[[#This Row],[Age]]&lt;=45, "Between 36-45", Table1[[#This Row],[Age]]&gt;45, "45+")</f>
        <v>Between 36-45</v>
      </c>
    </row>
    <row r="967" spans="1:21" x14ac:dyDescent="0.3">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c r="T967">
        <f>IF(Table1[[#This Row],[Discount_Applied]]="Yes", 1,0)</f>
        <v>1</v>
      </c>
      <c r="U967" t="str">
        <f>_xlfn.IFS(Table1[[#This Row],[Age]]&lt;=25, "Below 25", Table1[[#This Row],[Age]]&lt;=35, "Between 25-35", Table1[[#This Row],[Age]]&lt;=45, "Between 36-45", Table1[[#This Row],[Age]]&gt;45, "45+")</f>
        <v>Between 36-45</v>
      </c>
    </row>
    <row r="968" spans="1:21" x14ac:dyDescent="0.3">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c r="T968">
        <f>IF(Table1[[#This Row],[Discount_Applied]]="Yes", 1,0)</f>
        <v>1</v>
      </c>
      <c r="U968" t="str">
        <f>_xlfn.IFS(Table1[[#This Row],[Age]]&lt;=25, "Below 25", Table1[[#This Row],[Age]]&lt;=35, "Between 25-35", Table1[[#This Row],[Age]]&lt;=45, "Between 36-45", Table1[[#This Row],[Age]]&gt;45, "45+")</f>
        <v>45+</v>
      </c>
    </row>
    <row r="969" spans="1:21" x14ac:dyDescent="0.3">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c r="T969">
        <f>IF(Table1[[#This Row],[Discount_Applied]]="Yes", 1,0)</f>
        <v>1</v>
      </c>
      <c r="U969" t="str">
        <f>_xlfn.IFS(Table1[[#This Row],[Age]]&lt;=25, "Below 25", Table1[[#This Row],[Age]]&lt;=35, "Between 25-35", Table1[[#This Row],[Age]]&lt;=45, "Between 36-45", Table1[[#This Row],[Age]]&gt;45, "45+")</f>
        <v>Between 25-35</v>
      </c>
    </row>
    <row r="970" spans="1:21" x14ac:dyDescent="0.3">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c r="T970">
        <f>IF(Table1[[#This Row],[Discount_Applied]]="Yes", 1,0)</f>
        <v>1</v>
      </c>
      <c r="U970" t="str">
        <f>_xlfn.IFS(Table1[[#This Row],[Age]]&lt;=25, "Below 25", Table1[[#This Row],[Age]]&lt;=35, "Between 25-35", Table1[[#This Row],[Age]]&lt;=45, "Between 36-45", Table1[[#This Row],[Age]]&gt;45, "45+")</f>
        <v>45+</v>
      </c>
    </row>
    <row r="971" spans="1:21" x14ac:dyDescent="0.3">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c r="T971">
        <f>IF(Table1[[#This Row],[Discount_Applied]]="Yes", 1,0)</f>
        <v>1</v>
      </c>
      <c r="U971" t="str">
        <f>_xlfn.IFS(Table1[[#This Row],[Age]]&lt;=25, "Below 25", Table1[[#This Row],[Age]]&lt;=35, "Between 25-35", Table1[[#This Row],[Age]]&lt;=45, "Between 36-45", Table1[[#This Row],[Age]]&gt;45, "45+")</f>
        <v>Between 36-45</v>
      </c>
    </row>
    <row r="972" spans="1:21" x14ac:dyDescent="0.3">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c r="T972">
        <f>IF(Table1[[#This Row],[Discount_Applied]]="Yes", 1,0)</f>
        <v>1</v>
      </c>
      <c r="U972" t="str">
        <f>_xlfn.IFS(Table1[[#This Row],[Age]]&lt;=25, "Below 25", Table1[[#This Row],[Age]]&lt;=35, "Between 25-35", Table1[[#This Row],[Age]]&lt;=45, "Between 36-45", Table1[[#This Row],[Age]]&gt;45, "45+")</f>
        <v>Between 36-45</v>
      </c>
    </row>
    <row r="973" spans="1:21" x14ac:dyDescent="0.3">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c r="T973">
        <f>IF(Table1[[#This Row],[Discount_Applied]]="Yes", 1,0)</f>
        <v>1</v>
      </c>
      <c r="U973" t="str">
        <f>_xlfn.IFS(Table1[[#This Row],[Age]]&lt;=25, "Below 25", Table1[[#This Row],[Age]]&lt;=35, "Between 25-35", Table1[[#This Row],[Age]]&lt;=45, "Between 36-45", Table1[[#This Row],[Age]]&gt;45, "45+")</f>
        <v>45+</v>
      </c>
    </row>
    <row r="974" spans="1:21" x14ac:dyDescent="0.3">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c r="T974">
        <f>IF(Table1[[#This Row],[Discount_Applied]]="Yes", 1,0)</f>
        <v>1</v>
      </c>
      <c r="U974" t="str">
        <f>_xlfn.IFS(Table1[[#This Row],[Age]]&lt;=25, "Below 25", Table1[[#This Row],[Age]]&lt;=35, "Between 25-35", Table1[[#This Row],[Age]]&lt;=45, "Between 36-45", Table1[[#This Row],[Age]]&gt;45, "45+")</f>
        <v>45+</v>
      </c>
    </row>
    <row r="975" spans="1:21" x14ac:dyDescent="0.3">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c r="T975">
        <f>IF(Table1[[#This Row],[Discount_Applied]]="Yes", 1,0)</f>
        <v>1</v>
      </c>
      <c r="U975" t="str">
        <f>_xlfn.IFS(Table1[[#This Row],[Age]]&lt;=25, "Below 25", Table1[[#This Row],[Age]]&lt;=35, "Between 25-35", Table1[[#This Row],[Age]]&lt;=45, "Between 36-45", Table1[[#This Row],[Age]]&gt;45, "45+")</f>
        <v>45+</v>
      </c>
    </row>
    <row r="976" spans="1:21" x14ac:dyDescent="0.3">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c r="T976">
        <f>IF(Table1[[#This Row],[Discount_Applied]]="Yes", 1,0)</f>
        <v>1</v>
      </c>
      <c r="U976" t="str">
        <f>_xlfn.IFS(Table1[[#This Row],[Age]]&lt;=25, "Below 25", Table1[[#This Row],[Age]]&lt;=35, "Between 25-35", Table1[[#This Row],[Age]]&lt;=45, "Between 36-45", Table1[[#This Row],[Age]]&gt;45, "45+")</f>
        <v>45+</v>
      </c>
    </row>
    <row r="977" spans="1:21" x14ac:dyDescent="0.3">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c r="T977">
        <f>IF(Table1[[#This Row],[Discount_Applied]]="Yes", 1,0)</f>
        <v>1</v>
      </c>
      <c r="U977" t="str">
        <f>_xlfn.IFS(Table1[[#This Row],[Age]]&lt;=25, "Below 25", Table1[[#This Row],[Age]]&lt;=35, "Between 25-35", Table1[[#This Row],[Age]]&lt;=45, "Between 36-45", Table1[[#This Row],[Age]]&gt;45, "45+")</f>
        <v>45+</v>
      </c>
    </row>
    <row r="978" spans="1:21" x14ac:dyDescent="0.3">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c r="T978">
        <f>IF(Table1[[#This Row],[Discount_Applied]]="Yes", 1,0)</f>
        <v>1</v>
      </c>
      <c r="U978" t="str">
        <f>_xlfn.IFS(Table1[[#This Row],[Age]]&lt;=25, "Below 25", Table1[[#This Row],[Age]]&lt;=35, "Between 25-35", Table1[[#This Row],[Age]]&lt;=45, "Between 36-45", Table1[[#This Row],[Age]]&gt;45, "45+")</f>
        <v>Between 25-35</v>
      </c>
    </row>
    <row r="979" spans="1:21" x14ac:dyDescent="0.3">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c r="T979">
        <f>IF(Table1[[#This Row],[Discount_Applied]]="Yes", 1,0)</f>
        <v>1</v>
      </c>
      <c r="U979" t="str">
        <f>_xlfn.IFS(Table1[[#This Row],[Age]]&lt;=25, "Below 25", Table1[[#This Row],[Age]]&lt;=35, "Between 25-35", Table1[[#This Row],[Age]]&lt;=45, "Between 36-45", Table1[[#This Row],[Age]]&gt;45, "45+")</f>
        <v>Below 25</v>
      </c>
    </row>
    <row r="980" spans="1:21" x14ac:dyDescent="0.3">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c r="T980">
        <f>IF(Table1[[#This Row],[Discount_Applied]]="Yes", 1,0)</f>
        <v>1</v>
      </c>
      <c r="U980" t="str">
        <f>_xlfn.IFS(Table1[[#This Row],[Age]]&lt;=25, "Below 25", Table1[[#This Row],[Age]]&lt;=35, "Between 25-35", Table1[[#This Row],[Age]]&lt;=45, "Between 36-45", Table1[[#This Row],[Age]]&gt;45, "45+")</f>
        <v>45+</v>
      </c>
    </row>
    <row r="981" spans="1:21" x14ac:dyDescent="0.3">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c r="T981">
        <f>IF(Table1[[#This Row],[Discount_Applied]]="Yes", 1,0)</f>
        <v>1</v>
      </c>
      <c r="U981" t="str">
        <f>_xlfn.IFS(Table1[[#This Row],[Age]]&lt;=25, "Below 25", Table1[[#This Row],[Age]]&lt;=35, "Between 25-35", Table1[[#This Row],[Age]]&lt;=45, "Between 36-45", Table1[[#This Row],[Age]]&gt;45, "45+")</f>
        <v>45+</v>
      </c>
    </row>
    <row r="982" spans="1:21" x14ac:dyDescent="0.3">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c r="T982">
        <f>IF(Table1[[#This Row],[Discount_Applied]]="Yes", 1,0)</f>
        <v>1</v>
      </c>
      <c r="U982" t="str">
        <f>_xlfn.IFS(Table1[[#This Row],[Age]]&lt;=25, "Below 25", Table1[[#This Row],[Age]]&lt;=35, "Between 25-35", Table1[[#This Row],[Age]]&lt;=45, "Between 36-45", Table1[[#This Row],[Age]]&gt;45, "45+")</f>
        <v>45+</v>
      </c>
    </row>
    <row r="983" spans="1:21" x14ac:dyDescent="0.3">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c r="T983">
        <f>IF(Table1[[#This Row],[Discount_Applied]]="Yes", 1,0)</f>
        <v>1</v>
      </c>
      <c r="U983" t="str">
        <f>_xlfn.IFS(Table1[[#This Row],[Age]]&lt;=25, "Below 25", Table1[[#This Row],[Age]]&lt;=35, "Between 25-35", Table1[[#This Row],[Age]]&lt;=45, "Between 36-45", Table1[[#This Row],[Age]]&gt;45, "45+")</f>
        <v>Between 25-35</v>
      </c>
    </row>
    <row r="984" spans="1:21" x14ac:dyDescent="0.3">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c r="T984">
        <f>IF(Table1[[#This Row],[Discount_Applied]]="Yes", 1,0)</f>
        <v>1</v>
      </c>
      <c r="U984" t="str">
        <f>_xlfn.IFS(Table1[[#This Row],[Age]]&lt;=25, "Below 25", Table1[[#This Row],[Age]]&lt;=35, "Between 25-35", Table1[[#This Row],[Age]]&lt;=45, "Between 36-45", Table1[[#This Row],[Age]]&gt;45, "45+")</f>
        <v>Between 25-35</v>
      </c>
    </row>
    <row r="985" spans="1:21" x14ac:dyDescent="0.3">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c r="T985">
        <f>IF(Table1[[#This Row],[Discount_Applied]]="Yes", 1,0)</f>
        <v>1</v>
      </c>
      <c r="U985" t="str">
        <f>_xlfn.IFS(Table1[[#This Row],[Age]]&lt;=25, "Below 25", Table1[[#This Row],[Age]]&lt;=35, "Between 25-35", Table1[[#This Row],[Age]]&lt;=45, "Between 36-45", Table1[[#This Row],[Age]]&gt;45, "45+")</f>
        <v>Below 25</v>
      </c>
    </row>
    <row r="986" spans="1:21" x14ac:dyDescent="0.3">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c r="T986">
        <f>IF(Table1[[#This Row],[Discount_Applied]]="Yes", 1,0)</f>
        <v>1</v>
      </c>
      <c r="U986" t="str">
        <f>_xlfn.IFS(Table1[[#This Row],[Age]]&lt;=25, "Below 25", Table1[[#This Row],[Age]]&lt;=35, "Between 25-35", Table1[[#This Row],[Age]]&lt;=45, "Between 36-45", Table1[[#This Row],[Age]]&gt;45, "45+")</f>
        <v>Between 25-35</v>
      </c>
    </row>
    <row r="987" spans="1:21" x14ac:dyDescent="0.3">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c r="T987">
        <f>IF(Table1[[#This Row],[Discount_Applied]]="Yes", 1,0)</f>
        <v>1</v>
      </c>
      <c r="U987" t="str">
        <f>_xlfn.IFS(Table1[[#This Row],[Age]]&lt;=25, "Below 25", Table1[[#This Row],[Age]]&lt;=35, "Between 25-35", Table1[[#This Row],[Age]]&lt;=45, "Between 36-45", Table1[[#This Row],[Age]]&gt;45, "45+")</f>
        <v>Between 25-35</v>
      </c>
    </row>
    <row r="988" spans="1:21" x14ac:dyDescent="0.3">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c r="T988">
        <f>IF(Table1[[#This Row],[Discount_Applied]]="Yes", 1,0)</f>
        <v>1</v>
      </c>
      <c r="U988" t="str">
        <f>_xlfn.IFS(Table1[[#This Row],[Age]]&lt;=25, "Below 25", Table1[[#This Row],[Age]]&lt;=35, "Between 25-35", Table1[[#This Row],[Age]]&lt;=45, "Between 36-45", Table1[[#This Row],[Age]]&gt;45, "45+")</f>
        <v>45+</v>
      </c>
    </row>
    <row r="989" spans="1:21" x14ac:dyDescent="0.3">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c r="T989">
        <f>IF(Table1[[#This Row],[Discount_Applied]]="Yes", 1,0)</f>
        <v>1</v>
      </c>
      <c r="U989" t="str">
        <f>_xlfn.IFS(Table1[[#This Row],[Age]]&lt;=25, "Below 25", Table1[[#This Row],[Age]]&lt;=35, "Between 25-35", Table1[[#This Row],[Age]]&lt;=45, "Between 36-45", Table1[[#This Row],[Age]]&gt;45, "45+")</f>
        <v>45+</v>
      </c>
    </row>
    <row r="990" spans="1:21" x14ac:dyDescent="0.3">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c r="T990">
        <f>IF(Table1[[#This Row],[Discount_Applied]]="Yes", 1,0)</f>
        <v>1</v>
      </c>
      <c r="U990" t="str">
        <f>_xlfn.IFS(Table1[[#This Row],[Age]]&lt;=25, "Below 25", Table1[[#This Row],[Age]]&lt;=35, "Between 25-35", Table1[[#This Row],[Age]]&lt;=45, "Between 36-45", Table1[[#This Row],[Age]]&gt;45, "45+")</f>
        <v>45+</v>
      </c>
    </row>
    <row r="991" spans="1:21" x14ac:dyDescent="0.3">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c r="T991">
        <f>IF(Table1[[#This Row],[Discount_Applied]]="Yes", 1,0)</f>
        <v>1</v>
      </c>
      <c r="U991" t="str">
        <f>_xlfn.IFS(Table1[[#This Row],[Age]]&lt;=25, "Below 25", Table1[[#This Row],[Age]]&lt;=35, "Between 25-35", Table1[[#This Row],[Age]]&lt;=45, "Between 36-45", Table1[[#This Row],[Age]]&gt;45, "45+")</f>
        <v>45+</v>
      </c>
    </row>
    <row r="992" spans="1:21" x14ac:dyDescent="0.3">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c r="T992">
        <f>IF(Table1[[#This Row],[Discount_Applied]]="Yes", 1,0)</f>
        <v>1</v>
      </c>
      <c r="U992" t="str">
        <f>_xlfn.IFS(Table1[[#This Row],[Age]]&lt;=25, "Below 25", Table1[[#This Row],[Age]]&lt;=35, "Between 25-35", Table1[[#This Row],[Age]]&lt;=45, "Between 36-45", Table1[[#This Row],[Age]]&gt;45, "45+")</f>
        <v>45+</v>
      </c>
    </row>
    <row r="993" spans="1:21" x14ac:dyDescent="0.3">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c r="T993">
        <f>IF(Table1[[#This Row],[Discount_Applied]]="Yes", 1,0)</f>
        <v>1</v>
      </c>
      <c r="U993" t="str">
        <f>_xlfn.IFS(Table1[[#This Row],[Age]]&lt;=25, "Below 25", Table1[[#This Row],[Age]]&lt;=35, "Between 25-35", Table1[[#This Row],[Age]]&lt;=45, "Between 36-45", Table1[[#This Row],[Age]]&gt;45, "45+")</f>
        <v>Below 25</v>
      </c>
    </row>
    <row r="994" spans="1:21" x14ac:dyDescent="0.3">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c r="T994">
        <f>IF(Table1[[#This Row],[Discount_Applied]]="Yes", 1,0)</f>
        <v>1</v>
      </c>
      <c r="U994" t="str">
        <f>_xlfn.IFS(Table1[[#This Row],[Age]]&lt;=25, "Below 25", Table1[[#This Row],[Age]]&lt;=35, "Between 25-35", Table1[[#This Row],[Age]]&lt;=45, "Between 36-45", Table1[[#This Row],[Age]]&gt;45, "45+")</f>
        <v>45+</v>
      </c>
    </row>
    <row r="995" spans="1:21" x14ac:dyDescent="0.3">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c r="T995">
        <f>IF(Table1[[#This Row],[Discount_Applied]]="Yes", 1,0)</f>
        <v>1</v>
      </c>
      <c r="U995" t="str">
        <f>_xlfn.IFS(Table1[[#This Row],[Age]]&lt;=25, "Below 25", Table1[[#This Row],[Age]]&lt;=35, "Between 25-35", Table1[[#This Row],[Age]]&lt;=45, "Between 36-45", Table1[[#This Row],[Age]]&gt;45, "45+")</f>
        <v>45+</v>
      </c>
    </row>
    <row r="996" spans="1:21" x14ac:dyDescent="0.3">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c r="T996">
        <f>IF(Table1[[#This Row],[Discount_Applied]]="Yes", 1,0)</f>
        <v>1</v>
      </c>
      <c r="U996" t="str">
        <f>_xlfn.IFS(Table1[[#This Row],[Age]]&lt;=25, "Below 25", Table1[[#This Row],[Age]]&lt;=35, "Between 25-35", Table1[[#This Row],[Age]]&lt;=45, "Between 36-45", Table1[[#This Row],[Age]]&gt;45, "45+")</f>
        <v>45+</v>
      </c>
    </row>
    <row r="997" spans="1:21" x14ac:dyDescent="0.3">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c r="T997">
        <f>IF(Table1[[#This Row],[Discount_Applied]]="Yes", 1,0)</f>
        <v>1</v>
      </c>
      <c r="U997" t="str">
        <f>_xlfn.IFS(Table1[[#This Row],[Age]]&lt;=25, "Below 25", Table1[[#This Row],[Age]]&lt;=35, "Between 25-35", Table1[[#This Row],[Age]]&lt;=45, "Between 36-45", Table1[[#This Row],[Age]]&gt;45, "45+")</f>
        <v>Between 36-45</v>
      </c>
    </row>
    <row r="998" spans="1:21" x14ac:dyDescent="0.3">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c r="T998">
        <f>IF(Table1[[#This Row],[Discount_Applied]]="Yes", 1,0)</f>
        <v>1</v>
      </c>
      <c r="U998" t="str">
        <f>_xlfn.IFS(Table1[[#This Row],[Age]]&lt;=25, "Below 25", Table1[[#This Row],[Age]]&lt;=35, "Between 25-35", Table1[[#This Row],[Age]]&lt;=45, "Between 36-45", Table1[[#This Row],[Age]]&gt;45, "45+")</f>
        <v>Between 25-35</v>
      </c>
    </row>
    <row r="999" spans="1:21" x14ac:dyDescent="0.3">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c r="T999">
        <f>IF(Table1[[#This Row],[Discount_Applied]]="Yes", 1,0)</f>
        <v>1</v>
      </c>
      <c r="U999" t="str">
        <f>_xlfn.IFS(Table1[[#This Row],[Age]]&lt;=25, "Below 25", Table1[[#This Row],[Age]]&lt;=35, "Between 25-35", Table1[[#This Row],[Age]]&lt;=45, "Between 36-45", Table1[[#This Row],[Age]]&gt;45, "45+")</f>
        <v>45+</v>
      </c>
    </row>
    <row r="1000" spans="1:21" x14ac:dyDescent="0.3">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c r="T1000">
        <f>IF(Table1[[#This Row],[Discount_Applied]]="Yes", 1,0)</f>
        <v>1</v>
      </c>
      <c r="U1000" t="str">
        <f>_xlfn.IFS(Table1[[#This Row],[Age]]&lt;=25, "Below 25", Table1[[#This Row],[Age]]&lt;=35, "Between 25-35", Table1[[#This Row],[Age]]&lt;=45, "Between 36-45", Table1[[#This Row],[Age]]&gt;45, "45+")</f>
        <v>45+</v>
      </c>
    </row>
    <row r="1001" spans="1:21" x14ac:dyDescent="0.3">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c r="T1001">
        <f>IF(Table1[[#This Row],[Discount_Applied]]="Yes", 1,0)</f>
        <v>1</v>
      </c>
      <c r="U1001" t="str">
        <f>_xlfn.IFS(Table1[[#This Row],[Age]]&lt;=25, "Below 25", Table1[[#This Row],[Age]]&lt;=35, "Between 25-35", Table1[[#This Row],[Age]]&lt;=45, "Between 36-45", Table1[[#This Row],[Age]]&gt;45, "45+")</f>
        <v>45+</v>
      </c>
    </row>
    <row r="1002" spans="1:21" x14ac:dyDescent="0.3">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c r="T1002">
        <f>IF(Table1[[#This Row],[Discount_Applied]]="Yes", 1,0)</f>
        <v>1</v>
      </c>
      <c r="U1002" t="str">
        <f>_xlfn.IFS(Table1[[#This Row],[Age]]&lt;=25, "Below 25", Table1[[#This Row],[Age]]&lt;=35, "Between 25-35", Table1[[#This Row],[Age]]&lt;=45, "Between 36-45", Table1[[#This Row],[Age]]&gt;45, "45+")</f>
        <v>Between 36-45</v>
      </c>
    </row>
    <row r="1003" spans="1:21" x14ac:dyDescent="0.3">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c r="T1003">
        <f>IF(Table1[[#This Row],[Discount_Applied]]="Yes", 1,0)</f>
        <v>1</v>
      </c>
      <c r="U1003" t="str">
        <f>_xlfn.IFS(Table1[[#This Row],[Age]]&lt;=25, "Below 25", Table1[[#This Row],[Age]]&lt;=35, "Between 25-35", Table1[[#This Row],[Age]]&lt;=45, "Between 36-45", Table1[[#This Row],[Age]]&gt;45, "45+")</f>
        <v>45+</v>
      </c>
    </row>
    <row r="1004" spans="1:21" x14ac:dyDescent="0.3">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c r="T1004">
        <f>IF(Table1[[#This Row],[Discount_Applied]]="Yes", 1,0)</f>
        <v>1</v>
      </c>
      <c r="U1004" t="str">
        <f>_xlfn.IFS(Table1[[#This Row],[Age]]&lt;=25, "Below 25", Table1[[#This Row],[Age]]&lt;=35, "Between 25-35", Table1[[#This Row],[Age]]&lt;=45, "Between 36-45", Table1[[#This Row],[Age]]&gt;45, "45+")</f>
        <v>45+</v>
      </c>
    </row>
    <row r="1005" spans="1:21" x14ac:dyDescent="0.3">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c r="T1005">
        <f>IF(Table1[[#This Row],[Discount_Applied]]="Yes", 1,0)</f>
        <v>1</v>
      </c>
      <c r="U1005" t="str">
        <f>_xlfn.IFS(Table1[[#This Row],[Age]]&lt;=25, "Below 25", Table1[[#This Row],[Age]]&lt;=35, "Between 25-35", Table1[[#This Row],[Age]]&lt;=45, "Between 36-45", Table1[[#This Row],[Age]]&gt;45, "45+")</f>
        <v>45+</v>
      </c>
    </row>
    <row r="1006" spans="1:21" x14ac:dyDescent="0.3">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c r="T1006">
        <f>IF(Table1[[#This Row],[Discount_Applied]]="Yes", 1,0)</f>
        <v>1</v>
      </c>
      <c r="U1006" t="str">
        <f>_xlfn.IFS(Table1[[#This Row],[Age]]&lt;=25, "Below 25", Table1[[#This Row],[Age]]&lt;=35, "Between 25-35", Table1[[#This Row],[Age]]&lt;=45, "Between 36-45", Table1[[#This Row],[Age]]&gt;45, "45+")</f>
        <v>Between 25-35</v>
      </c>
    </row>
    <row r="1007" spans="1:21" x14ac:dyDescent="0.3">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c r="T1007">
        <f>IF(Table1[[#This Row],[Discount_Applied]]="Yes", 1,0)</f>
        <v>1</v>
      </c>
      <c r="U1007" t="str">
        <f>_xlfn.IFS(Table1[[#This Row],[Age]]&lt;=25, "Below 25", Table1[[#This Row],[Age]]&lt;=35, "Between 25-35", Table1[[#This Row],[Age]]&lt;=45, "Between 36-45", Table1[[#This Row],[Age]]&gt;45, "45+")</f>
        <v>Between 36-45</v>
      </c>
    </row>
    <row r="1008" spans="1:21" x14ac:dyDescent="0.3">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c r="T1008">
        <f>IF(Table1[[#This Row],[Discount_Applied]]="Yes", 1,0)</f>
        <v>1</v>
      </c>
      <c r="U1008" t="str">
        <f>_xlfn.IFS(Table1[[#This Row],[Age]]&lt;=25, "Below 25", Table1[[#This Row],[Age]]&lt;=35, "Between 25-35", Table1[[#This Row],[Age]]&lt;=45, "Between 36-45", Table1[[#This Row],[Age]]&gt;45, "45+")</f>
        <v>Below 25</v>
      </c>
    </row>
    <row r="1009" spans="1:21" x14ac:dyDescent="0.3">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c r="T1009">
        <f>IF(Table1[[#This Row],[Discount_Applied]]="Yes", 1,0)</f>
        <v>1</v>
      </c>
      <c r="U1009" t="str">
        <f>_xlfn.IFS(Table1[[#This Row],[Age]]&lt;=25, "Below 25", Table1[[#This Row],[Age]]&lt;=35, "Between 25-35", Table1[[#This Row],[Age]]&lt;=45, "Between 36-45", Table1[[#This Row],[Age]]&gt;45, "45+")</f>
        <v>45+</v>
      </c>
    </row>
    <row r="1010" spans="1:21" x14ac:dyDescent="0.3">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c r="T1010">
        <f>IF(Table1[[#This Row],[Discount_Applied]]="Yes", 1,0)</f>
        <v>1</v>
      </c>
      <c r="U1010" t="str">
        <f>_xlfn.IFS(Table1[[#This Row],[Age]]&lt;=25, "Below 25", Table1[[#This Row],[Age]]&lt;=35, "Between 25-35", Table1[[#This Row],[Age]]&lt;=45, "Between 36-45", Table1[[#This Row],[Age]]&gt;45, "45+")</f>
        <v>Between 36-45</v>
      </c>
    </row>
    <row r="1011" spans="1:21" x14ac:dyDescent="0.3">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c r="T1011">
        <f>IF(Table1[[#This Row],[Discount_Applied]]="Yes", 1,0)</f>
        <v>1</v>
      </c>
      <c r="U1011" t="str">
        <f>_xlfn.IFS(Table1[[#This Row],[Age]]&lt;=25, "Below 25", Table1[[#This Row],[Age]]&lt;=35, "Between 25-35", Table1[[#This Row],[Age]]&lt;=45, "Between 36-45", Table1[[#This Row],[Age]]&gt;45, "45+")</f>
        <v>Between 36-45</v>
      </c>
    </row>
    <row r="1012" spans="1:21" x14ac:dyDescent="0.3">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c r="T1012">
        <f>IF(Table1[[#This Row],[Discount_Applied]]="Yes", 1,0)</f>
        <v>1</v>
      </c>
      <c r="U1012" t="str">
        <f>_xlfn.IFS(Table1[[#This Row],[Age]]&lt;=25, "Below 25", Table1[[#This Row],[Age]]&lt;=35, "Between 25-35", Table1[[#This Row],[Age]]&lt;=45, "Between 36-45", Table1[[#This Row],[Age]]&gt;45, "45+")</f>
        <v>45+</v>
      </c>
    </row>
    <row r="1013" spans="1:21" x14ac:dyDescent="0.3">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c r="T1013">
        <f>IF(Table1[[#This Row],[Discount_Applied]]="Yes", 1,0)</f>
        <v>1</v>
      </c>
      <c r="U1013" t="str">
        <f>_xlfn.IFS(Table1[[#This Row],[Age]]&lt;=25, "Below 25", Table1[[#This Row],[Age]]&lt;=35, "Between 25-35", Table1[[#This Row],[Age]]&lt;=45, "Between 36-45", Table1[[#This Row],[Age]]&gt;45, "45+")</f>
        <v>Between 36-45</v>
      </c>
    </row>
    <row r="1014" spans="1:21" x14ac:dyDescent="0.3">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c r="T1014">
        <f>IF(Table1[[#This Row],[Discount_Applied]]="Yes", 1,0)</f>
        <v>1</v>
      </c>
      <c r="U1014" t="str">
        <f>_xlfn.IFS(Table1[[#This Row],[Age]]&lt;=25, "Below 25", Table1[[#This Row],[Age]]&lt;=35, "Between 25-35", Table1[[#This Row],[Age]]&lt;=45, "Between 36-45", Table1[[#This Row],[Age]]&gt;45, "45+")</f>
        <v>Between 25-35</v>
      </c>
    </row>
    <row r="1015" spans="1:21" x14ac:dyDescent="0.3">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c r="T1015">
        <f>IF(Table1[[#This Row],[Discount_Applied]]="Yes", 1,0)</f>
        <v>1</v>
      </c>
      <c r="U1015" t="str">
        <f>_xlfn.IFS(Table1[[#This Row],[Age]]&lt;=25, "Below 25", Table1[[#This Row],[Age]]&lt;=35, "Between 25-35", Table1[[#This Row],[Age]]&lt;=45, "Between 36-45", Table1[[#This Row],[Age]]&gt;45, "45+")</f>
        <v>45+</v>
      </c>
    </row>
    <row r="1016" spans="1:21" x14ac:dyDescent="0.3">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c r="T1016">
        <f>IF(Table1[[#This Row],[Discount_Applied]]="Yes", 1,0)</f>
        <v>1</v>
      </c>
      <c r="U1016" t="str">
        <f>_xlfn.IFS(Table1[[#This Row],[Age]]&lt;=25, "Below 25", Table1[[#This Row],[Age]]&lt;=35, "Between 25-35", Table1[[#This Row],[Age]]&lt;=45, "Between 36-45", Table1[[#This Row],[Age]]&gt;45, "45+")</f>
        <v>Between 25-35</v>
      </c>
    </row>
    <row r="1017" spans="1:21" x14ac:dyDescent="0.3">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c r="T1017">
        <f>IF(Table1[[#This Row],[Discount_Applied]]="Yes", 1,0)</f>
        <v>1</v>
      </c>
      <c r="U1017" t="str">
        <f>_xlfn.IFS(Table1[[#This Row],[Age]]&lt;=25, "Below 25", Table1[[#This Row],[Age]]&lt;=35, "Between 25-35", Table1[[#This Row],[Age]]&lt;=45, "Between 36-45", Table1[[#This Row],[Age]]&gt;45, "45+")</f>
        <v>45+</v>
      </c>
    </row>
    <row r="1018" spans="1:21" x14ac:dyDescent="0.3">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c r="T1018">
        <f>IF(Table1[[#This Row],[Discount_Applied]]="Yes", 1,0)</f>
        <v>1</v>
      </c>
      <c r="U1018" t="str">
        <f>_xlfn.IFS(Table1[[#This Row],[Age]]&lt;=25, "Below 25", Table1[[#This Row],[Age]]&lt;=35, "Between 25-35", Table1[[#This Row],[Age]]&lt;=45, "Between 36-45", Table1[[#This Row],[Age]]&gt;45, "45+")</f>
        <v>Below 25</v>
      </c>
    </row>
    <row r="1019" spans="1:21" x14ac:dyDescent="0.3">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c r="T1019">
        <f>IF(Table1[[#This Row],[Discount_Applied]]="Yes", 1,0)</f>
        <v>1</v>
      </c>
      <c r="U1019" t="str">
        <f>_xlfn.IFS(Table1[[#This Row],[Age]]&lt;=25, "Below 25", Table1[[#This Row],[Age]]&lt;=35, "Between 25-35", Table1[[#This Row],[Age]]&lt;=45, "Between 36-45", Table1[[#This Row],[Age]]&gt;45, "45+")</f>
        <v>Below 25</v>
      </c>
    </row>
    <row r="1020" spans="1:21" x14ac:dyDescent="0.3">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c r="T1020">
        <f>IF(Table1[[#This Row],[Discount_Applied]]="Yes", 1,0)</f>
        <v>1</v>
      </c>
      <c r="U1020" t="str">
        <f>_xlfn.IFS(Table1[[#This Row],[Age]]&lt;=25, "Below 25", Table1[[#This Row],[Age]]&lt;=35, "Between 25-35", Table1[[#This Row],[Age]]&lt;=45, "Between 36-45", Table1[[#This Row],[Age]]&gt;45, "45+")</f>
        <v>45+</v>
      </c>
    </row>
    <row r="1021" spans="1:21" x14ac:dyDescent="0.3">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c r="T1021">
        <f>IF(Table1[[#This Row],[Discount_Applied]]="Yes", 1,0)</f>
        <v>1</v>
      </c>
      <c r="U1021" t="str">
        <f>_xlfn.IFS(Table1[[#This Row],[Age]]&lt;=25, "Below 25", Table1[[#This Row],[Age]]&lt;=35, "Between 25-35", Table1[[#This Row],[Age]]&lt;=45, "Between 36-45", Table1[[#This Row],[Age]]&gt;45, "45+")</f>
        <v>Between 25-35</v>
      </c>
    </row>
    <row r="1022" spans="1:21" x14ac:dyDescent="0.3">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c r="T1022">
        <f>IF(Table1[[#This Row],[Discount_Applied]]="Yes", 1,0)</f>
        <v>1</v>
      </c>
      <c r="U1022" t="str">
        <f>_xlfn.IFS(Table1[[#This Row],[Age]]&lt;=25, "Below 25", Table1[[#This Row],[Age]]&lt;=35, "Between 25-35", Table1[[#This Row],[Age]]&lt;=45, "Between 36-45", Table1[[#This Row],[Age]]&gt;45, "45+")</f>
        <v>Below 25</v>
      </c>
    </row>
    <row r="1023" spans="1:21" x14ac:dyDescent="0.3">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c r="T1023">
        <f>IF(Table1[[#This Row],[Discount_Applied]]="Yes", 1,0)</f>
        <v>1</v>
      </c>
      <c r="U1023" t="str">
        <f>_xlfn.IFS(Table1[[#This Row],[Age]]&lt;=25, "Below 25", Table1[[#This Row],[Age]]&lt;=35, "Between 25-35", Table1[[#This Row],[Age]]&lt;=45, "Between 36-45", Table1[[#This Row],[Age]]&gt;45, "45+")</f>
        <v>45+</v>
      </c>
    </row>
    <row r="1024" spans="1:21" x14ac:dyDescent="0.3">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c r="T1024">
        <f>IF(Table1[[#This Row],[Discount_Applied]]="Yes", 1,0)</f>
        <v>1</v>
      </c>
      <c r="U1024" t="str">
        <f>_xlfn.IFS(Table1[[#This Row],[Age]]&lt;=25, "Below 25", Table1[[#This Row],[Age]]&lt;=35, "Between 25-35", Table1[[#This Row],[Age]]&lt;=45, "Between 36-45", Table1[[#This Row],[Age]]&gt;45, "45+")</f>
        <v>45+</v>
      </c>
    </row>
    <row r="1025" spans="1:21" x14ac:dyDescent="0.3">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c r="T1025">
        <f>IF(Table1[[#This Row],[Discount_Applied]]="Yes", 1,0)</f>
        <v>1</v>
      </c>
      <c r="U1025" t="str">
        <f>_xlfn.IFS(Table1[[#This Row],[Age]]&lt;=25, "Below 25", Table1[[#This Row],[Age]]&lt;=35, "Between 25-35", Table1[[#This Row],[Age]]&lt;=45, "Between 36-45", Table1[[#This Row],[Age]]&gt;45, "45+")</f>
        <v>45+</v>
      </c>
    </row>
    <row r="1026" spans="1:21" x14ac:dyDescent="0.3">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c r="T1026">
        <f>IF(Table1[[#This Row],[Discount_Applied]]="Yes", 1,0)</f>
        <v>1</v>
      </c>
      <c r="U1026" t="str">
        <f>_xlfn.IFS(Table1[[#This Row],[Age]]&lt;=25, "Below 25", Table1[[#This Row],[Age]]&lt;=35, "Between 25-35", Table1[[#This Row],[Age]]&lt;=45, "Between 36-45", Table1[[#This Row],[Age]]&gt;45, "45+")</f>
        <v>Between 25-35</v>
      </c>
    </row>
    <row r="1027" spans="1:21" x14ac:dyDescent="0.3">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c r="T1027">
        <f>IF(Table1[[#This Row],[Discount_Applied]]="Yes", 1,0)</f>
        <v>1</v>
      </c>
      <c r="U1027" t="str">
        <f>_xlfn.IFS(Table1[[#This Row],[Age]]&lt;=25, "Below 25", Table1[[#This Row],[Age]]&lt;=35, "Between 25-35", Table1[[#This Row],[Age]]&lt;=45, "Between 36-45", Table1[[#This Row],[Age]]&gt;45, "45+")</f>
        <v>45+</v>
      </c>
    </row>
    <row r="1028" spans="1:21" x14ac:dyDescent="0.3">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c r="T1028">
        <f>IF(Table1[[#This Row],[Discount_Applied]]="Yes", 1,0)</f>
        <v>1</v>
      </c>
      <c r="U1028" t="str">
        <f>_xlfn.IFS(Table1[[#This Row],[Age]]&lt;=25, "Below 25", Table1[[#This Row],[Age]]&lt;=35, "Between 25-35", Table1[[#This Row],[Age]]&lt;=45, "Between 36-45", Table1[[#This Row],[Age]]&gt;45, "45+")</f>
        <v>45+</v>
      </c>
    </row>
    <row r="1029" spans="1:21" x14ac:dyDescent="0.3">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c r="T1029">
        <f>IF(Table1[[#This Row],[Discount_Applied]]="Yes", 1,0)</f>
        <v>1</v>
      </c>
      <c r="U1029" t="str">
        <f>_xlfn.IFS(Table1[[#This Row],[Age]]&lt;=25, "Below 25", Table1[[#This Row],[Age]]&lt;=35, "Between 25-35", Table1[[#This Row],[Age]]&lt;=45, "Between 36-45", Table1[[#This Row],[Age]]&gt;45, "45+")</f>
        <v>Between 25-35</v>
      </c>
    </row>
    <row r="1030" spans="1:21" x14ac:dyDescent="0.3">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c r="T1030">
        <f>IF(Table1[[#This Row],[Discount_Applied]]="Yes", 1,0)</f>
        <v>1</v>
      </c>
      <c r="U1030" t="str">
        <f>_xlfn.IFS(Table1[[#This Row],[Age]]&lt;=25, "Below 25", Table1[[#This Row],[Age]]&lt;=35, "Between 25-35", Table1[[#This Row],[Age]]&lt;=45, "Between 36-45", Table1[[#This Row],[Age]]&gt;45, "45+")</f>
        <v>Between 36-45</v>
      </c>
    </row>
    <row r="1031" spans="1:21" x14ac:dyDescent="0.3">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c r="T1031">
        <f>IF(Table1[[#This Row],[Discount_Applied]]="Yes", 1,0)</f>
        <v>1</v>
      </c>
      <c r="U1031" t="str">
        <f>_xlfn.IFS(Table1[[#This Row],[Age]]&lt;=25, "Below 25", Table1[[#This Row],[Age]]&lt;=35, "Between 25-35", Table1[[#This Row],[Age]]&lt;=45, "Between 36-45", Table1[[#This Row],[Age]]&gt;45, "45+")</f>
        <v>Between 25-35</v>
      </c>
    </row>
    <row r="1032" spans="1:21" x14ac:dyDescent="0.3">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c r="T1032">
        <f>IF(Table1[[#This Row],[Discount_Applied]]="Yes", 1,0)</f>
        <v>1</v>
      </c>
      <c r="U1032" t="str">
        <f>_xlfn.IFS(Table1[[#This Row],[Age]]&lt;=25, "Below 25", Table1[[#This Row],[Age]]&lt;=35, "Between 25-35", Table1[[#This Row],[Age]]&lt;=45, "Between 36-45", Table1[[#This Row],[Age]]&gt;45, "45+")</f>
        <v>45+</v>
      </c>
    </row>
    <row r="1033" spans="1:21" x14ac:dyDescent="0.3">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c r="T1033">
        <f>IF(Table1[[#This Row],[Discount_Applied]]="Yes", 1,0)</f>
        <v>1</v>
      </c>
      <c r="U1033" t="str">
        <f>_xlfn.IFS(Table1[[#This Row],[Age]]&lt;=25, "Below 25", Table1[[#This Row],[Age]]&lt;=35, "Between 25-35", Table1[[#This Row],[Age]]&lt;=45, "Between 36-45", Table1[[#This Row],[Age]]&gt;45, "45+")</f>
        <v>Below 25</v>
      </c>
    </row>
    <row r="1034" spans="1:21" x14ac:dyDescent="0.3">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c r="T1034">
        <f>IF(Table1[[#This Row],[Discount_Applied]]="Yes", 1,0)</f>
        <v>1</v>
      </c>
      <c r="U1034" t="str">
        <f>_xlfn.IFS(Table1[[#This Row],[Age]]&lt;=25, "Below 25", Table1[[#This Row],[Age]]&lt;=35, "Between 25-35", Table1[[#This Row],[Age]]&lt;=45, "Between 36-45", Table1[[#This Row],[Age]]&gt;45, "45+")</f>
        <v>45+</v>
      </c>
    </row>
    <row r="1035" spans="1:21" x14ac:dyDescent="0.3">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c r="T1035">
        <f>IF(Table1[[#This Row],[Discount_Applied]]="Yes", 1,0)</f>
        <v>1</v>
      </c>
      <c r="U1035" t="str">
        <f>_xlfn.IFS(Table1[[#This Row],[Age]]&lt;=25, "Below 25", Table1[[#This Row],[Age]]&lt;=35, "Between 25-35", Table1[[#This Row],[Age]]&lt;=45, "Between 36-45", Table1[[#This Row],[Age]]&gt;45, "45+")</f>
        <v>Below 25</v>
      </c>
    </row>
    <row r="1036" spans="1:21" x14ac:dyDescent="0.3">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c r="T1036">
        <f>IF(Table1[[#This Row],[Discount_Applied]]="Yes", 1,0)</f>
        <v>1</v>
      </c>
      <c r="U1036" t="str">
        <f>_xlfn.IFS(Table1[[#This Row],[Age]]&lt;=25, "Below 25", Table1[[#This Row],[Age]]&lt;=35, "Between 25-35", Table1[[#This Row],[Age]]&lt;=45, "Between 36-45", Table1[[#This Row],[Age]]&gt;45, "45+")</f>
        <v>45+</v>
      </c>
    </row>
    <row r="1037" spans="1:21" x14ac:dyDescent="0.3">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c r="T1037">
        <f>IF(Table1[[#This Row],[Discount_Applied]]="Yes", 1,0)</f>
        <v>1</v>
      </c>
      <c r="U1037" t="str">
        <f>_xlfn.IFS(Table1[[#This Row],[Age]]&lt;=25, "Below 25", Table1[[#This Row],[Age]]&lt;=35, "Between 25-35", Table1[[#This Row],[Age]]&lt;=45, "Between 36-45", Table1[[#This Row],[Age]]&gt;45, "45+")</f>
        <v>45+</v>
      </c>
    </row>
    <row r="1038" spans="1:21" x14ac:dyDescent="0.3">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c r="T1038">
        <f>IF(Table1[[#This Row],[Discount_Applied]]="Yes", 1,0)</f>
        <v>1</v>
      </c>
      <c r="U1038" t="str">
        <f>_xlfn.IFS(Table1[[#This Row],[Age]]&lt;=25, "Below 25", Table1[[#This Row],[Age]]&lt;=35, "Between 25-35", Table1[[#This Row],[Age]]&lt;=45, "Between 36-45", Table1[[#This Row],[Age]]&gt;45, "45+")</f>
        <v>45+</v>
      </c>
    </row>
    <row r="1039" spans="1:21" x14ac:dyDescent="0.3">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c r="T1039">
        <f>IF(Table1[[#This Row],[Discount_Applied]]="Yes", 1,0)</f>
        <v>1</v>
      </c>
      <c r="U1039" t="str">
        <f>_xlfn.IFS(Table1[[#This Row],[Age]]&lt;=25, "Below 25", Table1[[#This Row],[Age]]&lt;=35, "Between 25-35", Table1[[#This Row],[Age]]&lt;=45, "Between 36-45", Table1[[#This Row],[Age]]&gt;45, "45+")</f>
        <v>45+</v>
      </c>
    </row>
    <row r="1040" spans="1:21" x14ac:dyDescent="0.3">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c r="T1040">
        <f>IF(Table1[[#This Row],[Discount_Applied]]="Yes", 1,0)</f>
        <v>1</v>
      </c>
      <c r="U1040" t="str">
        <f>_xlfn.IFS(Table1[[#This Row],[Age]]&lt;=25, "Below 25", Table1[[#This Row],[Age]]&lt;=35, "Between 25-35", Table1[[#This Row],[Age]]&lt;=45, "Between 36-45", Table1[[#This Row],[Age]]&gt;45, "45+")</f>
        <v>Between 36-45</v>
      </c>
    </row>
    <row r="1041" spans="1:21" x14ac:dyDescent="0.3">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c r="T1041">
        <f>IF(Table1[[#This Row],[Discount_Applied]]="Yes", 1,0)</f>
        <v>1</v>
      </c>
      <c r="U1041" t="str">
        <f>_xlfn.IFS(Table1[[#This Row],[Age]]&lt;=25, "Below 25", Table1[[#This Row],[Age]]&lt;=35, "Between 25-35", Table1[[#This Row],[Age]]&lt;=45, "Between 36-45", Table1[[#This Row],[Age]]&gt;45, "45+")</f>
        <v>Between 25-35</v>
      </c>
    </row>
    <row r="1042" spans="1:21" x14ac:dyDescent="0.3">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c r="T1042">
        <f>IF(Table1[[#This Row],[Discount_Applied]]="Yes", 1,0)</f>
        <v>1</v>
      </c>
      <c r="U1042" t="str">
        <f>_xlfn.IFS(Table1[[#This Row],[Age]]&lt;=25, "Below 25", Table1[[#This Row],[Age]]&lt;=35, "Between 25-35", Table1[[#This Row],[Age]]&lt;=45, "Between 36-45", Table1[[#This Row],[Age]]&gt;45, "45+")</f>
        <v>45+</v>
      </c>
    </row>
    <row r="1043" spans="1:21" x14ac:dyDescent="0.3">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c r="T1043">
        <f>IF(Table1[[#This Row],[Discount_Applied]]="Yes", 1,0)</f>
        <v>1</v>
      </c>
      <c r="U1043" t="str">
        <f>_xlfn.IFS(Table1[[#This Row],[Age]]&lt;=25, "Below 25", Table1[[#This Row],[Age]]&lt;=35, "Between 25-35", Table1[[#This Row],[Age]]&lt;=45, "Between 36-45", Table1[[#This Row],[Age]]&gt;45, "45+")</f>
        <v>Between 36-45</v>
      </c>
    </row>
    <row r="1044" spans="1:21" x14ac:dyDescent="0.3">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c r="T1044">
        <f>IF(Table1[[#This Row],[Discount_Applied]]="Yes", 1,0)</f>
        <v>1</v>
      </c>
      <c r="U1044" t="str">
        <f>_xlfn.IFS(Table1[[#This Row],[Age]]&lt;=25, "Below 25", Table1[[#This Row],[Age]]&lt;=35, "Between 25-35", Table1[[#This Row],[Age]]&lt;=45, "Between 36-45", Table1[[#This Row],[Age]]&gt;45, "45+")</f>
        <v>45+</v>
      </c>
    </row>
    <row r="1045" spans="1:21" x14ac:dyDescent="0.3">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c r="T1045">
        <f>IF(Table1[[#This Row],[Discount_Applied]]="Yes", 1,0)</f>
        <v>1</v>
      </c>
      <c r="U1045" t="str">
        <f>_xlfn.IFS(Table1[[#This Row],[Age]]&lt;=25, "Below 25", Table1[[#This Row],[Age]]&lt;=35, "Between 25-35", Table1[[#This Row],[Age]]&lt;=45, "Between 36-45", Table1[[#This Row],[Age]]&gt;45, "45+")</f>
        <v>Between 25-35</v>
      </c>
    </row>
    <row r="1046" spans="1:21" x14ac:dyDescent="0.3">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c r="T1046">
        <f>IF(Table1[[#This Row],[Discount_Applied]]="Yes", 1,0)</f>
        <v>1</v>
      </c>
      <c r="U1046" t="str">
        <f>_xlfn.IFS(Table1[[#This Row],[Age]]&lt;=25, "Below 25", Table1[[#This Row],[Age]]&lt;=35, "Between 25-35", Table1[[#This Row],[Age]]&lt;=45, "Between 36-45", Table1[[#This Row],[Age]]&gt;45, "45+")</f>
        <v>Between 36-45</v>
      </c>
    </row>
    <row r="1047" spans="1:21" x14ac:dyDescent="0.3">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c r="T1047">
        <f>IF(Table1[[#This Row],[Discount_Applied]]="Yes", 1,0)</f>
        <v>1</v>
      </c>
      <c r="U1047" t="str">
        <f>_xlfn.IFS(Table1[[#This Row],[Age]]&lt;=25, "Below 25", Table1[[#This Row],[Age]]&lt;=35, "Between 25-35", Table1[[#This Row],[Age]]&lt;=45, "Between 36-45", Table1[[#This Row],[Age]]&gt;45, "45+")</f>
        <v>45+</v>
      </c>
    </row>
    <row r="1048" spans="1:21" x14ac:dyDescent="0.3">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c r="T1048">
        <f>IF(Table1[[#This Row],[Discount_Applied]]="Yes", 1,0)</f>
        <v>1</v>
      </c>
      <c r="U1048" t="str">
        <f>_xlfn.IFS(Table1[[#This Row],[Age]]&lt;=25, "Below 25", Table1[[#This Row],[Age]]&lt;=35, "Between 25-35", Table1[[#This Row],[Age]]&lt;=45, "Between 36-45", Table1[[#This Row],[Age]]&gt;45, "45+")</f>
        <v>Between 36-45</v>
      </c>
    </row>
    <row r="1049" spans="1:21" x14ac:dyDescent="0.3">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c r="T1049">
        <f>IF(Table1[[#This Row],[Discount_Applied]]="Yes", 1,0)</f>
        <v>1</v>
      </c>
      <c r="U1049" t="str">
        <f>_xlfn.IFS(Table1[[#This Row],[Age]]&lt;=25, "Below 25", Table1[[#This Row],[Age]]&lt;=35, "Between 25-35", Table1[[#This Row],[Age]]&lt;=45, "Between 36-45", Table1[[#This Row],[Age]]&gt;45, "45+")</f>
        <v>Between 25-35</v>
      </c>
    </row>
    <row r="1050" spans="1:21" x14ac:dyDescent="0.3">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c r="T1050">
        <f>IF(Table1[[#This Row],[Discount_Applied]]="Yes", 1,0)</f>
        <v>1</v>
      </c>
      <c r="U1050" t="str">
        <f>_xlfn.IFS(Table1[[#This Row],[Age]]&lt;=25, "Below 25", Table1[[#This Row],[Age]]&lt;=35, "Between 25-35", Table1[[#This Row],[Age]]&lt;=45, "Between 36-45", Table1[[#This Row],[Age]]&gt;45, "45+")</f>
        <v>Between 25-35</v>
      </c>
    </row>
    <row r="1051" spans="1:21" x14ac:dyDescent="0.3">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c r="T1051">
        <f>IF(Table1[[#This Row],[Discount_Applied]]="Yes", 1,0)</f>
        <v>1</v>
      </c>
      <c r="U1051" t="str">
        <f>_xlfn.IFS(Table1[[#This Row],[Age]]&lt;=25, "Below 25", Table1[[#This Row],[Age]]&lt;=35, "Between 25-35", Table1[[#This Row],[Age]]&lt;=45, "Between 36-45", Table1[[#This Row],[Age]]&gt;45, "45+")</f>
        <v>Between 36-45</v>
      </c>
    </row>
    <row r="1052" spans="1:21" x14ac:dyDescent="0.3">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c r="T1052">
        <f>IF(Table1[[#This Row],[Discount_Applied]]="Yes", 1,0)</f>
        <v>1</v>
      </c>
      <c r="U1052" t="str">
        <f>_xlfn.IFS(Table1[[#This Row],[Age]]&lt;=25, "Below 25", Table1[[#This Row],[Age]]&lt;=35, "Between 25-35", Table1[[#This Row],[Age]]&lt;=45, "Between 36-45", Table1[[#This Row],[Age]]&gt;45, "45+")</f>
        <v>45+</v>
      </c>
    </row>
    <row r="1053" spans="1:21" x14ac:dyDescent="0.3">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c r="T1053">
        <f>IF(Table1[[#This Row],[Discount_Applied]]="Yes", 1,0)</f>
        <v>1</v>
      </c>
      <c r="U1053" t="str">
        <f>_xlfn.IFS(Table1[[#This Row],[Age]]&lt;=25, "Below 25", Table1[[#This Row],[Age]]&lt;=35, "Between 25-35", Table1[[#This Row],[Age]]&lt;=45, "Between 36-45", Table1[[#This Row],[Age]]&gt;45, "45+")</f>
        <v>Between 36-45</v>
      </c>
    </row>
    <row r="1054" spans="1:21" x14ac:dyDescent="0.3">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c r="T1054">
        <f>IF(Table1[[#This Row],[Discount_Applied]]="Yes", 1,0)</f>
        <v>1</v>
      </c>
      <c r="U1054" t="str">
        <f>_xlfn.IFS(Table1[[#This Row],[Age]]&lt;=25, "Below 25", Table1[[#This Row],[Age]]&lt;=35, "Between 25-35", Table1[[#This Row],[Age]]&lt;=45, "Between 36-45", Table1[[#This Row],[Age]]&gt;45, "45+")</f>
        <v>45+</v>
      </c>
    </row>
    <row r="1055" spans="1:21" x14ac:dyDescent="0.3">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c r="T1055">
        <f>IF(Table1[[#This Row],[Discount_Applied]]="Yes", 1,0)</f>
        <v>1</v>
      </c>
      <c r="U1055" t="str">
        <f>_xlfn.IFS(Table1[[#This Row],[Age]]&lt;=25, "Below 25", Table1[[#This Row],[Age]]&lt;=35, "Between 25-35", Table1[[#This Row],[Age]]&lt;=45, "Between 36-45", Table1[[#This Row],[Age]]&gt;45, "45+")</f>
        <v>45+</v>
      </c>
    </row>
    <row r="1056" spans="1:21" x14ac:dyDescent="0.3">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c r="T1056">
        <f>IF(Table1[[#This Row],[Discount_Applied]]="Yes", 1,0)</f>
        <v>1</v>
      </c>
      <c r="U1056" t="str">
        <f>_xlfn.IFS(Table1[[#This Row],[Age]]&lt;=25, "Below 25", Table1[[#This Row],[Age]]&lt;=35, "Between 25-35", Table1[[#This Row],[Age]]&lt;=45, "Between 36-45", Table1[[#This Row],[Age]]&gt;45, "45+")</f>
        <v>Below 25</v>
      </c>
    </row>
    <row r="1057" spans="1:21" x14ac:dyDescent="0.3">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c r="T1057">
        <f>IF(Table1[[#This Row],[Discount_Applied]]="Yes", 1,0)</f>
        <v>1</v>
      </c>
      <c r="U1057" t="str">
        <f>_xlfn.IFS(Table1[[#This Row],[Age]]&lt;=25, "Below 25", Table1[[#This Row],[Age]]&lt;=35, "Between 25-35", Table1[[#This Row],[Age]]&lt;=45, "Between 36-45", Table1[[#This Row],[Age]]&gt;45, "45+")</f>
        <v>45+</v>
      </c>
    </row>
    <row r="1058" spans="1:21" x14ac:dyDescent="0.3">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c r="T1058">
        <f>IF(Table1[[#This Row],[Discount_Applied]]="Yes", 1,0)</f>
        <v>1</v>
      </c>
      <c r="U1058" t="str">
        <f>_xlfn.IFS(Table1[[#This Row],[Age]]&lt;=25, "Below 25", Table1[[#This Row],[Age]]&lt;=35, "Between 25-35", Table1[[#This Row],[Age]]&lt;=45, "Between 36-45", Table1[[#This Row],[Age]]&gt;45, "45+")</f>
        <v>Below 25</v>
      </c>
    </row>
    <row r="1059" spans="1:21" x14ac:dyDescent="0.3">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c r="T1059">
        <f>IF(Table1[[#This Row],[Discount_Applied]]="Yes", 1,0)</f>
        <v>1</v>
      </c>
      <c r="U1059" t="str">
        <f>_xlfn.IFS(Table1[[#This Row],[Age]]&lt;=25, "Below 25", Table1[[#This Row],[Age]]&lt;=35, "Between 25-35", Table1[[#This Row],[Age]]&lt;=45, "Between 36-45", Table1[[#This Row],[Age]]&gt;45, "45+")</f>
        <v>45+</v>
      </c>
    </row>
    <row r="1060" spans="1:21" x14ac:dyDescent="0.3">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c r="T1060">
        <f>IF(Table1[[#This Row],[Discount_Applied]]="Yes", 1,0)</f>
        <v>1</v>
      </c>
      <c r="U1060" t="str">
        <f>_xlfn.IFS(Table1[[#This Row],[Age]]&lt;=25, "Below 25", Table1[[#This Row],[Age]]&lt;=35, "Between 25-35", Table1[[#This Row],[Age]]&lt;=45, "Between 36-45", Table1[[#This Row],[Age]]&gt;45, "45+")</f>
        <v>Between 25-35</v>
      </c>
    </row>
    <row r="1061" spans="1:21" x14ac:dyDescent="0.3">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c r="T1061">
        <f>IF(Table1[[#This Row],[Discount_Applied]]="Yes", 1,0)</f>
        <v>1</v>
      </c>
      <c r="U1061" t="str">
        <f>_xlfn.IFS(Table1[[#This Row],[Age]]&lt;=25, "Below 25", Table1[[#This Row],[Age]]&lt;=35, "Between 25-35", Table1[[#This Row],[Age]]&lt;=45, "Between 36-45", Table1[[#This Row],[Age]]&gt;45, "45+")</f>
        <v>Below 25</v>
      </c>
    </row>
    <row r="1062" spans="1:21" x14ac:dyDescent="0.3">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c r="T1062">
        <f>IF(Table1[[#This Row],[Discount_Applied]]="Yes", 1,0)</f>
        <v>1</v>
      </c>
      <c r="U1062" t="str">
        <f>_xlfn.IFS(Table1[[#This Row],[Age]]&lt;=25, "Below 25", Table1[[#This Row],[Age]]&lt;=35, "Between 25-35", Table1[[#This Row],[Age]]&lt;=45, "Between 36-45", Table1[[#This Row],[Age]]&gt;45, "45+")</f>
        <v>Between 25-35</v>
      </c>
    </row>
    <row r="1063" spans="1:21" x14ac:dyDescent="0.3">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c r="T1063">
        <f>IF(Table1[[#This Row],[Discount_Applied]]="Yes", 1,0)</f>
        <v>1</v>
      </c>
      <c r="U1063" t="str">
        <f>_xlfn.IFS(Table1[[#This Row],[Age]]&lt;=25, "Below 25", Table1[[#This Row],[Age]]&lt;=35, "Between 25-35", Table1[[#This Row],[Age]]&lt;=45, "Between 36-45", Table1[[#This Row],[Age]]&gt;45, "45+")</f>
        <v>Between 36-45</v>
      </c>
    </row>
    <row r="1064" spans="1:21" x14ac:dyDescent="0.3">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c r="T1064">
        <f>IF(Table1[[#This Row],[Discount_Applied]]="Yes", 1,0)</f>
        <v>1</v>
      </c>
      <c r="U1064" t="str">
        <f>_xlfn.IFS(Table1[[#This Row],[Age]]&lt;=25, "Below 25", Table1[[#This Row],[Age]]&lt;=35, "Between 25-35", Table1[[#This Row],[Age]]&lt;=45, "Between 36-45", Table1[[#This Row],[Age]]&gt;45, "45+")</f>
        <v>45+</v>
      </c>
    </row>
    <row r="1065" spans="1:21" x14ac:dyDescent="0.3">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c r="T1065">
        <f>IF(Table1[[#This Row],[Discount_Applied]]="Yes", 1,0)</f>
        <v>1</v>
      </c>
      <c r="U1065" t="str">
        <f>_xlfn.IFS(Table1[[#This Row],[Age]]&lt;=25, "Below 25", Table1[[#This Row],[Age]]&lt;=35, "Between 25-35", Table1[[#This Row],[Age]]&lt;=45, "Between 36-45", Table1[[#This Row],[Age]]&gt;45, "45+")</f>
        <v>45+</v>
      </c>
    </row>
    <row r="1066" spans="1:21" x14ac:dyDescent="0.3">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c r="T1066">
        <f>IF(Table1[[#This Row],[Discount_Applied]]="Yes", 1,0)</f>
        <v>1</v>
      </c>
      <c r="U1066" t="str">
        <f>_xlfn.IFS(Table1[[#This Row],[Age]]&lt;=25, "Below 25", Table1[[#This Row],[Age]]&lt;=35, "Between 25-35", Table1[[#This Row],[Age]]&lt;=45, "Between 36-45", Table1[[#This Row],[Age]]&gt;45, "45+")</f>
        <v>Between 25-35</v>
      </c>
    </row>
    <row r="1067" spans="1:21" x14ac:dyDescent="0.3">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c r="T1067">
        <f>IF(Table1[[#This Row],[Discount_Applied]]="Yes", 1,0)</f>
        <v>1</v>
      </c>
      <c r="U1067" t="str">
        <f>_xlfn.IFS(Table1[[#This Row],[Age]]&lt;=25, "Below 25", Table1[[#This Row],[Age]]&lt;=35, "Between 25-35", Table1[[#This Row],[Age]]&lt;=45, "Between 36-45", Table1[[#This Row],[Age]]&gt;45, "45+")</f>
        <v>45+</v>
      </c>
    </row>
    <row r="1068" spans="1:21" x14ac:dyDescent="0.3">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c r="T1068">
        <f>IF(Table1[[#This Row],[Discount_Applied]]="Yes", 1,0)</f>
        <v>1</v>
      </c>
      <c r="U1068" t="str">
        <f>_xlfn.IFS(Table1[[#This Row],[Age]]&lt;=25, "Below 25", Table1[[#This Row],[Age]]&lt;=35, "Between 25-35", Table1[[#This Row],[Age]]&lt;=45, "Between 36-45", Table1[[#This Row],[Age]]&gt;45, "45+")</f>
        <v>45+</v>
      </c>
    </row>
    <row r="1069" spans="1:21" x14ac:dyDescent="0.3">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c r="T1069">
        <f>IF(Table1[[#This Row],[Discount_Applied]]="Yes", 1,0)</f>
        <v>1</v>
      </c>
      <c r="U1069" t="str">
        <f>_xlfn.IFS(Table1[[#This Row],[Age]]&lt;=25, "Below 25", Table1[[#This Row],[Age]]&lt;=35, "Between 25-35", Table1[[#This Row],[Age]]&lt;=45, "Between 36-45", Table1[[#This Row],[Age]]&gt;45, "45+")</f>
        <v>Below 25</v>
      </c>
    </row>
    <row r="1070" spans="1:21" x14ac:dyDescent="0.3">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c r="T1070">
        <f>IF(Table1[[#This Row],[Discount_Applied]]="Yes", 1,0)</f>
        <v>1</v>
      </c>
      <c r="U1070" t="str">
        <f>_xlfn.IFS(Table1[[#This Row],[Age]]&lt;=25, "Below 25", Table1[[#This Row],[Age]]&lt;=35, "Between 25-35", Table1[[#This Row],[Age]]&lt;=45, "Between 36-45", Table1[[#This Row],[Age]]&gt;45, "45+")</f>
        <v>45+</v>
      </c>
    </row>
    <row r="1071" spans="1:21" x14ac:dyDescent="0.3">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c r="T1071">
        <f>IF(Table1[[#This Row],[Discount_Applied]]="Yes", 1,0)</f>
        <v>1</v>
      </c>
      <c r="U1071" t="str">
        <f>_xlfn.IFS(Table1[[#This Row],[Age]]&lt;=25, "Below 25", Table1[[#This Row],[Age]]&lt;=35, "Between 25-35", Table1[[#This Row],[Age]]&lt;=45, "Between 36-45", Table1[[#This Row],[Age]]&gt;45, "45+")</f>
        <v>Between 36-45</v>
      </c>
    </row>
    <row r="1072" spans="1:21" x14ac:dyDescent="0.3">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c r="T1072">
        <f>IF(Table1[[#This Row],[Discount_Applied]]="Yes", 1,0)</f>
        <v>1</v>
      </c>
      <c r="U1072" t="str">
        <f>_xlfn.IFS(Table1[[#This Row],[Age]]&lt;=25, "Below 25", Table1[[#This Row],[Age]]&lt;=35, "Between 25-35", Table1[[#This Row],[Age]]&lt;=45, "Between 36-45", Table1[[#This Row],[Age]]&gt;45, "45+")</f>
        <v>45+</v>
      </c>
    </row>
    <row r="1073" spans="1:21" x14ac:dyDescent="0.3">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c r="T1073">
        <f>IF(Table1[[#This Row],[Discount_Applied]]="Yes", 1,0)</f>
        <v>1</v>
      </c>
      <c r="U1073" t="str">
        <f>_xlfn.IFS(Table1[[#This Row],[Age]]&lt;=25, "Below 25", Table1[[#This Row],[Age]]&lt;=35, "Between 25-35", Table1[[#This Row],[Age]]&lt;=45, "Between 36-45", Table1[[#This Row],[Age]]&gt;45, "45+")</f>
        <v>45+</v>
      </c>
    </row>
    <row r="1074" spans="1:21" x14ac:dyDescent="0.3">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c r="T1074">
        <f>IF(Table1[[#This Row],[Discount_Applied]]="Yes", 1,0)</f>
        <v>1</v>
      </c>
      <c r="U1074" t="str">
        <f>_xlfn.IFS(Table1[[#This Row],[Age]]&lt;=25, "Below 25", Table1[[#This Row],[Age]]&lt;=35, "Between 25-35", Table1[[#This Row],[Age]]&lt;=45, "Between 36-45", Table1[[#This Row],[Age]]&gt;45, "45+")</f>
        <v>45+</v>
      </c>
    </row>
    <row r="1075" spans="1:21" x14ac:dyDescent="0.3">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c r="T1075">
        <f>IF(Table1[[#This Row],[Discount_Applied]]="Yes", 1,0)</f>
        <v>1</v>
      </c>
      <c r="U1075" t="str">
        <f>_xlfn.IFS(Table1[[#This Row],[Age]]&lt;=25, "Below 25", Table1[[#This Row],[Age]]&lt;=35, "Between 25-35", Table1[[#This Row],[Age]]&lt;=45, "Between 36-45", Table1[[#This Row],[Age]]&gt;45, "45+")</f>
        <v>Below 25</v>
      </c>
    </row>
    <row r="1076" spans="1:21" x14ac:dyDescent="0.3">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c r="T1076">
        <f>IF(Table1[[#This Row],[Discount_Applied]]="Yes", 1,0)</f>
        <v>1</v>
      </c>
      <c r="U1076" t="str">
        <f>_xlfn.IFS(Table1[[#This Row],[Age]]&lt;=25, "Below 25", Table1[[#This Row],[Age]]&lt;=35, "Between 25-35", Table1[[#This Row],[Age]]&lt;=45, "Between 36-45", Table1[[#This Row],[Age]]&gt;45, "45+")</f>
        <v>45+</v>
      </c>
    </row>
    <row r="1077" spans="1:21" x14ac:dyDescent="0.3">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c r="T1077">
        <f>IF(Table1[[#This Row],[Discount_Applied]]="Yes", 1,0)</f>
        <v>1</v>
      </c>
      <c r="U1077" t="str">
        <f>_xlfn.IFS(Table1[[#This Row],[Age]]&lt;=25, "Below 25", Table1[[#This Row],[Age]]&lt;=35, "Between 25-35", Table1[[#This Row],[Age]]&lt;=45, "Between 36-45", Table1[[#This Row],[Age]]&gt;45, "45+")</f>
        <v>45+</v>
      </c>
    </row>
    <row r="1078" spans="1:21" x14ac:dyDescent="0.3">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c r="T1078">
        <f>IF(Table1[[#This Row],[Discount_Applied]]="Yes", 1,0)</f>
        <v>1</v>
      </c>
      <c r="U1078" t="str">
        <f>_xlfn.IFS(Table1[[#This Row],[Age]]&lt;=25, "Below 25", Table1[[#This Row],[Age]]&lt;=35, "Between 25-35", Table1[[#This Row],[Age]]&lt;=45, "Between 36-45", Table1[[#This Row],[Age]]&gt;45, "45+")</f>
        <v>Between 25-35</v>
      </c>
    </row>
    <row r="1079" spans="1:21" x14ac:dyDescent="0.3">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c r="T1079">
        <f>IF(Table1[[#This Row],[Discount_Applied]]="Yes", 1,0)</f>
        <v>1</v>
      </c>
      <c r="U1079" t="str">
        <f>_xlfn.IFS(Table1[[#This Row],[Age]]&lt;=25, "Below 25", Table1[[#This Row],[Age]]&lt;=35, "Between 25-35", Table1[[#This Row],[Age]]&lt;=45, "Between 36-45", Table1[[#This Row],[Age]]&gt;45, "45+")</f>
        <v>45+</v>
      </c>
    </row>
    <row r="1080" spans="1:21" x14ac:dyDescent="0.3">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c r="T1080">
        <f>IF(Table1[[#This Row],[Discount_Applied]]="Yes", 1,0)</f>
        <v>1</v>
      </c>
      <c r="U1080" t="str">
        <f>_xlfn.IFS(Table1[[#This Row],[Age]]&lt;=25, "Below 25", Table1[[#This Row],[Age]]&lt;=35, "Between 25-35", Table1[[#This Row],[Age]]&lt;=45, "Between 36-45", Table1[[#This Row],[Age]]&gt;45, "45+")</f>
        <v>Between 36-45</v>
      </c>
    </row>
    <row r="1081" spans="1:21" x14ac:dyDescent="0.3">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c r="T1081">
        <f>IF(Table1[[#This Row],[Discount_Applied]]="Yes", 1,0)</f>
        <v>1</v>
      </c>
      <c r="U1081" t="str">
        <f>_xlfn.IFS(Table1[[#This Row],[Age]]&lt;=25, "Below 25", Table1[[#This Row],[Age]]&lt;=35, "Between 25-35", Table1[[#This Row],[Age]]&lt;=45, "Between 36-45", Table1[[#This Row],[Age]]&gt;45, "45+")</f>
        <v>Below 25</v>
      </c>
    </row>
    <row r="1082" spans="1:21" x14ac:dyDescent="0.3">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c r="T1082">
        <f>IF(Table1[[#This Row],[Discount_Applied]]="Yes", 1,0)</f>
        <v>1</v>
      </c>
      <c r="U1082" t="str">
        <f>_xlfn.IFS(Table1[[#This Row],[Age]]&lt;=25, "Below 25", Table1[[#This Row],[Age]]&lt;=35, "Between 25-35", Table1[[#This Row],[Age]]&lt;=45, "Between 36-45", Table1[[#This Row],[Age]]&gt;45, "45+")</f>
        <v>45+</v>
      </c>
    </row>
    <row r="1083" spans="1:21" x14ac:dyDescent="0.3">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c r="T1083">
        <f>IF(Table1[[#This Row],[Discount_Applied]]="Yes", 1,0)</f>
        <v>1</v>
      </c>
      <c r="U1083" t="str">
        <f>_xlfn.IFS(Table1[[#This Row],[Age]]&lt;=25, "Below 25", Table1[[#This Row],[Age]]&lt;=35, "Between 25-35", Table1[[#This Row],[Age]]&lt;=45, "Between 36-45", Table1[[#This Row],[Age]]&gt;45, "45+")</f>
        <v>45+</v>
      </c>
    </row>
    <row r="1084" spans="1:21" x14ac:dyDescent="0.3">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c r="T1084">
        <f>IF(Table1[[#This Row],[Discount_Applied]]="Yes", 1,0)</f>
        <v>1</v>
      </c>
      <c r="U1084" t="str">
        <f>_xlfn.IFS(Table1[[#This Row],[Age]]&lt;=25, "Below 25", Table1[[#This Row],[Age]]&lt;=35, "Between 25-35", Table1[[#This Row],[Age]]&lt;=45, "Between 36-45", Table1[[#This Row],[Age]]&gt;45, "45+")</f>
        <v>45+</v>
      </c>
    </row>
    <row r="1085" spans="1:21" x14ac:dyDescent="0.3">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c r="T1085">
        <f>IF(Table1[[#This Row],[Discount_Applied]]="Yes", 1,0)</f>
        <v>1</v>
      </c>
      <c r="U1085" t="str">
        <f>_xlfn.IFS(Table1[[#This Row],[Age]]&lt;=25, "Below 25", Table1[[#This Row],[Age]]&lt;=35, "Between 25-35", Table1[[#This Row],[Age]]&lt;=45, "Between 36-45", Table1[[#This Row],[Age]]&gt;45, "45+")</f>
        <v>Between 25-35</v>
      </c>
    </row>
    <row r="1086" spans="1:21" x14ac:dyDescent="0.3">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c r="T1086">
        <f>IF(Table1[[#This Row],[Discount_Applied]]="Yes", 1,0)</f>
        <v>1</v>
      </c>
      <c r="U1086" t="str">
        <f>_xlfn.IFS(Table1[[#This Row],[Age]]&lt;=25, "Below 25", Table1[[#This Row],[Age]]&lt;=35, "Between 25-35", Table1[[#This Row],[Age]]&lt;=45, "Between 36-45", Table1[[#This Row],[Age]]&gt;45, "45+")</f>
        <v>Between 25-35</v>
      </c>
    </row>
    <row r="1087" spans="1:21" x14ac:dyDescent="0.3">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c r="T1087">
        <f>IF(Table1[[#This Row],[Discount_Applied]]="Yes", 1,0)</f>
        <v>1</v>
      </c>
      <c r="U1087" t="str">
        <f>_xlfn.IFS(Table1[[#This Row],[Age]]&lt;=25, "Below 25", Table1[[#This Row],[Age]]&lt;=35, "Between 25-35", Table1[[#This Row],[Age]]&lt;=45, "Between 36-45", Table1[[#This Row],[Age]]&gt;45, "45+")</f>
        <v>Below 25</v>
      </c>
    </row>
    <row r="1088" spans="1:21" x14ac:dyDescent="0.3">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c r="T1088">
        <f>IF(Table1[[#This Row],[Discount_Applied]]="Yes", 1,0)</f>
        <v>1</v>
      </c>
      <c r="U1088" t="str">
        <f>_xlfn.IFS(Table1[[#This Row],[Age]]&lt;=25, "Below 25", Table1[[#This Row],[Age]]&lt;=35, "Between 25-35", Table1[[#This Row],[Age]]&lt;=45, "Between 36-45", Table1[[#This Row],[Age]]&gt;45, "45+")</f>
        <v>45+</v>
      </c>
    </row>
    <row r="1089" spans="1:21" x14ac:dyDescent="0.3">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c r="T1089">
        <f>IF(Table1[[#This Row],[Discount_Applied]]="Yes", 1,0)</f>
        <v>1</v>
      </c>
      <c r="U1089" t="str">
        <f>_xlfn.IFS(Table1[[#This Row],[Age]]&lt;=25, "Below 25", Table1[[#This Row],[Age]]&lt;=35, "Between 25-35", Table1[[#This Row],[Age]]&lt;=45, "Between 36-45", Table1[[#This Row],[Age]]&gt;45, "45+")</f>
        <v>Between 36-45</v>
      </c>
    </row>
    <row r="1090" spans="1:21" x14ac:dyDescent="0.3">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c r="T1090">
        <f>IF(Table1[[#This Row],[Discount_Applied]]="Yes", 1,0)</f>
        <v>1</v>
      </c>
      <c r="U1090" t="str">
        <f>_xlfn.IFS(Table1[[#This Row],[Age]]&lt;=25, "Below 25", Table1[[#This Row],[Age]]&lt;=35, "Between 25-35", Table1[[#This Row],[Age]]&lt;=45, "Between 36-45", Table1[[#This Row],[Age]]&gt;45, "45+")</f>
        <v>45+</v>
      </c>
    </row>
    <row r="1091" spans="1:21" x14ac:dyDescent="0.3">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c r="T1091">
        <f>IF(Table1[[#This Row],[Discount_Applied]]="Yes", 1,0)</f>
        <v>1</v>
      </c>
      <c r="U1091" t="str">
        <f>_xlfn.IFS(Table1[[#This Row],[Age]]&lt;=25, "Below 25", Table1[[#This Row],[Age]]&lt;=35, "Between 25-35", Table1[[#This Row],[Age]]&lt;=45, "Between 36-45", Table1[[#This Row],[Age]]&gt;45, "45+")</f>
        <v>Between 36-45</v>
      </c>
    </row>
    <row r="1092" spans="1:21" x14ac:dyDescent="0.3">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c r="T1092">
        <f>IF(Table1[[#This Row],[Discount_Applied]]="Yes", 1,0)</f>
        <v>1</v>
      </c>
      <c r="U1092" t="str">
        <f>_xlfn.IFS(Table1[[#This Row],[Age]]&lt;=25, "Below 25", Table1[[#This Row],[Age]]&lt;=35, "Between 25-35", Table1[[#This Row],[Age]]&lt;=45, "Between 36-45", Table1[[#This Row],[Age]]&gt;45, "45+")</f>
        <v>Between 36-45</v>
      </c>
    </row>
    <row r="1093" spans="1:21" x14ac:dyDescent="0.3">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c r="T1093">
        <f>IF(Table1[[#This Row],[Discount_Applied]]="Yes", 1,0)</f>
        <v>1</v>
      </c>
      <c r="U1093" t="str">
        <f>_xlfn.IFS(Table1[[#This Row],[Age]]&lt;=25, "Below 25", Table1[[#This Row],[Age]]&lt;=35, "Between 25-35", Table1[[#This Row],[Age]]&lt;=45, "Between 36-45", Table1[[#This Row],[Age]]&gt;45, "45+")</f>
        <v>Between 36-45</v>
      </c>
    </row>
    <row r="1094" spans="1:21" x14ac:dyDescent="0.3">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c r="T1094">
        <f>IF(Table1[[#This Row],[Discount_Applied]]="Yes", 1,0)</f>
        <v>1</v>
      </c>
      <c r="U1094" t="str">
        <f>_xlfn.IFS(Table1[[#This Row],[Age]]&lt;=25, "Below 25", Table1[[#This Row],[Age]]&lt;=35, "Between 25-35", Table1[[#This Row],[Age]]&lt;=45, "Between 36-45", Table1[[#This Row],[Age]]&gt;45, "45+")</f>
        <v>45+</v>
      </c>
    </row>
    <row r="1095" spans="1:21" x14ac:dyDescent="0.3">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c r="T1095">
        <f>IF(Table1[[#This Row],[Discount_Applied]]="Yes", 1,0)</f>
        <v>1</v>
      </c>
      <c r="U1095" t="str">
        <f>_xlfn.IFS(Table1[[#This Row],[Age]]&lt;=25, "Below 25", Table1[[#This Row],[Age]]&lt;=35, "Between 25-35", Table1[[#This Row],[Age]]&lt;=45, "Between 36-45", Table1[[#This Row],[Age]]&gt;45, "45+")</f>
        <v>45+</v>
      </c>
    </row>
    <row r="1096" spans="1:21" x14ac:dyDescent="0.3">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c r="T1096">
        <f>IF(Table1[[#This Row],[Discount_Applied]]="Yes", 1,0)</f>
        <v>1</v>
      </c>
      <c r="U1096" t="str">
        <f>_xlfn.IFS(Table1[[#This Row],[Age]]&lt;=25, "Below 25", Table1[[#This Row],[Age]]&lt;=35, "Between 25-35", Table1[[#This Row],[Age]]&lt;=45, "Between 36-45", Table1[[#This Row],[Age]]&gt;45, "45+")</f>
        <v>Below 25</v>
      </c>
    </row>
    <row r="1097" spans="1:21" x14ac:dyDescent="0.3">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c r="T1097">
        <f>IF(Table1[[#This Row],[Discount_Applied]]="Yes", 1,0)</f>
        <v>1</v>
      </c>
      <c r="U1097" t="str">
        <f>_xlfn.IFS(Table1[[#This Row],[Age]]&lt;=25, "Below 25", Table1[[#This Row],[Age]]&lt;=35, "Between 25-35", Table1[[#This Row],[Age]]&lt;=45, "Between 36-45", Table1[[#This Row],[Age]]&gt;45, "45+")</f>
        <v>Below 25</v>
      </c>
    </row>
    <row r="1098" spans="1:21" x14ac:dyDescent="0.3">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c r="T1098">
        <f>IF(Table1[[#This Row],[Discount_Applied]]="Yes", 1,0)</f>
        <v>1</v>
      </c>
      <c r="U1098" t="str">
        <f>_xlfn.IFS(Table1[[#This Row],[Age]]&lt;=25, "Below 25", Table1[[#This Row],[Age]]&lt;=35, "Between 25-35", Table1[[#This Row],[Age]]&lt;=45, "Between 36-45", Table1[[#This Row],[Age]]&gt;45, "45+")</f>
        <v>45+</v>
      </c>
    </row>
    <row r="1099" spans="1:21" x14ac:dyDescent="0.3">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c r="T1099">
        <f>IF(Table1[[#This Row],[Discount_Applied]]="Yes", 1,0)</f>
        <v>1</v>
      </c>
      <c r="U1099" t="str">
        <f>_xlfn.IFS(Table1[[#This Row],[Age]]&lt;=25, "Below 25", Table1[[#This Row],[Age]]&lt;=35, "Between 25-35", Table1[[#This Row],[Age]]&lt;=45, "Between 36-45", Table1[[#This Row],[Age]]&gt;45, "45+")</f>
        <v>45+</v>
      </c>
    </row>
    <row r="1100" spans="1:21" x14ac:dyDescent="0.3">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c r="T1100">
        <f>IF(Table1[[#This Row],[Discount_Applied]]="Yes", 1,0)</f>
        <v>1</v>
      </c>
      <c r="U1100" t="str">
        <f>_xlfn.IFS(Table1[[#This Row],[Age]]&lt;=25, "Below 25", Table1[[#This Row],[Age]]&lt;=35, "Between 25-35", Table1[[#This Row],[Age]]&lt;=45, "Between 36-45", Table1[[#This Row],[Age]]&gt;45, "45+")</f>
        <v>45+</v>
      </c>
    </row>
    <row r="1101" spans="1:21" x14ac:dyDescent="0.3">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c r="T1101">
        <f>IF(Table1[[#This Row],[Discount_Applied]]="Yes", 1,0)</f>
        <v>1</v>
      </c>
      <c r="U1101" t="str">
        <f>_xlfn.IFS(Table1[[#This Row],[Age]]&lt;=25, "Below 25", Table1[[#This Row],[Age]]&lt;=35, "Between 25-35", Table1[[#This Row],[Age]]&lt;=45, "Between 36-45", Table1[[#This Row],[Age]]&gt;45, "45+")</f>
        <v>Below 25</v>
      </c>
    </row>
    <row r="1102" spans="1:21" x14ac:dyDescent="0.3">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c r="T1102">
        <f>IF(Table1[[#This Row],[Discount_Applied]]="Yes", 1,0)</f>
        <v>1</v>
      </c>
      <c r="U1102" t="str">
        <f>_xlfn.IFS(Table1[[#This Row],[Age]]&lt;=25, "Below 25", Table1[[#This Row],[Age]]&lt;=35, "Between 25-35", Table1[[#This Row],[Age]]&lt;=45, "Between 36-45", Table1[[#This Row],[Age]]&gt;45, "45+")</f>
        <v>45+</v>
      </c>
    </row>
    <row r="1103" spans="1:21" x14ac:dyDescent="0.3">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c r="T1103">
        <f>IF(Table1[[#This Row],[Discount_Applied]]="Yes", 1,0)</f>
        <v>1</v>
      </c>
      <c r="U1103" t="str">
        <f>_xlfn.IFS(Table1[[#This Row],[Age]]&lt;=25, "Below 25", Table1[[#This Row],[Age]]&lt;=35, "Between 25-35", Table1[[#This Row],[Age]]&lt;=45, "Between 36-45", Table1[[#This Row],[Age]]&gt;45, "45+")</f>
        <v>Between 25-35</v>
      </c>
    </row>
    <row r="1104" spans="1:21" x14ac:dyDescent="0.3">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c r="T1104">
        <f>IF(Table1[[#This Row],[Discount_Applied]]="Yes", 1,0)</f>
        <v>1</v>
      </c>
      <c r="U1104" t="str">
        <f>_xlfn.IFS(Table1[[#This Row],[Age]]&lt;=25, "Below 25", Table1[[#This Row],[Age]]&lt;=35, "Between 25-35", Table1[[#This Row],[Age]]&lt;=45, "Between 36-45", Table1[[#This Row],[Age]]&gt;45, "45+")</f>
        <v>45+</v>
      </c>
    </row>
    <row r="1105" spans="1:21" x14ac:dyDescent="0.3">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c r="T1105">
        <f>IF(Table1[[#This Row],[Discount_Applied]]="Yes", 1,0)</f>
        <v>1</v>
      </c>
      <c r="U1105" t="str">
        <f>_xlfn.IFS(Table1[[#This Row],[Age]]&lt;=25, "Below 25", Table1[[#This Row],[Age]]&lt;=35, "Between 25-35", Table1[[#This Row],[Age]]&lt;=45, "Between 36-45", Table1[[#This Row],[Age]]&gt;45, "45+")</f>
        <v>Between 25-35</v>
      </c>
    </row>
    <row r="1106" spans="1:21" x14ac:dyDescent="0.3">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c r="T1106">
        <f>IF(Table1[[#This Row],[Discount_Applied]]="Yes", 1,0)</f>
        <v>1</v>
      </c>
      <c r="U1106" t="str">
        <f>_xlfn.IFS(Table1[[#This Row],[Age]]&lt;=25, "Below 25", Table1[[#This Row],[Age]]&lt;=35, "Between 25-35", Table1[[#This Row],[Age]]&lt;=45, "Between 36-45", Table1[[#This Row],[Age]]&gt;45, "45+")</f>
        <v>Between 25-35</v>
      </c>
    </row>
    <row r="1107" spans="1:21" x14ac:dyDescent="0.3">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c r="T1107">
        <f>IF(Table1[[#This Row],[Discount_Applied]]="Yes", 1,0)</f>
        <v>1</v>
      </c>
      <c r="U1107" t="str">
        <f>_xlfn.IFS(Table1[[#This Row],[Age]]&lt;=25, "Below 25", Table1[[#This Row],[Age]]&lt;=35, "Between 25-35", Table1[[#This Row],[Age]]&lt;=45, "Between 36-45", Table1[[#This Row],[Age]]&gt;45, "45+")</f>
        <v>Between 25-35</v>
      </c>
    </row>
    <row r="1108" spans="1:21" x14ac:dyDescent="0.3">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c r="T1108">
        <f>IF(Table1[[#This Row],[Discount_Applied]]="Yes", 1,0)</f>
        <v>1</v>
      </c>
      <c r="U1108" t="str">
        <f>_xlfn.IFS(Table1[[#This Row],[Age]]&lt;=25, "Below 25", Table1[[#This Row],[Age]]&lt;=35, "Between 25-35", Table1[[#This Row],[Age]]&lt;=45, "Between 36-45", Table1[[#This Row],[Age]]&gt;45, "45+")</f>
        <v>45+</v>
      </c>
    </row>
    <row r="1109" spans="1:21" x14ac:dyDescent="0.3">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c r="T1109">
        <f>IF(Table1[[#This Row],[Discount_Applied]]="Yes", 1,0)</f>
        <v>1</v>
      </c>
      <c r="U1109" t="str">
        <f>_xlfn.IFS(Table1[[#This Row],[Age]]&lt;=25, "Below 25", Table1[[#This Row],[Age]]&lt;=35, "Between 25-35", Table1[[#This Row],[Age]]&lt;=45, "Between 36-45", Table1[[#This Row],[Age]]&gt;45, "45+")</f>
        <v>45+</v>
      </c>
    </row>
    <row r="1110" spans="1:21" x14ac:dyDescent="0.3">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c r="T1110">
        <f>IF(Table1[[#This Row],[Discount_Applied]]="Yes", 1,0)</f>
        <v>1</v>
      </c>
      <c r="U1110" t="str">
        <f>_xlfn.IFS(Table1[[#This Row],[Age]]&lt;=25, "Below 25", Table1[[#This Row],[Age]]&lt;=35, "Between 25-35", Table1[[#This Row],[Age]]&lt;=45, "Between 36-45", Table1[[#This Row],[Age]]&gt;45, "45+")</f>
        <v>Between 25-35</v>
      </c>
    </row>
    <row r="1111" spans="1:21" x14ac:dyDescent="0.3">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c r="T1111">
        <f>IF(Table1[[#This Row],[Discount_Applied]]="Yes", 1,0)</f>
        <v>1</v>
      </c>
      <c r="U1111" t="str">
        <f>_xlfn.IFS(Table1[[#This Row],[Age]]&lt;=25, "Below 25", Table1[[#This Row],[Age]]&lt;=35, "Between 25-35", Table1[[#This Row],[Age]]&lt;=45, "Between 36-45", Table1[[#This Row],[Age]]&gt;45, "45+")</f>
        <v>45+</v>
      </c>
    </row>
    <row r="1112" spans="1:21" x14ac:dyDescent="0.3">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c r="T1112">
        <f>IF(Table1[[#This Row],[Discount_Applied]]="Yes", 1,0)</f>
        <v>1</v>
      </c>
      <c r="U1112" t="str">
        <f>_xlfn.IFS(Table1[[#This Row],[Age]]&lt;=25, "Below 25", Table1[[#This Row],[Age]]&lt;=35, "Between 25-35", Table1[[#This Row],[Age]]&lt;=45, "Between 36-45", Table1[[#This Row],[Age]]&gt;45, "45+")</f>
        <v>Between 25-35</v>
      </c>
    </row>
    <row r="1113" spans="1:21" x14ac:dyDescent="0.3">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c r="T1113">
        <f>IF(Table1[[#This Row],[Discount_Applied]]="Yes", 1,0)</f>
        <v>1</v>
      </c>
      <c r="U1113" t="str">
        <f>_xlfn.IFS(Table1[[#This Row],[Age]]&lt;=25, "Below 25", Table1[[#This Row],[Age]]&lt;=35, "Between 25-35", Table1[[#This Row],[Age]]&lt;=45, "Between 36-45", Table1[[#This Row],[Age]]&gt;45, "45+")</f>
        <v>Below 25</v>
      </c>
    </row>
    <row r="1114" spans="1:21" x14ac:dyDescent="0.3">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c r="T1114">
        <f>IF(Table1[[#This Row],[Discount_Applied]]="Yes", 1,0)</f>
        <v>1</v>
      </c>
      <c r="U1114" t="str">
        <f>_xlfn.IFS(Table1[[#This Row],[Age]]&lt;=25, "Below 25", Table1[[#This Row],[Age]]&lt;=35, "Between 25-35", Table1[[#This Row],[Age]]&lt;=45, "Between 36-45", Table1[[#This Row],[Age]]&gt;45, "45+")</f>
        <v>45+</v>
      </c>
    </row>
    <row r="1115" spans="1:21" x14ac:dyDescent="0.3">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c r="T1115">
        <f>IF(Table1[[#This Row],[Discount_Applied]]="Yes", 1,0)</f>
        <v>1</v>
      </c>
      <c r="U1115" t="str">
        <f>_xlfn.IFS(Table1[[#This Row],[Age]]&lt;=25, "Below 25", Table1[[#This Row],[Age]]&lt;=35, "Between 25-35", Table1[[#This Row],[Age]]&lt;=45, "Between 36-45", Table1[[#This Row],[Age]]&gt;45, "45+")</f>
        <v>Between 25-35</v>
      </c>
    </row>
    <row r="1116" spans="1:21" x14ac:dyDescent="0.3">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c r="T1116">
        <f>IF(Table1[[#This Row],[Discount_Applied]]="Yes", 1,0)</f>
        <v>1</v>
      </c>
      <c r="U1116" t="str">
        <f>_xlfn.IFS(Table1[[#This Row],[Age]]&lt;=25, "Below 25", Table1[[#This Row],[Age]]&lt;=35, "Between 25-35", Table1[[#This Row],[Age]]&lt;=45, "Between 36-45", Table1[[#This Row],[Age]]&gt;45, "45+")</f>
        <v>45+</v>
      </c>
    </row>
    <row r="1117" spans="1:21" x14ac:dyDescent="0.3">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c r="T1117">
        <f>IF(Table1[[#This Row],[Discount_Applied]]="Yes", 1,0)</f>
        <v>1</v>
      </c>
      <c r="U1117" t="str">
        <f>_xlfn.IFS(Table1[[#This Row],[Age]]&lt;=25, "Below 25", Table1[[#This Row],[Age]]&lt;=35, "Between 25-35", Table1[[#This Row],[Age]]&lt;=45, "Between 36-45", Table1[[#This Row],[Age]]&gt;45, "45+")</f>
        <v>Between 25-35</v>
      </c>
    </row>
    <row r="1118" spans="1:21" x14ac:dyDescent="0.3">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c r="T1118">
        <f>IF(Table1[[#This Row],[Discount_Applied]]="Yes", 1,0)</f>
        <v>1</v>
      </c>
      <c r="U1118" t="str">
        <f>_xlfn.IFS(Table1[[#This Row],[Age]]&lt;=25, "Below 25", Table1[[#This Row],[Age]]&lt;=35, "Between 25-35", Table1[[#This Row],[Age]]&lt;=45, "Between 36-45", Table1[[#This Row],[Age]]&gt;45, "45+")</f>
        <v>45+</v>
      </c>
    </row>
    <row r="1119" spans="1:21" x14ac:dyDescent="0.3">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c r="T1119">
        <f>IF(Table1[[#This Row],[Discount_Applied]]="Yes", 1,0)</f>
        <v>1</v>
      </c>
      <c r="U1119" t="str">
        <f>_xlfn.IFS(Table1[[#This Row],[Age]]&lt;=25, "Below 25", Table1[[#This Row],[Age]]&lt;=35, "Between 25-35", Table1[[#This Row],[Age]]&lt;=45, "Between 36-45", Table1[[#This Row],[Age]]&gt;45, "45+")</f>
        <v>Below 25</v>
      </c>
    </row>
    <row r="1120" spans="1:21" x14ac:dyDescent="0.3">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c r="T1120">
        <f>IF(Table1[[#This Row],[Discount_Applied]]="Yes", 1,0)</f>
        <v>1</v>
      </c>
      <c r="U1120" t="str">
        <f>_xlfn.IFS(Table1[[#This Row],[Age]]&lt;=25, "Below 25", Table1[[#This Row],[Age]]&lt;=35, "Between 25-35", Table1[[#This Row],[Age]]&lt;=45, "Between 36-45", Table1[[#This Row],[Age]]&gt;45, "45+")</f>
        <v>45+</v>
      </c>
    </row>
    <row r="1121" spans="1:21" x14ac:dyDescent="0.3">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c r="T1121">
        <f>IF(Table1[[#This Row],[Discount_Applied]]="Yes", 1,0)</f>
        <v>1</v>
      </c>
      <c r="U1121" t="str">
        <f>_xlfn.IFS(Table1[[#This Row],[Age]]&lt;=25, "Below 25", Table1[[#This Row],[Age]]&lt;=35, "Between 25-35", Table1[[#This Row],[Age]]&lt;=45, "Between 36-45", Table1[[#This Row],[Age]]&gt;45, "45+")</f>
        <v>Between 25-35</v>
      </c>
    </row>
    <row r="1122" spans="1:21" x14ac:dyDescent="0.3">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c r="T1122">
        <f>IF(Table1[[#This Row],[Discount_Applied]]="Yes", 1,0)</f>
        <v>1</v>
      </c>
      <c r="U1122" t="str">
        <f>_xlfn.IFS(Table1[[#This Row],[Age]]&lt;=25, "Below 25", Table1[[#This Row],[Age]]&lt;=35, "Between 25-35", Table1[[#This Row],[Age]]&lt;=45, "Between 36-45", Table1[[#This Row],[Age]]&gt;45, "45+")</f>
        <v>Below 25</v>
      </c>
    </row>
    <row r="1123" spans="1:21" x14ac:dyDescent="0.3">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c r="T1123">
        <f>IF(Table1[[#This Row],[Discount_Applied]]="Yes", 1,0)</f>
        <v>1</v>
      </c>
      <c r="U1123" t="str">
        <f>_xlfn.IFS(Table1[[#This Row],[Age]]&lt;=25, "Below 25", Table1[[#This Row],[Age]]&lt;=35, "Between 25-35", Table1[[#This Row],[Age]]&lt;=45, "Between 36-45", Table1[[#This Row],[Age]]&gt;45, "45+")</f>
        <v>45+</v>
      </c>
    </row>
    <row r="1124" spans="1:21" x14ac:dyDescent="0.3">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c r="T1124">
        <f>IF(Table1[[#This Row],[Discount_Applied]]="Yes", 1,0)</f>
        <v>1</v>
      </c>
      <c r="U1124" t="str">
        <f>_xlfn.IFS(Table1[[#This Row],[Age]]&lt;=25, "Below 25", Table1[[#This Row],[Age]]&lt;=35, "Between 25-35", Table1[[#This Row],[Age]]&lt;=45, "Between 36-45", Table1[[#This Row],[Age]]&gt;45, "45+")</f>
        <v>45+</v>
      </c>
    </row>
    <row r="1125" spans="1:21" x14ac:dyDescent="0.3">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c r="T1125">
        <f>IF(Table1[[#This Row],[Discount_Applied]]="Yes", 1,0)</f>
        <v>1</v>
      </c>
      <c r="U1125" t="str">
        <f>_xlfn.IFS(Table1[[#This Row],[Age]]&lt;=25, "Below 25", Table1[[#This Row],[Age]]&lt;=35, "Between 25-35", Table1[[#This Row],[Age]]&lt;=45, "Between 36-45", Table1[[#This Row],[Age]]&gt;45, "45+")</f>
        <v>Between 36-45</v>
      </c>
    </row>
    <row r="1126" spans="1:21" x14ac:dyDescent="0.3">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c r="T1126">
        <f>IF(Table1[[#This Row],[Discount_Applied]]="Yes", 1,0)</f>
        <v>1</v>
      </c>
      <c r="U1126" t="str">
        <f>_xlfn.IFS(Table1[[#This Row],[Age]]&lt;=25, "Below 25", Table1[[#This Row],[Age]]&lt;=35, "Between 25-35", Table1[[#This Row],[Age]]&lt;=45, "Between 36-45", Table1[[#This Row],[Age]]&gt;45, "45+")</f>
        <v>Between 36-45</v>
      </c>
    </row>
    <row r="1127" spans="1:21" x14ac:dyDescent="0.3">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c r="T1127">
        <f>IF(Table1[[#This Row],[Discount_Applied]]="Yes", 1,0)</f>
        <v>1</v>
      </c>
      <c r="U1127" t="str">
        <f>_xlfn.IFS(Table1[[#This Row],[Age]]&lt;=25, "Below 25", Table1[[#This Row],[Age]]&lt;=35, "Between 25-35", Table1[[#This Row],[Age]]&lt;=45, "Between 36-45", Table1[[#This Row],[Age]]&gt;45, "45+")</f>
        <v>Between 25-35</v>
      </c>
    </row>
    <row r="1128" spans="1:21" x14ac:dyDescent="0.3">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c r="T1128">
        <f>IF(Table1[[#This Row],[Discount_Applied]]="Yes", 1,0)</f>
        <v>1</v>
      </c>
      <c r="U1128" t="str">
        <f>_xlfn.IFS(Table1[[#This Row],[Age]]&lt;=25, "Below 25", Table1[[#This Row],[Age]]&lt;=35, "Between 25-35", Table1[[#This Row],[Age]]&lt;=45, "Between 36-45", Table1[[#This Row],[Age]]&gt;45, "45+")</f>
        <v>Below 25</v>
      </c>
    </row>
    <row r="1129" spans="1:21" x14ac:dyDescent="0.3">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c r="T1129">
        <f>IF(Table1[[#This Row],[Discount_Applied]]="Yes", 1,0)</f>
        <v>1</v>
      </c>
      <c r="U1129" t="str">
        <f>_xlfn.IFS(Table1[[#This Row],[Age]]&lt;=25, "Below 25", Table1[[#This Row],[Age]]&lt;=35, "Between 25-35", Table1[[#This Row],[Age]]&lt;=45, "Between 36-45", Table1[[#This Row],[Age]]&gt;45, "45+")</f>
        <v>45+</v>
      </c>
    </row>
    <row r="1130" spans="1:21" x14ac:dyDescent="0.3">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c r="T1130">
        <f>IF(Table1[[#This Row],[Discount_Applied]]="Yes", 1,0)</f>
        <v>1</v>
      </c>
      <c r="U1130" t="str">
        <f>_xlfn.IFS(Table1[[#This Row],[Age]]&lt;=25, "Below 25", Table1[[#This Row],[Age]]&lt;=35, "Between 25-35", Table1[[#This Row],[Age]]&lt;=45, "Between 36-45", Table1[[#This Row],[Age]]&gt;45, "45+")</f>
        <v>45+</v>
      </c>
    </row>
    <row r="1131" spans="1:21" x14ac:dyDescent="0.3">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c r="T1131">
        <f>IF(Table1[[#This Row],[Discount_Applied]]="Yes", 1,0)</f>
        <v>1</v>
      </c>
      <c r="U1131" t="str">
        <f>_xlfn.IFS(Table1[[#This Row],[Age]]&lt;=25, "Below 25", Table1[[#This Row],[Age]]&lt;=35, "Between 25-35", Table1[[#This Row],[Age]]&lt;=45, "Between 36-45", Table1[[#This Row],[Age]]&gt;45, "45+")</f>
        <v>Between 36-45</v>
      </c>
    </row>
    <row r="1132" spans="1:21" x14ac:dyDescent="0.3">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c r="T1132">
        <f>IF(Table1[[#This Row],[Discount_Applied]]="Yes", 1,0)</f>
        <v>1</v>
      </c>
      <c r="U1132" t="str">
        <f>_xlfn.IFS(Table1[[#This Row],[Age]]&lt;=25, "Below 25", Table1[[#This Row],[Age]]&lt;=35, "Between 25-35", Table1[[#This Row],[Age]]&lt;=45, "Between 36-45", Table1[[#This Row],[Age]]&gt;45, "45+")</f>
        <v>45+</v>
      </c>
    </row>
    <row r="1133" spans="1:21" x14ac:dyDescent="0.3">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c r="T1133">
        <f>IF(Table1[[#This Row],[Discount_Applied]]="Yes", 1,0)</f>
        <v>1</v>
      </c>
      <c r="U1133" t="str">
        <f>_xlfn.IFS(Table1[[#This Row],[Age]]&lt;=25, "Below 25", Table1[[#This Row],[Age]]&lt;=35, "Between 25-35", Table1[[#This Row],[Age]]&lt;=45, "Between 36-45", Table1[[#This Row],[Age]]&gt;45, "45+")</f>
        <v>45+</v>
      </c>
    </row>
    <row r="1134" spans="1:21" x14ac:dyDescent="0.3">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c r="T1134">
        <f>IF(Table1[[#This Row],[Discount_Applied]]="Yes", 1,0)</f>
        <v>1</v>
      </c>
      <c r="U1134" t="str">
        <f>_xlfn.IFS(Table1[[#This Row],[Age]]&lt;=25, "Below 25", Table1[[#This Row],[Age]]&lt;=35, "Between 25-35", Table1[[#This Row],[Age]]&lt;=45, "Between 36-45", Table1[[#This Row],[Age]]&gt;45, "45+")</f>
        <v>45+</v>
      </c>
    </row>
    <row r="1135" spans="1:21" x14ac:dyDescent="0.3">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c r="T1135">
        <f>IF(Table1[[#This Row],[Discount_Applied]]="Yes", 1,0)</f>
        <v>1</v>
      </c>
      <c r="U1135" t="str">
        <f>_xlfn.IFS(Table1[[#This Row],[Age]]&lt;=25, "Below 25", Table1[[#This Row],[Age]]&lt;=35, "Between 25-35", Table1[[#This Row],[Age]]&lt;=45, "Between 36-45", Table1[[#This Row],[Age]]&gt;45, "45+")</f>
        <v>Between 36-45</v>
      </c>
    </row>
    <row r="1136" spans="1:21" x14ac:dyDescent="0.3">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c r="T1136">
        <f>IF(Table1[[#This Row],[Discount_Applied]]="Yes", 1,0)</f>
        <v>1</v>
      </c>
      <c r="U1136" t="str">
        <f>_xlfn.IFS(Table1[[#This Row],[Age]]&lt;=25, "Below 25", Table1[[#This Row],[Age]]&lt;=35, "Between 25-35", Table1[[#This Row],[Age]]&lt;=45, "Between 36-45", Table1[[#This Row],[Age]]&gt;45, "45+")</f>
        <v>45+</v>
      </c>
    </row>
    <row r="1137" spans="1:21" x14ac:dyDescent="0.3">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c r="T1137">
        <f>IF(Table1[[#This Row],[Discount_Applied]]="Yes", 1,0)</f>
        <v>1</v>
      </c>
      <c r="U1137" t="str">
        <f>_xlfn.IFS(Table1[[#This Row],[Age]]&lt;=25, "Below 25", Table1[[#This Row],[Age]]&lt;=35, "Between 25-35", Table1[[#This Row],[Age]]&lt;=45, "Between 36-45", Table1[[#This Row],[Age]]&gt;45, "45+")</f>
        <v>45+</v>
      </c>
    </row>
    <row r="1138" spans="1:21" x14ac:dyDescent="0.3">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c r="T1138">
        <f>IF(Table1[[#This Row],[Discount_Applied]]="Yes", 1,0)</f>
        <v>1</v>
      </c>
      <c r="U1138" t="str">
        <f>_xlfn.IFS(Table1[[#This Row],[Age]]&lt;=25, "Below 25", Table1[[#This Row],[Age]]&lt;=35, "Between 25-35", Table1[[#This Row],[Age]]&lt;=45, "Between 36-45", Table1[[#This Row],[Age]]&gt;45, "45+")</f>
        <v>Below 25</v>
      </c>
    </row>
    <row r="1139" spans="1:21" x14ac:dyDescent="0.3">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c r="T1139">
        <f>IF(Table1[[#This Row],[Discount_Applied]]="Yes", 1,0)</f>
        <v>1</v>
      </c>
      <c r="U1139" t="str">
        <f>_xlfn.IFS(Table1[[#This Row],[Age]]&lt;=25, "Below 25", Table1[[#This Row],[Age]]&lt;=35, "Between 25-35", Table1[[#This Row],[Age]]&lt;=45, "Between 36-45", Table1[[#This Row],[Age]]&gt;45, "45+")</f>
        <v>45+</v>
      </c>
    </row>
    <row r="1140" spans="1:21" x14ac:dyDescent="0.3">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c r="T1140">
        <f>IF(Table1[[#This Row],[Discount_Applied]]="Yes", 1,0)</f>
        <v>1</v>
      </c>
      <c r="U1140" t="str">
        <f>_xlfn.IFS(Table1[[#This Row],[Age]]&lt;=25, "Below 25", Table1[[#This Row],[Age]]&lt;=35, "Between 25-35", Table1[[#This Row],[Age]]&lt;=45, "Between 36-45", Table1[[#This Row],[Age]]&gt;45, "45+")</f>
        <v>Below 25</v>
      </c>
    </row>
    <row r="1141" spans="1:21" x14ac:dyDescent="0.3">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c r="T1141">
        <f>IF(Table1[[#This Row],[Discount_Applied]]="Yes", 1,0)</f>
        <v>1</v>
      </c>
      <c r="U1141" t="str">
        <f>_xlfn.IFS(Table1[[#This Row],[Age]]&lt;=25, "Below 25", Table1[[#This Row],[Age]]&lt;=35, "Between 25-35", Table1[[#This Row],[Age]]&lt;=45, "Between 36-45", Table1[[#This Row],[Age]]&gt;45, "45+")</f>
        <v>45+</v>
      </c>
    </row>
    <row r="1142" spans="1:21" x14ac:dyDescent="0.3">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c r="T1142">
        <f>IF(Table1[[#This Row],[Discount_Applied]]="Yes", 1,0)</f>
        <v>1</v>
      </c>
      <c r="U1142" t="str">
        <f>_xlfn.IFS(Table1[[#This Row],[Age]]&lt;=25, "Below 25", Table1[[#This Row],[Age]]&lt;=35, "Between 25-35", Table1[[#This Row],[Age]]&lt;=45, "Between 36-45", Table1[[#This Row],[Age]]&gt;45, "45+")</f>
        <v>Between 25-35</v>
      </c>
    </row>
    <row r="1143" spans="1:21" x14ac:dyDescent="0.3">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c r="T1143">
        <f>IF(Table1[[#This Row],[Discount_Applied]]="Yes", 1,0)</f>
        <v>1</v>
      </c>
      <c r="U1143" t="str">
        <f>_xlfn.IFS(Table1[[#This Row],[Age]]&lt;=25, "Below 25", Table1[[#This Row],[Age]]&lt;=35, "Between 25-35", Table1[[#This Row],[Age]]&lt;=45, "Between 36-45", Table1[[#This Row],[Age]]&gt;45, "45+")</f>
        <v>Between 36-45</v>
      </c>
    </row>
    <row r="1144" spans="1:21" x14ac:dyDescent="0.3">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c r="T1144">
        <f>IF(Table1[[#This Row],[Discount_Applied]]="Yes", 1,0)</f>
        <v>1</v>
      </c>
      <c r="U1144" t="str">
        <f>_xlfn.IFS(Table1[[#This Row],[Age]]&lt;=25, "Below 25", Table1[[#This Row],[Age]]&lt;=35, "Between 25-35", Table1[[#This Row],[Age]]&lt;=45, "Between 36-45", Table1[[#This Row],[Age]]&gt;45, "45+")</f>
        <v>45+</v>
      </c>
    </row>
    <row r="1145" spans="1:21" x14ac:dyDescent="0.3">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c r="T1145">
        <f>IF(Table1[[#This Row],[Discount_Applied]]="Yes", 1,0)</f>
        <v>1</v>
      </c>
      <c r="U1145" t="str">
        <f>_xlfn.IFS(Table1[[#This Row],[Age]]&lt;=25, "Below 25", Table1[[#This Row],[Age]]&lt;=35, "Between 25-35", Table1[[#This Row],[Age]]&lt;=45, "Between 36-45", Table1[[#This Row],[Age]]&gt;45, "45+")</f>
        <v>45+</v>
      </c>
    </row>
    <row r="1146" spans="1:21" x14ac:dyDescent="0.3">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c r="T1146">
        <f>IF(Table1[[#This Row],[Discount_Applied]]="Yes", 1,0)</f>
        <v>1</v>
      </c>
      <c r="U1146" t="str">
        <f>_xlfn.IFS(Table1[[#This Row],[Age]]&lt;=25, "Below 25", Table1[[#This Row],[Age]]&lt;=35, "Between 25-35", Table1[[#This Row],[Age]]&lt;=45, "Between 36-45", Table1[[#This Row],[Age]]&gt;45, "45+")</f>
        <v>Between 36-45</v>
      </c>
    </row>
    <row r="1147" spans="1:21" x14ac:dyDescent="0.3">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c r="T1147">
        <f>IF(Table1[[#This Row],[Discount_Applied]]="Yes", 1,0)</f>
        <v>1</v>
      </c>
      <c r="U1147" t="str">
        <f>_xlfn.IFS(Table1[[#This Row],[Age]]&lt;=25, "Below 25", Table1[[#This Row],[Age]]&lt;=35, "Between 25-35", Table1[[#This Row],[Age]]&lt;=45, "Between 36-45", Table1[[#This Row],[Age]]&gt;45, "45+")</f>
        <v>Between 25-35</v>
      </c>
    </row>
    <row r="1148" spans="1:21" x14ac:dyDescent="0.3">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c r="T1148">
        <f>IF(Table1[[#This Row],[Discount_Applied]]="Yes", 1,0)</f>
        <v>1</v>
      </c>
      <c r="U1148" t="str">
        <f>_xlfn.IFS(Table1[[#This Row],[Age]]&lt;=25, "Below 25", Table1[[#This Row],[Age]]&lt;=35, "Between 25-35", Table1[[#This Row],[Age]]&lt;=45, "Between 36-45", Table1[[#This Row],[Age]]&gt;45, "45+")</f>
        <v>45+</v>
      </c>
    </row>
    <row r="1149" spans="1:21" x14ac:dyDescent="0.3">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c r="T1149">
        <f>IF(Table1[[#This Row],[Discount_Applied]]="Yes", 1,0)</f>
        <v>1</v>
      </c>
      <c r="U1149" t="str">
        <f>_xlfn.IFS(Table1[[#This Row],[Age]]&lt;=25, "Below 25", Table1[[#This Row],[Age]]&lt;=35, "Between 25-35", Table1[[#This Row],[Age]]&lt;=45, "Between 36-45", Table1[[#This Row],[Age]]&gt;45, "45+")</f>
        <v>45+</v>
      </c>
    </row>
    <row r="1150" spans="1:21" x14ac:dyDescent="0.3">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c r="T1150">
        <f>IF(Table1[[#This Row],[Discount_Applied]]="Yes", 1,0)</f>
        <v>1</v>
      </c>
      <c r="U1150" t="str">
        <f>_xlfn.IFS(Table1[[#This Row],[Age]]&lt;=25, "Below 25", Table1[[#This Row],[Age]]&lt;=35, "Between 25-35", Table1[[#This Row],[Age]]&lt;=45, "Between 36-45", Table1[[#This Row],[Age]]&gt;45, "45+")</f>
        <v>Between 25-35</v>
      </c>
    </row>
    <row r="1151" spans="1:21" x14ac:dyDescent="0.3">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c r="T1151">
        <f>IF(Table1[[#This Row],[Discount_Applied]]="Yes", 1,0)</f>
        <v>1</v>
      </c>
      <c r="U1151" t="str">
        <f>_xlfn.IFS(Table1[[#This Row],[Age]]&lt;=25, "Below 25", Table1[[#This Row],[Age]]&lt;=35, "Between 25-35", Table1[[#This Row],[Age]]&lt;=45, "Between 36-45", Table1[[#This Row],[Age]]&gt;45, "45+")</f>
        <v>Below 25</v>
      </c>
    </row>
    <row r="1152" spans="1:21" x14ac:dyDescent="0.3">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c r="T1152">
        <f>IF(Table1[[#This Row],[Discount_Applied]]="Yes", 1,0)</f>
        <v>1</v>
      </c>
      <c r="U1152" t="str">
        <f>_xlfn.IFS(Table1[[#This Row],[Age]]&lt;=25, "Below 25", Table1[[#This Row],[Age]]&lt;=35, "Between 25-35", Table1[[#This Row],[Age]]&lt;=45, "Between 36-45", Table1[[#This Row],[Age]]&gt;45, "45+")</f>
        <v>Between 25-35</v>
      </c>
    </row>
    <row r="1153" spans="1:21" x14ac:dyDescent="0.3">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c r="T1153">
        <f>IF(Table1[[#This Row],[Discount_Applied]]="Yes", 1,0)</f>
        <v>1</v>
      </c>
      <c r="U1153" t="str">
        <f>_xlfn.IFS(Table1[[#This Row],[Age]]&lt;=25, "Below 25", Table1[[#This Row],[Age]]&lt;=35, "Between 25-35", Table1[[#This Row],[Age]]&lt;=45, "Between 36-45", Table1[[#This Row],[Age]]&gt;45, "45+")</f>
        <v>Between 36-45</v>
      </c>
    </row>
    <row r="1154" spans="1:21" x14ac:dyDescent="0.3">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c r="T1154">
        <f>IF(Table1[[#This Row],[Discount_Applied]]="Yes", 1,0)</f>
        <v>1</v>
      </c>
      <c r="U1154" t="str">
        <f>_xlfn.IFS(Table1[[#This Row],[Age]]&lt;=25, "Below 25", Table1[[#This Row],[Age]]&lt;=35, "Between 25-35", Table1[[#This Row],[Age]]&lt;=45, "Between 36-45", Table1[[#This Row],[Age]]&gt;45, "45+")</f>
        <v>45+</v>
      </c>
    </row>
    <row r="1155" spans="1:21" x14ac:dyDescent="0.3">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c r="T1155">
        <f>IF(Table1[[#This Row],[Discount_Applied]]="Yes", 1,0)</f>
        <v>1</v>
      </c>
      <c r="U1155" t="str">
        <f>_xlfn.IFS(Table1[[#This Row],[Age]]&lt;=25, "Below 25", Table1[[#This Row],[Age]]&lt;=35, "Between 25-35", Table1[[#This Row],[Age]]&lt;=45, "Between 36-45", Table1[[#This Row],[Age]]&gt;45, "45+")</f>
        <v>Between 25-35</v>
      </c>
    </row>
    <row r="1156" spans="1:21" x14ac:dyDescent="0.3">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c r="T1156">
        <f>IF(Table1[[#This Row],[Discount_Applied]]="Yes", 1,0)</f>
        <v>1</v>
      </c>
      <c r="U1156" t="str">
        <f>_xlfn.IFS(Table1[[#This Row],[Age]]&lt;=25, "Below 25", Table1[[#This Row],[Age]]&lt;=35, "Between 25-35", Table1[[#This Row],[Age]]&lt;=45, "Between 36-45", Table1[[#This Row],[Age]]&gt;45, "45+")</f>
        <v>45+</v>
      </c>
    </row>
    <row r="1157" spans="1:21" x14ac:dyDescent="0.3">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c r="T1157">
        <f>IF(Table1[[#This Row],[Discount_Applied]]="Yes", 1,0)</f>
        <v>1</v>
      </c>
      <c r="U1157" t="str">
        <f>_xlfn.IFS(Table1[[#This Row],[Age]]&lt;=25, "Below 25", Table1[[#This Row],[Age]]&lt;=35, "Between 25-35", Table1[[#This Row],[Age]]&lt;=45, "Between 36-45", Table1[[#This Row],[Age]]&gt;45, "45+")</f>
        <v>45+</v>
      </c>
    </row>
    <row r="1158" spans="1:21" x14ac:dyDescent="0.3">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c r="T1158">
        <f>IF(Table1[[#This Row],[Discount_Applied]]="Yes", 1,0)</f>
        <v>1</v>
      </c>
      <c r="U1158" t="str">
        <f>_xlfn.IFS(Table1[[#This Row],[Age]]&lt;=25, "Below 25", Table1[[#This Row],[Age]]&lt;=35, "Between 25-35", Table1[[#This Row],[Age]]&lt;=45, "Between 36-45", Table1[[#This Row],[Age]]&gt;45, "45+")</f>
        <v>Below 25</v>
      </c>
    </row>
    <row r="1159" spans="1:21" x14ac:dyDescent="0.3">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c r="T1159">
        <f>IF(Table1[[#This Row],[Discount_Applied]]="Yes", 1,0)</f>
        <v>1</v>
      </c>
      <c r="U1159" t="str">
        <f>_xlfn.IFS(Table1[[#This Row],[Age]]&lt;=25, "Below 25", Table1[[#This Row],[Age]]&lt;=35, "Between 25-35", Table1[[#This Row],[Age]]&lt;=45, "Between 36-45", Table1[[#This Row],[Age]]&gt;45, "45+")</f>
        <v>Between 36-45</v>
      </c>
    </row>
    <row r="1160" spans="1:21" x14ac:dyDescent="0.3">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c r="T1160">
        <f>IF(Table1[[#This Row],[Discount_Applied]]="Yes", 1,0)</f>
        <v>1</v>
      </c>
      <c r="U1160" t="str">
        <f>_xlfn.IFS(Table1[[#This Row],[Age]]&lt;=25, "Below 25", Table1[[#This Row],[Age]]&lt;=35, "Between 25-35", Table1[[#This Row],[Age]]&lt;=45, "Between 36-45", Table1[[#This Row],[Age]]&gt;45, "45+")</f>
        <v>45+</v>
      </c>
    </row>
    <row r="1161" spans="1:21" x14ac:dyDescent="0.3">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c r="T1161">
        <f>IF(Table1[[#This Row],[Discount_Applied]]="Yes", 1,0)</f>
        <v>1</v>
      </c>
      <c r="U1161" t="str">
        <f>_xlfn.IFS(Table1[[#This Row],[Age]]&lt;=25, "Below 25", Table1[[#This Row],[Age]]&lt;=35, "Between 25-35", Table1[[#This Row],[Age]]&lt;=45, "Between 36-45", Table1[[#This Row],[Age]]&gt;45, "45+")</f>
        <v>45+</v>
      </c>
    </row>
    <row r="1162" spans="1:21" x14ac:dyDescent="0.3">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c r="T1162">
        <f>IF(Table1[[#This Row],[Discount_Applied]]="Yes", 1,0)</f>
        <v>1</v>
      </c>
      <c r="U1162" t="str">
        <f>_xlfn.IFS(Table1[[#This Row],[Age]]&lt;=25, "Below 25", Table1[[#This Row],[Age]]&lt;=35, "Between 25-35", Table1[[#This Row],[Age]]&lt;=45, "Between 36-45", Table1[[#This Row],[Age]]&gt;45, "45+")</f>
        <v>Between 36-45</v>
      </c>
    </row>
    <row r="1163" spans="1:21" x14ac:dyDescent="0.3">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c r="T1163">
        <f>IF(Table1[[#This Row],[Discount_Applied]]="Yes", 1,0)</f>
        <v>1</v>
      </c>
      <c r="U1163" t="str">
        <f>_xlfn.IFS(Table1[[#This Row],[Age]]&lt;=25, "Below 25", Table1[[#This Row],[Age]]&lt;=35, "Between 25-35", Table1[[#This Row],[Age]]&lt;=45, "Between 36-45", Table1[[#This Row],[Age]]&gt;45, "45+")</f>
        <v>45+</v>
      </c>
    </row>
    <row r="1164" spans="1:21" x14ac:dyDescent="0.3">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c r="T1164">
        <f>IF(Table1[[#This Row],[Discount_Applied]]="Yes", 1,0)</f>
        <v>1</v>
      </c>
      <c r="U1164" t="str">
        <f>_xlfn.IFS(Table1[[#This Row],[Age]]&lt;=25, "Below 25", Table1[[#This Row],[Age]]&lt;=35, "Between 25-35", Table1[[#This Row],[Age]]&lt;=45, "Between 36-45", Table1[[#This Row],[Age]]&gt;45, "45+")</f>
        <v>45+</v>
      </c>
    </row>
    <row r="1165" spans="1:21" x14ac:dyDescent="0.3">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c r="T1165">
        <f>IF(Table1[[#This Row],[Discount_Applied]]="Yes", 1,0)</f>
        <v>1</v>
      </c>
      <c r="U1165" t="str">
        <f>_xlfn.IFS(Table1[[#This Row],[Age]]&lt;=25, "Below 25", Table1[[#This Row],[Age]]&lt;=35, "Between 25-35", Table1[[#This Row],[Age]]&lt;=45, "Between 36-45", Table1[[#This Row],[Age]]&gt;45, "45+")</f>
        <v>Between 25-35</v>
      </c>
    </row>
    <row r="1166" spans="1:21" x14ac:dyDescent="0.3">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c r="T1166">
        <f>IF(Table1[[#This Row],[Discount_Applied]]="Yes", 1,0)</f>
        <v>1</v>
      </c>
      <c r="U1166" t="str">
        <f>_xlfn.IFS(Table1[[#This Row],[Age]]&lt;=25, "Below 25", Table1[[#This Row],[Age]]&lt;=35, "Between 25-35", Table1[[#This Row],[Age]]&lt;=45, "Between 36-45", Table1[[#This Row],[Age]]&gt;45, "45+")</f>
        <v>45+</v>
      </c>
    </row>
    <row r="1167" spans="1:21" x14ac:dyDescent="0.3">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c r="T1167">
        <f>IF(Table1[[#This Row],[Discount_Applied]]="Yes", 1,0)</f>
        <v>1</v>
      </c>
      <c r="U1167" t="str">
        <f>_xlfn.IFS(Table1[[#This Row],[Age]]&lt;=25, "Below 25", Table1[[#This Row],[Age]]&lt;=35, "Between 25-35", Table1[[#This Row],[Age]]&lt;=45, "Between 36-45", Table1[[#This Row],[Age]]&gt;45, "45+")</f>
        <v>45+</v>
      </c>
    </row>
    <row r="1168" spans="1:21" x14ac:dyDescent="0.3">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c r="T1168">
        <f>IF(Table1[[#This Row],[Discount_Applied]]="Yes", 1,0)</f>
        <v>1</v>
      </c>
      <c r="U1168" t="str">
        <f>_xlfn.IFS(Table1[[#This Row],[Age]]&lt;=25, "Below 25", Table1[[#This Row],[Age]]&lt;=35, "Between 25-35", Table1[[#This Row],[Age]]&lt;=45, "Between 36-45", Table1[[#This Row],[Age]]&gt;45, "45+")</f>
        <v>45+</v>
      </c>
    </row>
    <row r="1169" spans="1:21" x14ac:dyDescent="0.3">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c r="T1169">
        <f>IF(Table1[[#This Row],[Discount_Applied]]="Yes", 1,0)</f>
        <v>1</v>
      </c>
      <c r="U1169" t="str">
        <f>_xlfn.IFS(Table1[[#This Row],[Age]]&lt;=25, "Below 25", Table1[[#This Row],[Age]]&lt;=35, "Between 25-35", Table1[[#This Row],[Age]]&lt;=45, "Between 36-45", Table1[[#This Row],[Age]]&gt;45, "45+")</f>
        <v>45+</v>
      </c>
    </row>
    <row r="1170" spans="1:21" x14ac:dyDescent="0.3">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c r="T1170">
        <f>IF(Table1[[#This Row],[Discount_Applied]]="Yes", 1,0)</f>
        <v>1</v>
      </c>
      <c r="U1170" t="str">
        <f>_xlfn.IFS(Table1[[#This Row],[Age]]&lt;=25, "Below 25", Table1[[#This Row],[Age]]&lt;=35, "Between 25-35", Table1[[#This Row],[Age]]&lt;=45, "Between 36-45", Table1[[#This Row],[Age]]&gt;45, "45+")</f>
        <v>45+</v>
      </c>
    </row>
    <row r="1171" spans="1:21" x14ac:dyDescent="0.3">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c r="T1171">
        <f>IF(Table1[[#This Row],[Discount_Applied]]="Yes", 1,0)</f>
        <v>1</v>
      </c>
      <c r="U1171" t="str">
        <f>_xlfn.IFS(Table1[[#This Row],[Age]]&lt;=25, "Below 25", Table1[[#This Row],[Age]]&lt;=35, "Between 25-35", Table1[[#This Row],[Age]]&lt;=45, "Between 36-45", Table1[[#This Row],[Age]]&gt;45, "45+")</f>
        <v>Below 25</v>
      </c>
    </row>
    <row r="1172" spans="1:21" x14ac:dyDescent="0.3">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c r="T1172">
        <f>IF(Table1[[#This Row],[Discount_Applied]]="Yes", 1,0)</f>
        <v>1</v>
      </c>
      <c r="U1172" t="str">
        <f>_xlfn.IFS(Table1[[#This Row],[Age]]&lt;=25, "Below 25", Table1[[#This Row],[Age]]&lt;=35, "Between 25-35", Table1[[#This Row],[Age]]&lt;=45, "Between 36-45", Table1[[#This Row],[Age]]&gt;45, "45+")</f>
        <v>45+</v>
      </c>
    </row>
    <row r="1173" spans="1:21" x14ac:dyDescent="0.3">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c r="T1173">
        <f>IF(Table1[[#This Row],[Discount_Applied]]="Yes", 1,0)</f>
        <v>1</v>
      </c>
      <c r="U1173" t="str">
        <f>_xlfn.IFS(Table1[[#This Row],[Age]]&lt;=25, "Below 25", Table1[[#This Row],[Age]]&lt;=35, "Between 25-35", Table1[[#This Row],[Age]]&lt;=45, "Between 36-45", Table1[[#This Row],[Age]]&gt;45, "45+")</f>
        <v>Between 36-45</v>
      </c>
    </row>
    <row r="1174" spans="1:21" x14ac:dyDescent="0.3">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c r="T1174">
        <f>IF(Table1[[#This Row],[Discount_Applied]]="Yes", 1,0)</f>
        <v>1</v>
      </c>
      <c r="U1174" t="str">
        <f>_xlfn.IFS(Table1[[#This Row],[Age]]&lt;=25, "Below 25", Table1[[#This Row],[Age]]&lt;=35, "Between 25-35", Table1[[#This Row],[Age]]&lt;=45, "Between 36-45", Table1[[#This Row],[Age]]&gt;45, "45+")</f>
        <v>45+</v>
      </c>
    </row>
    <row r="1175" spans="1:21" x14ac:dyDescent="0.3">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c r="T1175">
        <f>IF(Table1[[#This Row],[Discount_Applied]]="Yes", 1,0)</f>
        <v>1</v>
      </c>
      <c r="U1175" t="str">
        <f>_xlfn.IFS(Table1[[#This Row],[Age]]&lt;=25, "Below 25", Table1[[#This Row],[Age]]&lt;=35, "Between 25-35", Table1[[#This Row],[Age]]&lt;=45, "Between 36-45", Table1[[#This Row],[Age]]&gt;45, "45+")</f>
        <v>Between 36-45</v>
      </c>
    </row>
    <row r="1176" spans="1:21" x14ac:dyDescent="0.3">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c r="T1176">
        <f>IF(Table1[[#This Row],[Discount_Applied]]="Yes", 1,0)</f>
        <v>1</v>
      </c>
      <c r="U1176" t="str">
        <f>_xlfn.IFS(Table1[[#This Row],[Age]]&lt;=25, "Below 25", Table1[[#This Row],[Age]]&lt;=35, "Between 25-35", Table1[[#This Row],[Age]]&lt;=45, "Between 36-45", Table1[[#This Row],[Age]]&gt;45, "45+")</f>
        <v>Between 36-45</v>
      </c>
    </row>
    <row r="1177" spans="1:21" x14ac:dyDescent="0.3">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c r="T1177">
        <f>IF(Table1[[#This Row],[Discount_Applied]]="Yes", 1,0)</f>
        <v>1</v>
      </c>
      <c r="U1177" t="str">
        <f>_xlfn.IFS(Table1[[#This Row],[Age]]&lt;=25, "Below 25", Table1[[#This Row],[Age]]&lt;=35, "Between 25-35", Table1[[#This Row],[Age]]&lt;=45, "Between 36-45", Table1[[#This Row],[Age]]&gt;45, "45+")</f>
        <v>Between 25-35</v>
      </c>
    </row>
    <row r="1178" spans="1:21" x14ac:dyDescent="0.3">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c r="T1178">
        <f>IF(Table1[[#This Row],[Discount_Applied]]="Yes", 1,0)</f>
        <v>1</v>
      </c>
      <c r="U1178" t="str">
        <f>_xlfn.IFS(Table1[[#This Row],[Age]]&lt;=25, "Below 25", Table1[[#This Row],[Age]]&lt;=35, "Between 25-35", Table1[[#This Row],[Age]]&lt;=45, "Between 36-45", Table1[[#This Row],[Age]]&gt;45, "45+")</f>
        <v>Between 36-45</v>
      </c>
    </row>
    <row r="1179" spans="1:21" x14ac:dyDescent="0.3">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c r="T1179">
        <f>IF(Table1[[#This Row],[Discount_Applied]]="Yes", 1,0)</f>
        <v>1</v>
      </c>
      <c r="U1179" t="str">
        <f>_xlfn.IFS(Table1[[#This Row],[Age]]&lt;=25, "Below 25", Table1[[#This Row],[Age]]&lt;=35, "Between 25-35", Table1[[#This Row],[Age]]&lt;=45, "Between 36-45", Table1[[#This Row],[Age]]&gt;45, "45+")</f>
        <v>45+</v>
      </c>
    </row>
    <row r="1180" spans="1:21" x14ac:dyDescent="0.3">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c r="T1180">
        <f>IF(Table1[[#This Row],[Discount_Applied]]="Yes", 1,0)</f>
        <v>1</v>
      </c>
      <c r="U1180" t="str">
        <f>_xlfn.IFS(Table1[[#This Row],[Age]]&lt;=25, "Below 25", Table1[[#This Row],[Age]]&lt;=35, "Between 25-35", Table1[[#This Row],[Age]]&lt;=45, "Between 36-45", Table1[[#This Row],[Age]]&gt;45, "45+")</f>
        <v>Between 36-45</v>
      </c>
    </row>
    <row r="1181" spans="1:21" x14ac:dyDescent="0.3">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c r="T1181">
        <f>IF(Table1[[#This Row],[Discount_Applied]]="Yes", 1,0)</f>
        <v>1</v>
      </c>
      <c r="U1181" t="str">
        <f>_xlfn.IFS(Table1[[#This Row],[Age]]&lt;=25, "Below 25", Table1[[#This Row],[Age]]&lt;=35, "Between 25-35", Table1[[#This Row],[Age]]&lt;=45, "Between 36-45", Table1[[#This Row],[Age]]&gt;45, "45+")</f>
        <v>Below 25</v>
      </c>
    </row>
    <row r="1182" spans="1:21" x14ac:dyDescent="0.3">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c r="T1182">
        <f>IF(Table1[[#This Row],[Discount_Applied]]="Yes", 1,0)</f>
        <v>1</v>
      </c>
      <c r="U1182" t="str">
        <f>_xlfn.IFS(Table1[[#This Row],[Age]]&lt;=25, "Below 25", Table1[[#This Row],[Age]]&lt;=35, "Between 25-35", Table1[[#This Row],[Age]]&lt;=45, "Between 36-45", Table1[[#This Row],[Age]]&gt;45, "45+")</f>
        <v>Below 25</v>
      </c>
    </row>
    <row r="1183" spans="1:21" x14ac:dyDescent="0.3">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c r="T1183">
        <f>IF(Table1[[#This Row],[Discount_Applied]]="Yes", 1,0)</f>
        <v>1</v>
      </c>
      <c r="U1183" t="str">
        <f>_xlfn.IFS(Table1[[#This Row],[Age]]&lt;=25, "Below 25", Table1[[#This Row],[Age]]&lt;=35, "Between 25-35", Table1[[#This Row],[Age]]&lt;=45, "Between 36-45", Table1[[#This Row],[Age]]&gt;45, "45+")</f>
        <v>45+</v>
      </c>
    </row>
    <row r="1184" spans="1:21" x14ac:dyDescent="0.3">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c r="T1184">
        <f>IF(Table1[[#This Row],[Discount_Applied]]="Yes", 1,0)</f>
        <v>1</v>
      </c>
      <c r="U1184" t="str">
        <f>_xlfn.IFS(Table1[[#This Row],[Age]]&lt;=25, "Below 25", Table1[[#This Row],[Age]]&lt;=35, "Between 25-35", Table1[[#This Row],[Age]]&lt;=45, "Between 36-45", Table1[[#This Row],[Age]]&gt;45, "45+")</f>
        <v>Between 36-45</v>
      </c>
    </row>
    <row r="1185" spans="1:21" x14ac:dyDescent="0.3">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c r="T1185">
        <f>IF(Table1[[#This Row],[Discount_Applied]]="Yes", 1,0)</f>
        <v>1</v>
      </c>
      <c r="U1185" t="str">
        <f>_xlfn.IFS(Table1[[#This Row],[Age]]&lt;=25, "Below 25", Table1[[#This Row],[Age]]&lt;=35, "Between 25-35", Table1[[#This Row],[Age]]&lt;=45, "Between 36-45", Table1[[#This Row],[Age]]&gt;45, "45+")</f>
        <v>Below 25</v>
      </c>
    </row>
    <row r="1186" spans="1:21" x14ac:dyDescent="0.3">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c r="T1186">
        <f>IF(Table1[[#This Row],[Discount_Applied]]="Yes", 1,0)</f>
        <v>1</v>
      </c>
      <c r="U1186" t="str">
        <f>_xlfn.IFS(Table1[[#This Row],[Age]]&lt;=25, "Below 25", Table1[[#This Row],[Age]]&lt;=35, "Between 25-35", Table1[[#This Row],[Age]]&lt;=45, "Between 36-45", Table1[[#This Row],[Age]]&gt;45, "45+")</f>
        <v>45+</v>
      </c>
    </row>
    <row r="1187" spans="1:21" x14ac:dyDescent="0.3">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c r="T1187">
        <f>IF(Table1[[#This Row],[Discount_Applied]]="Yes", 1,0)</f>
        <v>1</v>
      </c>
      <c r="U1187" t="str">
        <f>_xlfn.IFS(Table1[[#This Row],[Age]]&lt;=25, "Below 25", Table1[[#This Row],[Age]]&lt;=35, "Between 25-35", Table1[[#This Row],[Age]]&lt;=45, "Between 36-45", Table1[[#This Row],[Age]]&gt;45, "45+")</f>
        <v>45+</v>
      </c>
    </row>
    <row r="1188" spans="1:21" x14ac:dyDescent="0.3">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c r="T1188">
        <f>IF(Table1[[#This Row],[Discount_Applied]]="Yes", 1,0)</f>
        <v>1</v>
      </c>
      <c r="U1188" t="str">
        <f>_xlfn.IFS(Table1[[#This Row],[Age]]&lt;=25, "Below 25", Table1[[#This Row],[Age]]&lt;=35, "Between 25-35", Table1[[#This Row],[Age]]&lt;=45, "Between 36-45", Table1[[#This Row],[Age]]&gt;45, "45+")</f>
        <v>45+</v>
      </c>
    </row>
    <row r="1189" spans="1:21" x14ac:dyDescent="0.3">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c r="T1189">
        <f>IF(Table1[[#This Row],[Discount_Applied]]="Yes", 1,0)</f>
        <v>1</v>
      </c>
      <c r="U1189" t="str">
        <f>_xlfn.IFS(Table1[[#This Row],[Age]]&lt;=25, "Below 25", Table1[[#This Row],[Age]]&lt;=35, "Between 25-35", Table1[[#This Row],[Age]]&lt;=45, "Between 36-45", Table1[[#This Row],[Age]]&gt;45, "45+")</f>
        <v>45+</v>
      </c>
    </row>
    <row r="1190" spans="1:21" x14ac:dyDescent="0.3">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c r="T1190">
        <f>IF(Table1[[#This Row],[Discount_Applied]]="Yes", 1,0)</f>
        <v>1</v>
      </c>
      <c r="U1190" t="str">
        <f>_xlfn.IFS(Table1[[#This Row],[Age]]&lt;=25, "Below 25", Table1[[#This Row],[Age]]&lt;=35, "Between 25-35", Table1[[#This Row],[Age]]&lt;=45, "Between 36-45", Table1[[#This Row],[Age]]&gt;45, "45+")</f>
        <v>45+</v>
      </c>
    </row>
    <row r="1191" spans="1:21" x14ac:dyDescent="0.3">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c r="T1191">
        <f>IF(Table1[[#This Row],[Discount_Applied]]="Yes", 1,0)</f>
        <v>1</v>
      </c>
      <c r="U1191" t="str">
        <f>_xlfn.IFS(Table1[[#This Row],[Age]]&lt;=25, "Below 25", Table1[[#This Row],[Age]]&lt;=35, "Between 25-35", Table1[[#This Row],[Age]]&lt;=45, "Between 36-45", Table1[[#This Row],[Age]]&gt;45, "45+")</f>
        <v>45+</v>
      </c>
    </row>
    <row r="1192" spans="1:21" x14ac:dyDescent="0.3">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c r="T1192">
        <f>IF(Table1[[#This Row],[Discount_Applied]]="Yes", 1,0)</f>
        <v>1</v>
      </c>
      <c r="U1192" t="str">
        <f>_xlfn.IFS(Table1[[#This Row],[Age]]&lt;=25, "Below 25", Table1[[#This Row],[Age]]&lt;=35, "Between 25-35", Table1[[#This Row],[Age]]&lt;=45, "Between 36-45", Table1[[#This Row],[Age]]&gt;45, "45+")</f>
        <v>45+</v>
      </c>
    </row>
    <row r="1193" spans="1:21" x14ac:dyDescent="0.3">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c r="T1193">
        <f>IF(Table1[[#This Row],[Discount_Applied]]="Yes", 1,0)</f>
        <v>1</v>
      </c>
      <c r="U1193" t="str">
        <f>_xlfn.IFS(Table1[[#This Row],[Age]]&lt;=25, "Below 25", Table1[[#This Row],[Age]]&lt;=35, "Between 25-35", Table1[[#This Row],[Age]]&lt;=45, "Between 36-45", Table1[[#This Row],[Age]]&gt;45, "45+")</f>
        <v>Between 25-35</v>
      </c>
    </row>
    <row r="1194" spans="1:21" x14ac:dyDescent="0.3">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c r="T1194">
        <f>IF(Table1[[#This Row],[Discount_Applied]]="Yes", 1,0)</f>
        <v>1</v>
      </c>
      <c r="U1194" t="str">
        <f>_xlfn.IFS(Table1[[#This Row],[Age]]&lt;=25, "Below 25", Table1[[#This Row],[Age]]&lt;=35, "Between 25-35", Table1[[#This Row],[Age]]&lt;=45, "Between 36-45", Table1[[#This Row],[Age]]&gt;45, "45+")</f>
        <v>45+</v>
      </c>
    </row>
    <row r="1195" spans="1:21" x14ac:dyDescent="0.3">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c r="T1195">
        <f>IF(Table1[[#This Row],[Discount_Applied]]="Yes", 1,0)</f>
        <v>1</v>
      </c>
      <c r="U1195" t="str">
        <f>_xlfn.IFS(Table1[[#This Row],[Age]]&lt;=25, "Below 25", Table1[[#This Row],[Age]]&lt;=35, "Between 25-35", Table1[[#This Row],[Age]]&lt;=45, "Between 36-45", Table1[[#This Row],[Age]]&gt;45, "45+")</f>
        <v>Between 36-45</v>
      </c>
    </row>
    <row r="1196" spans="1:21" x14ac:dyDescent="0.3">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c r="T1196">
        <f>IF(Table1[[#This Row],[Discount_Applied]]="Yes", 1,0)</f>
        <v>1</v>
      </c>
      <c r="U1196" t="str">
        <f>_xlfn.IFS(Table1[[#This Row],[Age]]&lt;=25, "Below 25", Table1[[#This Row],[Age]]&lt;=35, "Between 25-35", Table1[[#This Row],[Age]]&lt;=45, "Between 36-45", Table1[[#This Row],[Age]]&gt;45, "45+")</f>
        <v>45+</v>
      </c>
    </row>
    <row r="1197" spans="1:21" x14ac:dyDescent="0.3">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c r="T1197">
        <f>IF(Table1[[#This Row],[Discount_Applied]]="Yes", 1,0)</f>
        <v>1</v>
      </c>
      <c r="U1197" t="str">
        <f>_xlfn.IFS(Table1[[#This Row],[Age]]&lt;=25, "Below 25", Table1[[#This Row],[Age]]&lt;=35, "Between 25-35", Table1[[#This Row],[Age]]&lt;=45, "Between 36-45", Table1[[#This Row],[Age]]&gt;45, "45+")</f>
        <v>Below 25</v>
      </c>
    </row>
    <row r="1198" spans="1:21" x14ac:dyDescent="0.3">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c r="T1198">
        <f>IF(Table1[[#This Row],[Discount_Applied]]="Yes", 1,0)</f>
        <v>1</v>
      </c>
      <c r="U1198" t="str">
        <f>_xlfn.IFS(Table1[[#This Row],[Age]]&lt;=25, "Below 25", Table1[[#This Row],[Age]]&lt;=35, "Between 25-35", Table1[[#This Row],[Age]]&lt;=45, "Between 36-45", Table1[[#This Row],[Age]]&gt;45, "45+")</f>
        <v>Between 25-35</v>
      </c>
    </row>
    <row r="1199" spans="1:21" x14ac:dyDescent="0.3">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c r="T1199">
        <f>IF(Table1[[#This Row],[Discount_Applied]]="Yes", 1,0)</f>
        <v>1</v>
      </c>
      <c r="U1199" t="str">
        <f>_xlfn.IFS(Table1[[#This Row],[Age]]&lt;=25, "Below 25", Table1[[#This Row],[Age]]&lt;=35, "Between 25-35", Table1[[#This Row],[Age]]&lt;=45, "Between 36-45", Table1[[#This Row],[Age]]&gt;45, "45+")</f>
        <v>45+</v>
      </c>
    </row>
    <row r="1200" spans="1:21" x14ac:dyDescent="0.3">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c r="T1200">
        <f>IF(Table1[[#This Row],[Discount_Applied]]="Yes", 1,0)</f>
        <v>1</v>
      </c>
      <c r="U1200" t="str">
        <f>_xlfn.IFS(Table1[[#This Row],[Age]]&lt;=25, "Below 25", Table1[[#This Row],[Age]]&lt;=35, "Between 25-35", Table1[[#This Row],[Age]]&lt;=45, "Between 36-45", Table1[[#This Row],[Age]]&gt;45, "45+")</f>
        <v>Between 36-45</v>
      </c>
    </row>
    <row r="1201" spans="1:21" x14ac:dyDescent="0.3">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c r="T1201">
        <f>IF(Table1[[#This Row],[Discount_Applied]]="Yes", 1,0)</f>
        <v>1</v>
      </c>
      <c r="U1201" t="str">
        <f>_xlfn.IFS(Table1[[#This Row],[Age]]&lt;=25, "Below 25", Table1[[#This Row],[Age]]&lt;=35, "Between 25-35", Table1[[#This Row],[Age]]&lt;=45, "Between 36-45", Table1[[#This Row],[Age]]&gt;45, "45+")</f>
        <v>45+</v>
      </c>
    </row>
    <row r="1202" spans="1:21" x14ac:dyDescent="0.3">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c r="T1202">
        <f>IF(Table1[[#This Row],[Discount_Applied]]="Yes", 1,0)</f>
        <v>1</v>
      </c>
      <c r="U1202" t="str">
        <f>_xlfn.IFS(Table1[[#This Row],[Age]]&lt;=25, "Below 25", Table1[[#This Row],[Age]]&lt;=35, "Between 25-35", Table1[[#This Row],[Age]]&lt;=45, "Between 36-45", Table1[[#This Row],[Age]]&gt;45, "45+")</f>
        <v>Between 25-35</v>
      </c>
    </row>
    <row r="1203" spans="1:21" x14ac:dyDescent="0.3">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c r="T1203">
        <f>IF(Table1[[#This Row],[Discount_Applied]]="Yes", 1,0)</f>
        <v>1</v>
      </c>
      <c r="U1203" t="str">
        <f>_xlfn.IFS(Table1[[#This Row],[Age]]&lt;=25, "Below 25", Table1[[#This Row],[Age]]&lt;=35, "Between 25-35", Table1[[#This Row],[Age]]&lt;=45, "Between 36-45", Table1[[#This Row],[Age]]&gt;45, "45+")</f>
        <v>Between 25-35</v>
      </c>
    </row>
    <row r="1204" spans="1:21" x14ac:dyDescent="0.3">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c r="T1204">
        <f>IF(Table1[[#This Row],[Discount_Applied]]="Yes", 1,0)</f>
        <v>1</v>
      </c>
      <c r="U1204" t="str">
        <f>_xlfn.IFS(Table1[[#This Row],[Age]]&lt;=25, "Below 25", Table1[[#This Row],[Age]]&lt;=35, "Between 25-35", Table1[[#This Row],[Age]]&lt;=45, "Between 36-45", Table1[[#This Row],[Age]]&gt;45, "45+")</f>
        <v>45+</v>
      </c>
    </row>
    <row r="1205" spans="1:21" x14ac:dyDescent="0.3">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c r="T1205">
        <f>IF(Table1[[#This Row],[Discount_Applied]]="Yes", 1,0)</f>
        <v>1</v>
      </c>
      <c r="U1205" t="str">
        <f>_xlfn.IFS(Table1[[#This Row],[Age]]&lt;=25, "Below 25", Table1[[#This Row],[Age]]&lt;=35, "Between 25-35", Table1[[#This Row],[Age]]&lt;=45, "Between 36-45", Table1[[#This Row],[Age]]&gt;45, "45+")</f>
        <v>Between 36-45</v>
      </c>
    </row>
    <row r="1206" spans="1:21" x14ac:dyDescent="0.3">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c r="T1206">
        <f>IF(Table1[[#This Row],[Discount_Applied]]="Yes", 1,0)</f>
        <v>1</v>
      </c>
      <c r="U1206" t="str">
        <f>_xlfn.IFS(Table1[[#This Row],[Age]]&lt;=25, "Below 25", Table1[[#This Row],[Age]]&lt;=35, "Between 25-35", Table1[[#This Row],[Age]]&lt;=45, "Between 36-45", Table1[[#This Row],[Age]]&gt;45, "45+")</f>
        <v>45+</v>
      </c>
    </row>
    <row r="1207" spans="1:21" x14ac:dyDescent="0.3">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c r="T1207">
        <f>IF(Table1[[#This Row],[Discount_Applied]]="Yes", 1,0)</f>
        <v>1</v>
      </c>
      <c r="U1207" t="str">
        <f>_xlfn.IFS(Table1[[#This Row],[Age]]&lt;=25, "Below 25", Table1[[#This Row],[Age]]&lt;=35, "Between 25-35", Table1[[#This Row],[Age]]&lt;=45, "Between 36-45", Table1[[#This Row],[Age]]&gt;45, "45+")</f>
        <v>45+</v>
      </c>
    </row>
    <row r="1208" spans="1:21" x14ac:dyDescent="0.3">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c r="T1208">
        <f>IF(Table1[[#This Row],[Discount_Applied]]="Yes", 1,0)</f>
        <v>1</v>
      </c>
      <c r="U1208" t="str">
        <f>_xlfn.IFS(Table1[[#This Row],[Age]]&lt;=25, "Below 25", Table1[[#This Row],[Age]]&lt;=35, "Between 25-35", Table1[[#This Row],[Age]]&lt;=45, "Between 36-45", Table1[[#This Row],[Age]]&gt;45, "45+")</f>
        <v>Below 25</v>
      </c>
    </row>
    <row r="1209" spans="1:21" x14ac:dyDescent="0.3">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c r="T1209">
        <f>IF(Table1[[#This Row],[Discount_Applied]]="Yes", 1,0)</f>
        <v>1</v>
      </c>
      <c r="U1209" t="str">
        <f>_xlfn.IFS(Table1[[#This Row],[Age]]&lt;=25, "Below 25", Table1[[#This Row],[Age]]&lt;=35, "Between 25-35", Table1[[#This Row],[Age]]&lt;=45, "Between 36-45", Table1[[#This Row],[Age]]&gt;45, "45+")</f>
        <v>45+</v>
      </c>
    </row>
    <row r="1210" spans="1:21" x14ac:dyDescent="0.3">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c r="T1210">
        <f>IF(Table1[[#This Row],[Discount_Applied]]="Yes", 1,0)</f>
        <v>1</v>
      </c>
      <c r="U1210" t="str">
        <f>_xlfn.IFS(Table1[[#This Row],[Age]]&lt;=25, "Below 25", Table1[[#This Row],[Age]]&lt;=35, "Between 25-35", Table1[[#This Row],[Age]]&lt;=45, "Between 36-45", Table1[[#This Row],[Age]]&gt;45, "45+")</f>
        <v>Below 25</v>
      </c>
    </row>
    <row r="1211" spans="1:21" x14ac:dyDescent="0.3">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c r="T1211">
        <f>IF(Table1[[#This Row],[Discount_Applied]]="Yes", 1,0)</f>
        <v>1</v>
      </c>
      <c r="U1211" t="str">
        <f>_xlfn.IFS(Table1[[#This Row],[Age]]&lt;=25, "Below 25", Table1[[#This Row],[Age]]&lt;=35, "Between 25-35", Table1[[#This Row],[Age]]&lt;=45, "Between 36-45", Table1[[#This Row],[Age]]&gt;45, "45+")</f>
        <v>Between 36-45</v>
      </c>
    </row>
    <row r="1212" spans="1:21" x14ac:dyDescent="0.3">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c r="T1212">
        <f>IF(Table1[[#This Row],[Discount_Applied]]="Yes", 1,0)</f>
        <v>1</v>
      </c>
      <c r="U1212" t="str">
        <f>_xlfn.IFS(Table1[[#This Row],[Age]]&lt;=25, "Below 25", Table1[[#This Row],[Age]]&lt;=35, "Between 25-35", Table1[[#This Row],[Age]]&lt;=45, "Between 36-45", Table1[[#This Row],[Age]]&gt;45, "45+")</f>
        <v>Between 25-35</v>
      </c>
    </row>
    <row r="1213" spans="1:21" x14ac:dyDescent="0.3">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c r="T1213">
        <f>IF(Table1[[#This Row],[Discount_Applied]]="Yes", 1,0)</f>
        <v>1</v>
      </c>
      <c r="U1213" t="str">
        <f>_xlfn.IFS(Table1[[#This Row],[Age]]&lt;=25, "Below 25", Table1[[#This Row],[Age]]&lt;=35, "Between 25-35", Table1[[#This Row],[Age]]&lt;=45, "Between 36-45", Table1[[#This Row],[Age]]&gt;45, "45+")</f>
        <v>Below 25</v>
      </c>
    </row>
    <row r="1214" spans="1:21" x14ac:dyDescent="0.3">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c r="T1214">
        <f>IF(Table1[[#This Row],[Discount_Applied]]="Yes", 1,0)</f>
        <v>1</v>
      </c>
      <c r="U1214" t="str">
        <f>_xlfn.IFS(Table1[[#This Row],[Age]]&lt;=25, "Below 25", Table1[[#This Row],[Age]]&lt;=35, "Between 25-35", Table1[[#This Row],[Age]]&lt;=45, "Between 36-45", Table1[[#This Row],[Age]]&gt;45, "45+")</f>
        <v>Between 25-35</v>
      </c>
    </row>
    <row r="1215" spans="1:21" x14ac:dyDescent="0.3">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c r="T1215">
        <f>IF(Table1[[#This Row],[Discount_Applied]]="Yes", 1,0)</f>
        <v>1</v>
      </c>
      <c r="U1215" t="str">
        <f>_xlfn.IFS(Table1[[#This Row],[Age]]&lt;=25, "Below 25", Table1[[#This Row],[Age]]&lt;=35, "Between 25-35", Table1[[#This Row],[Age]]&lt;=45, "Between 36-45", Table1[[#This Row],[Age]]&gt;45, "45+")</f>
        <v>45+</v>
      </c>
    </row>
    <row r="1216" spans="1:21" x14ac:dyDescent="0.3">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c r="T1216">
        <f>IF(Table1[[#This Row],[Discount_Applied]]="Yes", 1,0)</f>
        <v>1</v>
      </c>
      <c r="U1216" t="str">
        <f>_xlfn.IFS(Table1[[#This Row],[Age]]&lt;=25, "Below 25", Table1[[#This Row],[Age]]&lt;=35, "Between 25-35", Table1[[#This Row],[Age]]&lt;=45, "Between 36-45", Table1[[#This Row],[Age]]&gt;45, "45+")</f>
        <v>Between 25-35</v>
      </c>
    </row>
    <row r="1217" spans="1:21" x14ac:dyDescent="0.3">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c r="T1217">
        <f>IF(Table1[[#This Row],[Discount_Applied]]="Yes", 1,0)</f>
        <v>1</v>
      </c>
      <c r="U1217" t="str">
        <f>_xlfn.IFS(Table1[[#This Row],[Age]]&lt;=25, "Below 25", Table1[[#This Row],[Age]]&lt;=35, "Between 25-35", Table1[[#This Row],[Age]]&lt;=45, "Between 36-45", Table1[[#This Row],[Age]]&gt;45, "45+")</f>
        <v>45+</v>
      </c>
    </row>
    <row r="1218" spans="1:21" x14ac:dyDescent="0.3">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c r="T1218">
        <f>IF(Table1[[#This Row],[Discount_Applied]]="Yes", 1,0)</f>
        <v>1</v>
      </c>
      <c r="U1218" t="str">
        <f>_xlfn.IFS(Table1[[#This Row],[Age]]&lt;=25, "Below 25", Table1[[#This Row],[Age]]&lt;=35, "Between 25-35", Table1[[#This Row],[Age]]&lt;=45, "Between 36-45", Table1[[#This Row],[Age]]&gt;45, "45+")</f>
        <v>45+</v>
      </c>
    </row>
    <row r="1219" spans="1:21" x14ac:dyDescent="0.3">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c r="T1219">
        <f>IF(Table1[[#This Row],[Discount_Applied]]="Yes", 1,0)</f>
        <v>1</v>
      </c>
      <c r="U1219" t="str">
        <f>_xlfn.IFS(Table1[[#This Row],[Age]]&lt;=25, "Below 25", Table1[[#This Row],[Age]]&lt;=35, "Between 25-35", Table1[[#This Row],[Age]]&lt;=45, "Between 36-45", Table1[[#This Row],[Age]]&gt;45, "45+")</f>
        <v>45+</v>
      </c>
    </row>
    <row r="1220" spans="1:21" x14ac:dyDescent="0.3">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c r="T1220">
        <f>IF(Table1[[#This Row],[Discount_Applied]]="Yes", 1,0)</f>
        <v>1</v>
      </c>
      <c r="U1220" t="str">
        <f>_xlfn.IFS(Table1[[#This Row],[Age]]&lt;=25, "Below 25", Table1[[#This Row],[Age]]&lt;=35, "Between 25-35", Table1[[#This Row],[Age]]&lt;=45, "Between 36-45", Table1[[#This Row],[Age]]&gt;45, "45+")</f>
        <v>45+</v>
      </c>
    </row>
    <row r="1221" spans="1:21" x14ac:dyDescent="0.3">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c r="T1221">
        <f>IF(Table1[[#This Row],[Discount_Applied]]="Yes", 1,0)</f>
        <v>1</v>
      </c>
      <c r="U1221" t="str">
        <f>_xlfn.IFS(Table1[[#This Row],[Age]]&lt;=25, "Below 25", Table1[[#This Row],[Age]]&lt;=35, "Between 25-35", Table1[[#This Row],[Age]]&lt;=45, "Between 36-45", Table1[[#This Row],[Age]]&gt;45, "45+")</f>
        <v>Below 25</v>
      </c>
    </row>
    <row r="1222" spans="1:21" x14ac:dyDescent="0.3">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c r="T1222">
        <f>IF(Table1[[#This Row],[Discount_Applied]]="Yes", 1,0)</f>
        <v>1</v>
      </c>
      <c r="U1222" t="str">
        <f>_xlfn.IFS(Table1[[#This Row],[Age]]&lt;=25, "Below 25", Table1[[#This Row],[Age]]&lt;=35, "Between 25-35", Table1[[#This Row],[Age]]&lt;=45, "Between 36-45", Table1[[#This Row],[Age]]&gt;45, "45+")</f>
        <v>45+</v>
      </c>
    </row>
    <row r="1223" spans="1:21" x14ac:dyDescent="0.3">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c r="T1223">
        <f>IF(Table1[[#This Row],[Discount_Applied]]="Yes", 1,0)</f>
        <v>1</v>
      </c>
      <c r="U1223" t="str">
        <f>_xlfn.IFS(Table1[[#This Row],[Age]]&lt;=25, "Below 25", Table1[[#This Row],[Age]]&lt;=35, "Between 25-35", Table1[[#This Row],[Age]]&lt;=45, "Between 36-45", Table1[[#This Row],[Age]]&gt;45, "45+")</f>
        <v>Below 25</v>
      </c>
    </row>
    <row r="1224" spans="1:21" x14ac:dyDescent="0.3">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c r="T1224">
        <f>IF(Table1[[#This Row],[Discount_Applied]]="Yes", 1,0)</f>
        <v>1</v>
      </c>
      <c r="U1224" t="str">
        <f>_xlfn.IFS(Table1[[#This Row],[Age]]&lt;=25, "Below 25", Table1[[#This Row],[Age]]&lt;=35, "Between 25-35", Table1[[#This Row],[Age]]&lt;=45, "Between 36-45", Table1[[#This Row],[Age]]&gt;45, "45+")</f>
        <v>45+</v>
      </c>
    </row>
    <row r="1225" spans="1:21" x14ac:dyDescent="0.3">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c r="T1225">
        <f>IF(Table1[[#This Row],[Discount_Applied]]="Yes", 1,0)</f>
        <v>1</v>
      </c>
      <c r="U1225" t="str">
        <f>_xlfn.IFS(Table1[[#This Row],[Age]]&lt;=25, "Below 25", Table1[[#This Row],[Age]]&lt;=35, "Between 25-35", Table1[[#This Row],[Age]]&lt;=45, "Between 36-45", Table1[[#This Row],[Age]]&gt;45, "45+")</f>
        <v>45+</v>
      </c>
    </row>
    <row r="1226" spans="1:21" x14ac:dyDescent="0.3">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c r="T1226">
        <f>IF(Table1[[#This Row],[Discount_Applied]]="Yes", 1,0)</f>
        <v>1</v>
      </c>
      <c r="U1226" t="str">
        <f>_xlfn.IFS(Table1[[#This Row],[Age]]&lt;=25, "Below 25", Table1[[#This Row],[Age]]&lt;=35, "Between 25-35", Table1[[#This Row],[Age]]&lt;=45, "Between 36-45", Table1[[#This Row],[Age]]&gt;45, "45+")</f>
        <v>45+</v>
      </c>
    </row>
    <row r="1227" spans="1:21" x14ac:dyDescent="0.3">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c r="T1227">
        <f>IF(Table1[[#This Row],[Discount_Applied]]="Yes", 1,0)</f>
        <v>1</v>
      </c>
      <c r="U1227" t="str">
        <f>_xlfn.IFS(Table1[[#This Row],[Age]]&lt;=25, "Below 25", Table1[[#This Row],[Age]]&lt;=35, "Between 25-35", Table1[[#This Row],[Age]]&lt;=45, "Between 36-45", Table1[[#This Row],[Age]]&gt;45, "45+")</f>
        <v>Between 25-35</v>
      </c>
    </row>
    <row r="1228" spans="1:21" x14ac:dyDescent="0.3">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c r="T1228">
        <f>IF(Table1[[#This Row],[Discount_Applied]]="Yes", 1,0)</f>
        <v>1</v>
      </c>
      <c r="U1228" t="str">
        <f>_xlfn.IFS(Table1[[#This Row],[Age]]&lt;=25, "Below 25", Table1[[#This Row],[Age]]&lt;=35, "Between 25-35", Table1[[#This Row],[Age]]&lt;=45, "Between 36-45", Table1[[#This Row],[Age]]&gt;45, "45+")</f>
        <v>45+</v>
      </c>
    </row>
    <row r="1229" spans="1:21" x14ac:dyDescent="0.3">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c r="T1229">
        <f>IF(Table1[[#This Row],[Discount_Applied]]="Yes", 1,0)</f>
        <v>1</v>
      </c>
      <c r="U1229" t="str">
        <f>_xlfn.IFS(Table1[[#This Row],[Age]]&lt;=25, "Below 25", Table1[[#This Row],[Age]]&lt;=35, "Between 25-35", Table1[[#This Row],[Age]]&lt;=45, "Between 36-45", Table1[[#This Row],[Age]]&gt;45, "45+")</f>
        <v>Between 25-35</v>
      </c>
    </row>
    <row r="1230" spans="1:21" x14ac:dyDescent="0.3">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c r="T1230">
        <f>IF(Table1[[#This Row],[Discount_Applied]]="Yes", 1,0)</f>
        <v>1</v>
      </c>
      <c r="U1230" t="str">
        <f>_xlfn.IFS(Table1[[#This Row],[Age]]&lt;=25, "Below 25", Table1[[#This Row],[Age]]&lt;=35, "Between 25-35", Table1[[#This Row],[Age]]&lt;=45, "Between 36-45", Table1[[#This Row],[Age]]&gt;45, "45+")</f>
        <v>45+</v>
      </c>
    </row>
    <row r="1231" spans="1:21" x14ac:dyDescent="0.3">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c r="T1231">
        <f>IF(Table1[[#This Row],[Discount_Applied]]="Yes", 1,0)</f>
        <v>1</v>
      </c>
      <c r="U1231" t="str">
        <f>_xlfn.IFS(Table1[[#This Row],[Age]]&lt;=25, "Below 25", Table1[[#This Row],[Age]]&lt;=35, "Between 25-35", Table1[[#This Row],[Age]]&lt;=45, "Between 36-45", Table1[[#This Row],[Age]]&gt;45, "45+")</f>
        <v>Between 25-35</v>
      </c>
    </row>
    <row r="1232" spans="1:21" x14ac:dyDescent="0.3">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c r="T1232">
        <f>IF(Table1[[#This Row],[Discount_Applied]]="Yes", 1,0)</f>
        <v>1</v>
      </c>
      <c r="U1232" t="str">
        <f>_xlfn.IFS(Table1[[#This Row],[Age]]&lt;=25, "Below 25", Table1[[#This Row],[Age]]&lt;=35, "Between 25-35", Table1[[#This Row],[Age]]&lt;=45, "Between 36-45", Table1[[#This Row],[Age]]&gt;45, "45+")</f>
        <v>Below 25</v>
      </c>
    </row>
    <row r="1233" spans="1:21" x14ac:dyDescent="0.3">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c r="T1233">
        <f>IF(Table1[[#This Row],[Discount_Applied]]="Yes", 1,0)</f>
        <v>1</v>
      </c>
      <c r="U1233" t="str">
        <f>_xlfn.IFS(Table1[[#This Row],[Age]]&lt;=25, "Below 25", Table1[[#This Row],[Age]]&lt;=35, "Between 25-35", Table1[[#This Row],[Age]]&lt;=45, "Between 36-45", Table1[[#This Row],[Age]]&gt;45, "45+")</f>
        <v>45+</v>
      </c>
    </row>
    <row r="1234" spans="1:21" x14ac:dyDescent="0.3">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c r="T1234">
        <f>IF(Table1[[#This Row],[Discount_Applied]]="Yes", 1,0)</f>
        <v>1</v>
      </c>
      <c r="U1234" t="str">
        <f>_xlfn.IFS(Table1[[#This Row],[Age]]&lt;=25, "Below 25", Table1[[#This Row],[Age]]&lt;=35, "Between 25-35", Table1[[#This Row],[Age]]&lt;=45, "Between 36-45", Table1[[#This Row],[Age]]&gt;45, "45+")</f>
        <v>45+</v>
      </c>
    </row>
    <row r="1235" spans="1:21" x14ac:dyDescent="0.3">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c r="T1235">
        <f>IF(Table1[[#This Row],[Discount_Applied]]="Yes", 1,0)</f>
        <v>1</v>
      </c>
      <c r="U1235" t="str">
        <f>_xlfn.IFS(Table1[[#This Row],[Age]]&lt;=25, "Below 25", Table1[[#This Row],[Age]]&lt;=35, "Between 25-35", Table1[[#This Row],[Age]]&lt;=45, "Between 36-45", Table1[[#This Row],[Age]]&gt;45, "45+")</f>
        <v>45+</v>
      </c>
    </row>
    <row r="1236" spans="1:21" x14ac:dyDescent="0.3">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c r="T1236">
        <f>IF(Table1[[#This Row],[Discount_Applied]]="Yes", 1,0)</f>
        <v>1</v>
      </c>
      <c r="U1236" t="str">
        <f>_xlfn.IFS(Table1[[#This Row],[Age]]&lt;=25, "Below 25", Table1[[#This Row],[Age]]&lt;=35, "Between 25-35", Table1[[#This Row],[Age]]&lt;=45, "Between 36-45", Table1[[#This Row],[Age]]&gt;45, "45+")</f>
        <v>Between 36-45</v>
      </c>
    </row>
    <row r="1237" spans="1:21" x14ac:dyDescent="0.3">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c r="T1237">
        <f>IF(Table1[[#This Row],[Discount_Applied]]="Yes", 1,0)</f>
        <v>1</v>
      </c>
      <c r="U1237" t="str">
        <f>_xlfn.IFS(Table1[[#This Row],[Age]]&lt;=25, "Below 25", Table1[[#This Row],[Age]]&lt;=35, "Between 25-35", Table1[[#This Row],[Age]]&lt;=45, "Between 36-45", Table1[[#This Row],[Age]]&gt;45, "45+")</f>
        <v>Below 25</v>
      </c>
    </row>
    <row r="1238" spans="1:21" x14ac:dyDescent="0.3">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c r="T1238">
        <f>IF(Table1[[#This Row],[Discount_Applied]]="Yes", 1,0)</f>
        <v>1</v>
      </c>
      <c r="U1238" t="str">
        <f>_xlfn.IFS(Table1[[#This Row],[Age]]&lt;=25, "Below 25", Table1[[#This Row],[Age]]&lt;=35, "Between 25-35", Table1[[#This Row],[Age]]&lt;=45, "Between 36-45", Table1[[#This Row],[Age]]&gt;45, "45+")</f>
        <v>Between 36-45</v>
      </c>
    </row>
    <row r="1239" spans="1:21" x14ac:dyDescent="0.3">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c r="T1239">
        <f>IF(Table1[[#This Row],[Discount_Applied]]="Yes", 1,0)</f>
        <v>1</v>
      </c>
      <c r="U1239" t="str">
        <f>_xlfn.IFS(Table1[[#This Row],[Age]]&lt;=25, "Below 25", Table1[[#This Row],[Age]]&lt;=35, "Between 25-35", Table1[[#This Row],[Age]]&lt;=45, "Between 36-45", Table1[[#This Row],[Age]]&gt;45, "45+")</f>
        <v>Below 25</v>
      </c>
    </row>
    <row r="1240" spans="1:21" x14ac:dyDescent="0.3">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c r="T1240">
        <f>IF(Table1[[#This Row],[Discount_Applied]]="Yes", 1,0)</f>
        <v>1</v>
      </c>
      <c r="U1240" t="str">
        <f>_xlfn.IFS(Table1[[#This Row],[Age]]&lt;=25, "Below 25", Table1[[#This Row],[Age]]&lt;=35, "Between 25-35", Table1[[#This Row],[Age]]&lt;=45, "Between 36-45", Table1[[#This Row],[Age]]&gt;45, "45+")</f>
        <v>45+</v>
      </c>
    </row>
    <row r="1241" spans="1:21" x14ac:dyDescent="0.3">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c r="T1241">
        <f>IF(Table1[[#This Row],[Discount_Applied]]="Yes", 1,0)</f>
        <v>1</v>
      </c>
      <c r="U1241" t="str">
        <f>_xlfn.IFS(Table1[[#This Row],[Age]]&lt;=25, "Below 25", Table1[[#This Row],[Age]]&lt;=35, "Between 25-35", Table1[[#This Row],[Age]]&lt;=45, "Between 36-45", Table1[[#This Row],[Age]]&gt;45, "45+")</f>
        <v>45+</v>
      </c>
    </row>
    <row r="1242" spans="1:21" x14ac:dyDescent="0.3">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c r="T1242">
        <f>IF(Table1[[#This Row],[Discount_Applied]]="Yes", 1,0)</f>
        <v>1</v>
      </c>
      <c r="U1242" t="str">
        <f>_xlfn.IFS(Table1[[#This Row],[Age]]&lt;=25, "Below 25", Table1[[#This Row],[Age]]&lt;=35, "Between 25-35", Table1[[#This Row],[Age]]&lt;=45, "Between 36-45", Table1[[#This Row],[Age]]&gt;45, "45+")</f>
        <v>Between 36-45</v>
      </c>
    </row>
    <row r="1243" spans="1:21" x14ac:dyDescent="0.3">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c r="T1243">
        <f>IF(Table1[[#This Row],[Discount_Applied]]="Yes", 1,0)</f>
        <v>1</v>
      </c>
      <c r="U1243" t="str">
        <f>_xlfn.IFS(Table1[[#This Row],[Age]]&lt;=25, "Below 25", Table1[[#This Row],[Age]]&lt;=35, "Between 25-35", Table1[[#This Row],[Age]]&lt;=45, "Between 36-45", Table1[[#This Row],[Age]]&gt;45, "45+")</f>
        <v>45+</v>
      </c>
    </row>
    <row r="1244" spans="1:21" x14ac:dyDescent="0.3">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c r="T1244">
        <f>IF(Table1[[#This Row],[Discount_Applied]]="Yes", 1,0)</f>
        <v>1</v>
      </c>
      <c r="U1244" t="str">
        <f>_xlfn.IFS(Table1[[#This Row],[Age]]&lt;=25, "Below 25", Table1[[#This Row],[Age]]&lt;=35, "Between 25-35", Table1[[#This Row],[Age]]&lt;=45, "Between 36-45", Table1[[#This Row],[Age]]&gt;45, "45+")</f>
        <v>45+</v>
      </c>
    </row>
    <row r="1245" spans="1:21" x14ac:dyDescent="0.3">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c r="T1245">
        <f>IF(Table1[[#This Row],[Discount_Applied]]="Yes", 1,0)</f>
        <v>1</v>
      </c>
      <c r="U1245" t="str">
        <f>_xlfn.IFS(Table1[[#This Row],[Age]]&lt;=25, "Below 25", Table1[[#This Row],[Age]]&lt;=35, "Between 25-35", Table1[[#This Row],[Age]]&lt;=45, "Between 36-45", Table1[[#This Row],[Age]]&gt;45, "45+")</f>
        <v>Below 25</v>
      </c>
    </row>
    <row r="1246" spans="1:21" x14ac:dyDescent="0.3">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c r="T1246">
        <f>IF(Table1[[#This Row],[Discount_Applied]]="Yes", 1,0)</f>
        <v>1</v>
      </c>
      <c r="U1246" t="str">
        <f>_xlfn.IFS(Table1[[#This Row],[Age]]&lt;=25, "Below 25", Table1[[#This Row],[Age]]&lt;=35, "Between 25-35", Table1[[#This Row],[Age]]&lt;=45, "Between 36-45", Table1[[#This Row],[Age]]&gt;45, "45+")</f>
        <v>45+</v>
      </c>
    </row>
    <row r="1247" spans="1:21" x14ac:dyDescent="0.3">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c r="T1247">
        <f>IF(Table1[[#This Row],[Discount_Applied]]="Yes", 1,0)</f>
        <v>1</v>
      </c>
      <c r="U1247" t="str">
        <f>_xlfn.IFS(Table1[[#This Row],[Age]]&lt;=25, "Below 25", Table1[[#This Row],[Age]]&lt;=35, "Between 25-35", Table1[[#This Row],[Age]]&lt;=45, "Between 36-45", Table1[[#This Row],[Age]]&gt;45, "45+")</f>
        <v>Between 36-45</v>
      </c>
    </row>
    <row r="1248" spans="1:21" x14ac:dyDescent="0.3">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c r="T1248">
        <f>IF(Table1[[#This Row],[Discount_Applied]]="Yes", 1,0)</f>
        <v>1</v>
      </c>
      <c r="U1248" t="str">
        <f>_xlfn.IFS(Table1[[#This Row],[Age]]&lt;=25, "Below 25", Table1[[#This Row],[Age]]&lt;=35, "Between 25-35", Table1[[#This Row],[Age]]&lt;=45, "Between 36-45", Table1[[#This Row],[Age]]&gt;45, "45+")</f>
        <v>Between 25-35</v>
      </c>
    </row>
    <row r="1249" spans="1:21" x14ac:dyDescent="0.3">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c r="T1249">
        <f>IF(Table1[[#This Row],[Discount_Applied]]="Yes", 1,0)</f>
        <v>1</v>
      </c>
      <c r="U1249" t="str">
        <f>_xlfn.IFS(Table1[[#This Row],[Age]]&lt;=25, "Below 25", Table1[[#This Row],[Age]]&lt;=35, "Between 25-35", Table1[[#This Row],[Age]]&lt;=45, "Between 36-45", Table1[[#This Row],[Age]]&gt;45, "45+")</f>
        <v>45+</v>
      </c>
    </row>
    <row r="1250" spans="1:21" x14ac:dyDescent="0.3">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c r="T1250">
        <f>IF(Table1[[#This Row],[Discount_Applied]]="Yes", 1,0)</f>
        <v>1</v>
      </c>
      <c r="U1250" t="str">
        <f>_xlfn.IFS(Table1[[#This Row],[Age]]&lt;=25, "Below 25", Table1[[#This Row],[Age]]&lt;=35, "Between 25-35", Table1[[#This Row],[Age]]&lt;=45, "Between 36-45", Table1[[#This Row],[Age]]&gt;45, "45+")</f>
        <v>45+</v>
      </c>
    </row>
    <row r="1251" spans="1:21" x14ac:dyDescent="0.3">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c r="T1251">
        <f>IF(Table1[[#This Row],[Discount_Applied]]="Yes", 1,0)</f>
        <v>1</v>
      </c>
      <c r="U1251" t="str">
        <f>_xlfn.IFS(Table1[[#This Row],[Age]]&lt;=25, "Below 25", Table1[[#This Row],[Age]]&lt;=35, "Between 25-35", Table1[[#This Row],[Age]]&lt;=45, "Between 36-45", Table1[[#This Row],[Age]]&gt;45, "45+")</f>
        <v>45+</v>
      </c>
    </row>
    <row r="1252" spans="1:21" x14ac:dyDescent="0.3">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c r="T1252">
        <f>IF(Table1[[#This Row],[Discount_Applied]]="Yes", 1,0)</f>
        <v>1</v>
      </c>
      <c r="U1252" t="str">
        <f>_xlfn.IFS(Table1[[#This Row],[Age]]&lt;=25, "Below 25", Table1[[#This Row],[Age]]&lt;=35, "Between 25-35", Table1[[#This Row],[Age]]&lt;=45, "Between 36-45", Table1[[#This Row],[Age]]&gt;45, "45+")</f>
        <v>45+</v>
      </c>
    </row>
    <row r="1253" spans="1:21" x14ac:dyDescent="0.3">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c r="T1253">
        <f>IF(Table1[[#This Row],[Discount_Applied]]="Yes", 1,0)</f>
        <v>1</v>
      </c>
      <c r="U1253" t="str">
        <f>_xlfn.IFS(Table1[[#This Row],[Age]]&lt;=25, "Below 25", Table1[[#This Row],[Age]]&lt;=35, "Between 25-35", Table1[[#This Row],[Age]]&lt;=45, "Between 36-45", Table1[[#This Row],[Age]]&gt;45, "45+")</f>
        <v>45+</v>
      </c>
    </row>
    <row r="1254" spans="1:21" x14ac:dyDescent="0.3">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c r="T1254">
        <f>IF(Table1[[#This Row],[Discount_Applied]]="Yes", 1,0)</f>
        <v>1</v>
      </c>
      <c r="U1254" t="str">
        <f>_xlfn.IFS(Table1[[#This Row],[Age]]&lt;=25, "Below 25", Table1[[#This Row],[Age]]&lt;=35, "Between 25-35", Table1[[#This Row],[Age]]&lt;=45, "Between 36-45", Table1[[#This Row],[Age]]&gt;45, "45+")</f>
        <v>Between 25-35</v>
      </c>
    </row>
    <row r="1255" spans="1:21" x14ac:dyDescent="0.3">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c r="T1255">
        <f>IF(Table1[[#This Row],[Discount_Applied]]="Yes", 1,0)</f>
        <v>1</v>
      </c>
      <c r="U1255" t="str">
        <f>_xlfn.IFS(Table1[[#This Row],[Age]]&lt;=25, "Below 25", Table1[[#This Row],[Age]]&lt;=35, "Between 25-35", Table1[[#This Row],[Age]]&lt;=45, "Between 36-45", Table1[[#This Row],[Age]]&gt;45, "45+")</f>
        <v>Between 36-45</v>
      </c>
    </row>
    <row r="1256" spans="1:21" x14ac:dyDescent="0.3">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c r="T1256">
        <f>IF(Table1[[#This Row],[Discount_Applied]]="Yes", 1,0)</f>
        <v>1</v>
      </c>
      <c r="U1256" t="str">
        <f>_xlfn.IFS(Table1[[#This Row],[Age]]&lt;=25, "Below 25", Table1[[#This Row],[Age]]&lt;=35, "Between 25-35", Table1[[#This Row],[Age]]&lt;=45, "Between 36-45", Table1[[#This Row],[Age]]&gt;45, "45+")</f>
        <v>45+</v>
      </c>
    </row>
    <row r="1257" spans="1:21" x14ac:dyDescent="0.3">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c r="T1257">
        <f>IF(Table1[[#This Row],[Discount_Applied]]="Yes", 1,0)</f>
        <v>1</v>
      </c>
      <c r="U1257" t="str">
        <f>_xlfn.IFS(Table1[[#This Row],[Age]]&lt;=25, "Below 25", Table1[[#This Row],[Age]]&lt;=35, "Between 25-35", Table1[[#This Row],[Age]]&lt;=45, "Between 36-45", Table1[[#This Row],[Age]]&gt;45, "45+")</f>
        <v>Between 25-35</v>
      </c>
    </row>
    <row r="1258" spans="1:21" x14ac:dyDescent="0.3">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c r="T1258">
        <f>IF(Table1[[#This Row],[Discount_Applied]]="Yes", 1,0)</f>
        <v>1</v>
      </c>
      <c r="U1258" t="str">
        <f>_xlfn.IFS(Table1[[#This Row],[Age]]&lt;=25, "Below 25", Table1[[#This Row],[Age]]&lt;=35, "Between 25-35", Table1[[#This Row],[Age]]&lt;=45, "Between 36-45", Table1[[#This Row],[Age]]&gt;45, "45+")</f>
        <v>Between 36-45</v>
      </c>
    </row>
    <row r="1259" spans="1:21" x14ac:dyDescent="0.3">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c r="T1259">
        <f>IF(Table1[[#This Row],[Discount_Applied]]="Yes", 1,0)</f>
        <v>1</v>
      </c>
      <c r="U1259" t="str">
        <f>_xlfn.IFS(Table1[[#This Row],[Age]]&lt;=25, "Below 25", Table1[[#This Row],[Age]]&lt;=35, "Between 25-35", Table1[[#This Row],[Age]]&lt;=45, "Between 36-45", Table1[[#This Row],[Age]]&gt;45, "45+")</f>
        <v>45+</v>
      </c>
    </row>
    <row r="1260" spans="1:21" x14ac:dyDescent="0.3">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c r="T1260">
        <f>IF(Table1[[#This Row],[Discount_Applied]]="Yes", 1,0)</f>
        <v>1</v>
      </c>
      <c r="U1260" t="str">
        <f>_xlfn.IFS(Table1[[#This Row],[Age]]&lt;=25, "Below 25", Table1[[#This Row],[Age]]&lt;=35, "Between 25-35", Table1[[#This Row],[Age]]&lt;=45, "Between 36-45", Table1[[#This Row],[Age]]&gt;45, "45+")</f>
        <v>45+</v>
      </c>
    </row>
    <row r="1261" spans="1:21" x14ac:dyDescent="0.3">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c r="T1261">
        <f>IF(Table1[[#This Row],[Discount_Applied]]="Yes", 1,0)</f>
        <v>1</v>
      </c>
      <c r="U1261" t="str">
        <f>_xlfn.IFS(Table1[[#This Row],[Age]]&lt;=25, "Below 25", Table1[[#This Row],[Age]]&lt;=35, "Between 25-35", Table1[[#This Row],[Age]]&lt;=45, "Between 36-45", Table1[[#This Row],[Age]]&gt;45, "45+")</f>
        <v>45+</v>
      </c>
    </row>
    <row r="1262" spans="1:21" x14ac:dyDescent="0.3">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c r="T1262">
        <f>IF(Table1[[#This Row],[Discount_Applied]]="Yes", 1,0)</f>
        <v>1</v>
      </c>
      <c r="U1262" t="str">
        <f>_xlfn.IFS(Table1[[#This Row],[Age]]&lt;=25, "Below 25", Table1[[#This Row],[Age]]&lt;=35, "Between 25-35", Table1[[#This Row],[Age]]&lt;=45, "Between 36-45", Table1[[#This Row],[Age]]&gt;45, "45+")</f>
        <v>45+</v>
      </c>
    </row>
    <row r="1263" spans="1:21" x14ac:dyDescent="0.3">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c r="T1263">
        <f>IF(Table1[[#This Row],[Discount_Applied]]="Yes", 1,0)</f>
        <v>1</v>
      </c>
      <c r="U1263" t="str">
        <f>_xlfn.IFS(Table1[[#This Row],[Age]]&lt;=25, "Below 25", Table1[[#This Row],[Age]]&lt;=35, "Between 25-35", Table1[[#This Row],[Age]]&lt;=45, "Between 36-45", Table1[[#This Row],[Age]]&gt;45, "45+")</f>
        <v>Below 25</v>
      </c>
    </row>
    <row r="1264" spans="1:21" x14ac:dyDescent="0.3">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c r="T1264">
        <f>IF(Table1[[#This Row],[Discount_Applied]]="Yes", 1,0)</f>
        <v>1</v>
      </c>
      <c r="U1264" t="str">
        <f>_xlfn.IFS(Table1[[#This Row],[Age]]&lt;=25, "Below 25", Table1[[#This Row],[Age]]&lt;=35, "Between 25-35", Table1[[#This Row],[Age]]&lt;=45, "Between 36-45", Table1[[#This Row],[Age]]&gt;45, "45+")</f>
        <v>Between 25-35</v>
      </c>
    </row>
    <row r="1265" spans="1:21" x14ac:dyDescent="0.3">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c r="T1265">
        <f>IF(Table1[[#This Row],[Discount_Applied]]="Yes", 1,0)</f>
        <v>1</v>
      </c>
      <c r="U1265" t="str">
        <f>_xlfn.IFS(Table1[[#This Row],[Age]]&lt;=25, "Below 25", Table1[[#This Row],[Age]]&lt;=35, "Between 25-35", Table1[[#This Row],[Age]]&lt;=45, "Between 36-45", Table1[[#This Row],[Age]]&gt;45, "45+")</f>
        <v>Between 36-45</v>
      </c>
    </row>
    <row r="1266" spans="1:21" x14ac:dyDescent="0.3">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c r="T1266">
        <f>IF(Table1[[#This Row],[Discount_Applied]]="Yes", 1,0)</f>
        <v>1</v>
      </c>
      <c r="U1266" t="str">
        <f>_xlfn.IFS(Table1[[#This Row],[Age]]&lt;=25, "Below 25", Table1[[#This Row],[Age]]&lt;=35, "Between 25-35", Table1[[#This Row],[Age]]&lt;=45, "Between 36-45", Table1[[#This Row],[Age]]&gt;45, "45+")</f>
        <v>45+</v>
      </c>
    </row>
    <row r="1267" spans="1:21" x14ac:dyDescent="0.3">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c r="T1267">
        <f>IF(Table1[[#This Row],[Discount_Applied]]="Yes", 1,0)</f>
        <v>1</v>
      </c>
      <c r="U1267" t="str">
        <f>_xlfn.IFS(Table1[[#This Row],[Age]]&lt;=25, "Below 25", Table1[[#This Row],[Age]]&lt;=35, "Between 25-35", Table1[[#This Row],[Age]]&lt;=45, "Between 36-45", Table1[[#This Row],[Age]]&gt;45, "45+")</f>
        <v>Between 25-35</v>
      </c>
    </row>
    <row r="1268" spans="1:21" x14ac:dyDescent="0.3">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c r="T1268">
        <f>IF(Table1[[#This Row],[Discount_Applied]]="Yes", 1,0)</f>
        <v>1</v>
      </c>
      <c r="U1268" t="str">
        <f>_xlfn.IFS(Table1[[#This Row],[Age]]&lt;=25, "Below 25", Table1[[#This Row],[Age]]&lt;=35, "Between 25-35", Table1[[#This Row],[Age]]&lt;=45, "Between 36-45", Table1[[#This Row],[Age]]&gt;45, "45+")</f>
        <v>Below 25</v>
      </c>
    </row>
    <row r="1269" spans="1:21" x14ac:dyDescent="0.3">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c r="T1269">
        <f>IF(Table1[[#This Row],[Discount_Applied]]="Yes", 1,0)</f>
        <v>1</v>
      </c>
      <c r="U1269" t="str">
        <f>_xlfn.IFS(Table1[[#This Row],[Age]]&lt;=25, "Below 25", Table1[[#This Row],[Age]]&lt;=35, "Between 25-35", Table1[[#This Row],[Age]]&lt;=45, "Between 36-45", Table1[[#This Row],[Age]]&gt;45, "45+")</f>
        <v>45+</v>
      </c>
    </row>
    <row r="1270" spans="1:21" x14ac:dyDescent="0.3">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c r="T1270">
        <f>IF(Table1[[#This Row],[Discount_Applied]]="Yes", 1,0)</f>
        <v>1</v>
      </c>
      <c r="U1270" t="str">
        <f>_xlfn.IFS(Table1[[#This Row],[Age]]&lt;=25, "Below 25", Table1[[#This Row],[Age]]&lt;=35, "Between 25-35", Table1[[#This Row],[Age]]&lt;=45, "Between 36-45", Table1[[#This Row],[Age]]&gt;45, "45+")</f>
        <v>Below 25</v>
      </c>
    </row>
    <row r="1271" spans="1:21" x14ac:dyDescent="0.3">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c r="T1271">
        <f>IF(Table1[[#This Row],[Discount_Applied]]="Yes", 1,0)</f>
        <v>1</v>
      </c>
      <c r="U1271" t="str">
        <f>_xlfn.IFS(Table1[[#This Row],[Age]]&lt;=25, "Below 25", Table1[[#This Row],[Age]]&lt;=35, "Between 25-35", Table1[[#This Row],[Age]]&lt;=45, "Between 36-45", Table1[[#This Row],[Age]]&gt;45, "45+")</f>
        <v>Between 36-45</v>
      </c>
    </row>
    <row r="1272" spans="1:21" x14ac:dyDescent="0.3">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c r="T1272">
        <f>IF(Table1[[#This Row],[Discount_Applied]]="Yes", 1,0)</f>
        <v>1</v>
      </c>
      <c r="U1272" t="str">
        <f>_xlfn.IFS(Table1[[#This Row],[Age]]&lt;=25, "Below 25", Table1[[#This Row],[Age]]&lt;=35, "Between 25-35", Table1[[#This Row],[Age]]&lt;=45, "Between 36-45", Table1[[#This Row],[Age]]&gt;45, "45+")</f>
        <v>45+</v>
      </c>
    </row>
    <row r="1273" spans="1:21" x14ac:dyDescent="0.3">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c r="T1273">
        <f>IF(Table1[[#This Row],[Discount_Applied]]="Yes", 1,0)</f>
        <v>1</v>
      </c>
      <c r="U1273" t="str">
        <f>_xlfn.IFS(Table1[[#This Row],[Age]]&lt;=25, "Below 25", Table1[[#This Row],[Age]]&lt;=35, "Between 25-35", Table1[[#This Row],[Age]]&lt;=45, "Between 36-45", Table1[[#This Row],[Age]]&gt;45, "45+")</f>
        <v>45+</v>
      </c>
    </row>
    <row r="1274" spans="1:21" x14ac:dyDescent="0.3">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c r="T1274">
        <f>IF(Table1[[#This Row],[Discount_Applied]]="Yes", 1,0)</f>
        <v>1</v>
      </c>
      <c r="U1274" t="str">
        <f>_xlfn.IFS(Table1[[#This Row],[Age]]&lt;=25, "Below 25", Table1[[#This Row],[Age]]&lt;=35, "Between 25-35", Table1[[#This Row],[Age]]&lt;=45, "Between 36-45", Table1[[#This Row],[Age]]&gt;45, "45+")</f>
        <v>Between 25-35</v>
      </c>
    </row>
    <row r="1275" spans="1:21" x14ac:dyDescent="0.3">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c r="T1275">
        <f>IF(Table1[[#This Row],[Discount_Applied]]="Yes", 1,0)</f>
        <v>1</v>
      </c>
      <c r="U1275" t="str">
        <f>_xlfn.IFS(Table1[[#This Row],[Age]]&lt;=25, "Below 25", Table1[[#This Row],[Age]]&lt;=35, "Between 25-35", Table1[[#This Row],[Age]]&lt;=45, "Between 36-45", Table1[[#This Row],[Age]]&gt;45, "45+")</f>
        <v>Between 36-45</v>
      </c>
    </row>
    <row r="1276" spans="1:21" x14ac:dyDescent="0.3">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c r="T1276">
        <f>IF(Table1[[#This Row],[Discount_Applied]]="Yes", 1,0)</f>
        <v>1</v>
      </c>
      <c r="U1276" t="str">
        <f>_xlfn.IFS(Table1[[#This Row],[Age]]&lt;=25, "Below 25", Table1[[#This Row],[Age]]&lt;=35, "Between 25-35", Table1[[#This Row],[Age]]&lt;=45, "Between 36-45", Table1[[#This Row],[Age]]&gt;45, "45+")</f>
        <v>45+</v>
      </c>
    </row>
    <row r="1277" spans="1:21" x14ac:dyDescent="0.3">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c r="T1277">
        <f>IF(Table1[[#This Row],[Discount_Applied]]="Yes", 1,0)</f>
        <v>1</v>
      </c>
      <c r="U1277" t="str">
        <f>_xlfn.IFS(Table1[[#This Row],[Age]]&lt;=25, "Below 25", Table1[[#This Row],[Age]]&lt;=35, "Between 25-35", Table1[[#This Row],[Age]]&lt;=45, "Between 36-45", Table1[[#This Row],[Age]]&gt;45, "45+")</f>
        <v>45+</v>
      </c>
    </row>
    <row r="1278" spans="1:21" x14ac:dyDescent="0.3">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c r="T1278">
        <f>IF(Table1[[#This Row],[Discount_Applied]]="Yes", 1,0)</f>
        <v>1</v>
      </c>
      <c r="U1278" t="str">
        <f>_xlfn.IFS(Table1[[#This Row],[Age]]&lt;=25, "Below 25", Table1[[#This Row],[Age]]&lt;=35, "Between 25-35", Table1[[#This Row],[Age]]&lt;=45, "Between 36-45", Table1[[#This Row],[Age]]&gt;45, "45+")</f>
        <v>45+</v>
      </c>
    </row>
    <row r="1279" spans="1:21" x14ac:dyDescent="0.3">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c r="T1279">
        <f>IF(Table1[[#This Row],[Discount_Applied]]="Yes", 1,0)</f>
        <v>1</v>
      </c>
      <c r="U1279" t="str">
        <f>_xlfn.IFS(Table1[[#This Row],[Age]]&lt;=25, "Below 25", Table1[[#This Row],[Age]]&lt;=35, "Between 25-35", Table1[[#This Row],[Age]]&lt;=45, "Between 36-45", Table1[[#This Row],[Age]]&gt;45, "45+")</f>
        <v>Below 25</v>
      </c>
    </row>
    <row r="1280" spans="1:21" x14ac:dyDescent="0.3">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c r="T1280">
        <f>IF(Table1[[#This Row],[Discount_Applied]]="Yes", 1,0)</f>
        <v>1</v>
      </c>
      <c r="U1280" t="str">
        <f>_xlfn.IFS(Table1[[#This Row],[Age]]&lt;=25, "Below 25", Table1[[#This Row],[Age]]&lt;=35, "Between 25-35", Table1[[#This Row],[Age]]&lt;=45, "Between 36-45", Table1[[#This Row],[Age]]&gt;45, "45+")</f>
        <v>Between 25-35</v>
      </c>
    </row>
    <row r="1281" spans="1:21" x14ac:dyDescent="0.3">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c r="T1281">
        <f>IF(Table1[[#This Row],[Discount_Applied]]="Yes", 1,0)</f>
        <v>1</v>
      </c>
      <c r="U1281" t="str">
        <f>_xlfn.IFS(Table1[[#This Row],[Age]]&lt;=25, "Below 25", Table1[[#This Row],[Age]]&lt;=35, "Between 25-35", Table1[[#This Row],[Age]]&lt;=45, "Between 36-45", Table1[[#This Row],[Age]]&gt;45, "45+")</f>
        <v>45+</v>
      </c>
    </row>
    <row r="1282" spans="1:21" x14ac:dyDescent="0.3">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c r="T1282">
        <f>IF(Table1[[#This Row],[Discount_Applied]]="Yes", 1,0)</f>
        <v>1</v>
      </c>
      <c r="U1282" t="str">
        <f>_xlfn.IFS(Table1[[#This Row],[Age]]&lt;=25, "Below 25", Table1[[#This Row],[Age]]&lt;=35, "Between 25-35", Table1[[#This Row],[Age]]&lt;=45, "Between 36-45", Table1[[#This Row],[Age]]&gt;45, "45+")</f>
        <v>Between 25-35</v>
      </c>
    </row>
    <row r="1283" spans="1:21" x14ac:dyDescent="0.3">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c r="T1283">
        <f>IF(Table1[[#This Row],[Discount_Applied]]="Yes", 1,0)</f>
        <v>1</v>
      </c>
      <c r="U1283" t="str">
        <f>_xlfn.IFS(Table1[[#This Row],[Age]]&lt;=25, "Below 25", Table1[[#This Row],[Age]]&lt;=35, "Between 25-35", Table1[[#This Row],[Age]]&lt;=45, "Between 36-45", Table1[[#This Row],[Age]]&gt;45, "45+")</f>
        <v>Between 25-35</v>
      </c>
    </row>
    <row r="1284" spans="1:21" x14ac:dyDescent="0.3">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c r="T1284">
        <f>IF(Table1[[#This Row],[Discount_Applied]]="Yes", 1,0)</f>
        <v>1</v>
      </c>
      <c r="U1284" t="str">
        <f>_xlfn.IFS(Table1[[#This Row],[Age]]&lt;=25, "Below 25", Table1[[#This Row],[Age]]&lt;=35, "Between 25-35", Table1[[#This Row],[Age]]&lt;=45, "Between 36-45", Table1[[#This Row],[Age]]&gt;45, "45+")</f>
        <v>Below 25</v>
      </c>
    </row>
    <row r="1285" spans="1:21" x14ac:dyDescent="0.3">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c r="T1285">
        <f>IF(Table1[[#This Row],[Discount_Applied]]="Yes", 1,0)</f>
        <v>1</v>
      </c>
      <c r="U1285" t="str">
        <f>_xlfn.IFS(Table1[[#This Row],[Age]]&lt;=25, "Below 25", Table1[[#This Row],[Age]]&lt;=35, "Between 25-35", Table1[[#This Row],[Age]]&lt;=45, "Between 36-45", Table1[[#This Row],[Age]]&gt;45, "45+")</f>
        <v>45+</v>
      </c>
    </row>
    <row r="1286" spans="1:21" x14ac:dyDescent="0.3">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c r="T1286">
        <f>IF(Table1[[#This Row],[Discount_Applied]]="Yes", 1,0)</f>
        <v>1</v>
      </c>
      <c r="U1286" t="str">
        <f>_xlfn.IFS(Table1[[#This Row],[Age]]&lt;=25, "Below 25", Table1[[#This Row],[Age]]&lt;=35, "Between 25-35", Table1[[#This Row],[Age]]&lt;=45, "Between 36-45", Table1[[#This Row],[Age]]&gt;45, "45+")</f>
        <v>45+</v>
      </c>
    </row>
    <row r="1287" spans="1:21" x14ac:dyDescent="0.3">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c r="T1287">
        <f>IF(Table1[[#This Row],[Discount_Applied]]="Yes", 1,0)</f>
        <v>1</v>
      </c>
      <c r="U1287" t="str">
        <f>_xlfn.IFS(Table1[[#This Row],[Age]]&lt;=25, "Below 25", Table1[[#This Row],[Age]]&lt;=35, "Between 25-35", Table1[[#This Row],[Age]]&lt;=45, "Between 36-45", Table1[[#This Row],[Age]]&gt;45, "45+")</f>
        <v>45+</v>
      </c>
    </row>
    <row r="1288" spans="1:21" x14ac:dyDescent="0.3">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c r="T1288">
        <f>IF(Table1[[#This Row],[Discount_Applied]]="Yes", 1,0)</f>
        <v>1</v>
      </c>
      <c r="U1288" t="str">
        <f>_xlfn.IFS(Table1[[#This Row],[Age]]&lt;=25, "Below 25", Table1[[#This Row],[Age]]&lt;=35, "Between 25-35", Table1[[#This Row],[Age]]&lt;=45, "Between 36-45", Table1[[#This Row],[Age]]&gt;45, "45+")</f>
        <v>Between 36-45</v>
      </c>
    </row>
    <row r="1289" spans="1:21" x14ac:dyDescent="0.3">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c r="T1289">
        <f>IF(Table1[[#This Row],[Discount_Applied]]="Yes", 1,0)</f>
        <v>1</v>
      </c>
      <c r="U1289" t="str">
        <f>_xlfn.IFS(Table1[[#This Row],[Age]]&lt;=25, "Below 25", Table1[[#This Row],[Age]]&lt;=35, "Between 25-35", Table1[[#This Row],[Age]]&lt;=45, "Between 36-45", Table1[[#This Row],[Age]]&gt;45, "45+")</f>
        <v>Below 25</v>
      </c>
    </row>
    <row r="1290" spans="1:21" x14ac:dyDescent="0.3">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c r="T1290">
        <f>IF(Table1[[#This Row],[Discount_Applied]]="Yes", 1,0)</f>
        <v>1</v>
      </c>
      <c r="U1290" t="str">
        <f>_xlfn.IFS(Table1[[#This Row],[Age]]&lt;=25, "Below 25", Table1[[#This Row],[Age]]&lt;=35, "Between 25-35", Table1[[#This Row],[Age]]&lt;=45, "Between 36-45", Table1[[#This Row],[Age]]&gt;45, "45+")</f>
        <v>45+</v>
      </c>
    </row>
    <row r="1291" spans="1:21" x14ac:dyDescent="0.3">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c r="T1291">
        <f>IF(Table1[[#This Row],[Discount_Applied]]="Yes", 1,0)</f>
        <v>1</v>
      </c>
      <c r="U1291" t="str">
        <f>_xlfn.IFS(Table1[[#This Row],[Age]]&lt;=25, "Below 25", Table1[[#This Row],[Age]]&lt;=35, "Between 25-35", Table1[[#This Row],[Age]]&lt;=45, "Between 36-45", Table1[[#This Row],[Age]]&gt;45, "45+")</f>
        <v>Between 25-35</v>
      </c>
    </row>
    <row r="1292" spans="1:21" x14ac:dyDescent="0.3">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c r="T1292">
        <f>IF(Table1[[#This Row],[Discount_Applied]]="Yes", 1,0)</f>
        <v>1</v>
      </c>
      <c r="U1292" t="str">
        <f>_xlfn.IFS(Table1[[#This Row],[Age]]&lt;=25, "Below 25", Table1[[#This Row],[Age]]&lt;=35, "Between 25-35", Table1[[#This Row],[Age]]&lt;=45, "Between 36-45", Table1[[#This Row],[Age]]&gt;45, "45+")</f>
        <v>45+</v>
      </c>
    </row>
    <row r="1293" spans="1:21" x14ac:dyDescent="0.3">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c r="T1293">
        <f>IF(Table1[[#This Row],[Discount_Applied]]="Yes", 1,0)</f>
        <v>1</v>
      </c>
      <c r="U1293" t="str">
        <f>_xlfn.IFS(Table1[[#This Row],[Age]]&lt;=25, "Below 25", Table1[[#This Row],[Age]]&lt;=35, "Between 25-35", Table1[[#This Row],[Age]]&lt;=45, "Between 36-45", Table1[[#This Row],[Age]]&gt;45, "45+")</f>
        <v>45+</v>
      </c>
    </row>
    <row r="1294" spans="1:21" x14ac:dyDescent="0.3">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c r="T1294">
        <f>IF(Table1[[#This Row],[Discount_Applied]]="Yes", 1,0)</f>
        <v>1</v>
      </c>
      <c r="U1294" t="str">
        <f>_xlfn.IFS(Table1[[#This Row],[Age]]&lt;=25, "Below 25", Table1[[#This Row],[Age]]&lt;=35, "Between 25-35", Table1[[#This Row],[Age]]&lt;=45, "Between 36-45", Table1[[#This Row],[Age]]&gt;45, "45+")</f>
        <v>Between 25-35</v>
      </c>
    </row>
    <row r="1295" spans="1:21" x14ac:dyDescent="0.3">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c r="T1295">
        <f>IF(Table1[[#This Row],[Discount_Applied]]="Yes", 1,0)</f>
        <v>1</v>
      </c>
      <c r="U1295" t="str">
        <f>_xlfn.IFS(Table1[[#This Row],[Age]]&lt;=25, "Below 25", Table1[[#This Row],[Age]]&lt;=35, "Between 25-35", Table1[[#This Row],[Age]]&lt;=45, "Between 36-45", Table1[[#This Row],[Age]]&gt;45, "45+")</f>
        <v>Below 25</v>
      </c>
    </row>
    <row r="1296" spans="1:21" x14ac:dyDescent="0.3">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c r="T1296">
        <f>IF(Table1[[#This Row],[Discount_Applied]]="Yes", 1,0)</f>
        <v>1</v>
      </c>
      <c r="U1296" t="str">
        <f>_xlfn.IFS(Table1[[#This Row],[Age]]&lt;=25, "Below 25", Table1[[#This Row],[Age]]&lt;=35, "Between 25-35", Table1[[#This Row],[Age]]&lt;=45, "Between 36-45", Table1[[#This Row],[Age]]&gt;45, "45+")</f>
        <v>Between 25-35</v>
      </c>
    </row>
    <row r="1297" spans="1:21" x14ac:dyDescent="0.3">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c r="T1297">
        <f>IF(Table1[[#This Row],[Discount_Applied]]="Yes", 1,0)</f>
        <v>1</v>
      </c>
      <c r="U1297" t="str">
        <f>_xlfn.IFS(Table1[[#This Row],[Age]]&lt;=25, "Below 25", Table1[[#This Row],[Age]]&lt;=35, "Between 25-35", Table1[[#This Row],[Age]]&lt;=45, "Between 36-45", Table1[[#This Row],[Age]]&gt;45, "45+")</f>
        <v>Between 25-35</v>
      </c>
    </row>
    <row r="1298" spans="1:21" x14ac:dyDescent="0.3">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c r="T1298">
        <f>IF(Table1[[#This Row],[Discount_Applied]]="Yes", 1,0)</f>
        <v>1</v>
      </c>
      <c r="U1298" t="str">
        <f>_xlfn.IFS(Table1[[#This Row],[Age]]&lt;=25, "Below 25", Table1[[#This Row],[Age]]&lt;=35, "Between 25-35", Table1[[#This Row],[Age]]&lt;=45, "Between 36-45", Table1[[#This Row],[Age]]&gt;45, "45+")</f>
        <v>45+</v>
      </c>
    </row>
    <row r="1299" spans="1:21" x14ac:dyDescent="0.3">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c r="T1299">
        <f>IF(Table1[[#This Row],[Discount_Applied]]="Yes", 1,0)</f>
        <v>1</v>
      </c>
      <c r="U1299" t="str">
        <f>_xlfn.IFS(Table1[[#This Row],[Age]]&lt;=25, "Below 25", Table1[[#This Row],[Age]]&lt;=35, "Between 25-35", Table1[[#This Row],[Age]]&lt;=45, "Between 36-45", Table1[[#This Row],[Age]]&gt;45, "45+")</f>
        <v>Between 36-45</v>
      </c>
    </row>
    <row r="1300" spans="1:21" x14ac:dyDescent="0.3">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c r="T1300">
        <f>IF(Table1[[#This Row],[Discount_Applied]]="Yes", 1,0)</f>
        <v>1</v>
      </c>
      <c r="U1300" t="str">
        <f>_xlfn.IFS(Table1[[#This Row],[Age]]&lt;=25, "Below 25", Table1[[#This Row],[Age]]&lt;=35, "Between 25-35", Table1[[#This Row],[Age]]&lt;=45, "Between 36-45", Table1[[#This Row],[Age]]&gt;45, "45+")</f>
        <v>Between 25-35</v>
      </c>
    </row>
    <row r="1301" spans="1:21" x14ac:dyDescent="0.3">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c r="T1301">
        <f>IF(Table1[[#This Row],[Discount_Applied]]="Yes", 1,0)</f>
        <v>1</v>
      </c>
      <c r="U1301" t="str">
        <f>_xlfn.IFS(Table1[[#This Row],[Age]]&lt;=25, "Below 25", Table1[[#This Row],[Age]]&lt;=35, "Between 25-35", Table1[[#This Row],[Age]]&lt;=45, "Between 36-45", Table1[[#This Row],[Age]]&gt;45, "45+")</f>
        <v>Between 25-35</v>
      </c>
    </row>
    <row r="1302" spans="1:21" x14ac:dyDescent="0.3">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c r="T1302">
        <f>IF(Table1[[#This Row],[Discount_Applied]]="Yes", 1,0)</f>
        <v>1</v>
      </c>
      <c r="U1302" t="str">
        <f>_xlfn.IFS(Table1[[#This Row],[Age]]&lt;=25, "Below 25", Table1[[#This Row],[Age]]&lt;=35, "Between 25-35", Table1[[#This Row],[Age]]&lt;=45, "Between 36-45", Table1[[#This Row],[Age]]&gt;45, "45+")</f>
        <v>45+</v>
      </c>
    </row>
    <row r="1303" spans="1:21" x14ac:dyDescent="0.3">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c r="T1303">
        <f>IF(Table1[[#This Row],[Discount_Applied]]="Yes", 1,0)</f>
        <v>1</v>
      </c>
      <c r="U1303" t="str">
        <f>_xlfn.IFS(Table1[[#This Row],[Age]]&lt;=25, "Below 25", Table1[[#This Row],[Age]]&lt;=35, "Between 25-35", Table1[[#This Row],[Age]]&lt;=45, "Between 36-45", Table1[[#This Row],[Age]]&gt;45, "45+")</f>
        <v>Between 36-45</v>
      </c>
    </row>
    <row r="1304" spans="1:21" x14ac:dyDescent="0.3">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c r="T1304">
        <f>IF(Table1[[#This Row],[Discount_Applied]]="Yes", 1,0)</f>
        <v>1</v>
      </c>
      <c r="U1304" t="str">
        <f>_xlfn.IFS(Table1[[#This Row],[Age]]&lt;=25, "Below 25", Table1[[#This Row],[Age]]&lt;=35, "Between 25-35", Table1[[#This Row],[Age]]&lt;=45, "Between 36-45", Table1[[#This Row],[Age]]&gt;45, "45+")</f>
        <v>Below 25</v>
      </c>
    </row>
    <row r="1305" spans="1:21" x14ac:dyDescent="0.3">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c r="T1305">
        <f>IF(Table1[[#This Row],[Discount_Applied]]="Yes", 1,0)</f>
        <v>1</v>
      </c>
      <c r="U1305" t="str">
        <f>_xlfn.IFS(Table1[[#This Row],[Age]]&lt;=25, "Below 25", Table1[[#This Row],[Age]]&lt;=35, "Between 25-35", Table1[[#This Row],[Age]]&lt;=45, "Between 36-45", Table1[[#This Row],[Age]]&gt;45, "45+")</f>
        <v>Between 25-35</v>
      </c>
    </row>
    <row r="1306" spans="1:21" x14ac:dyDescent="0.3">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c r="T1306">
        <f>IF(Table1[[#This Row],[Discount_Applied]]="Yes", 1,0)</f>
        <v>1</v>
      </c>
      <c r="U1306" t="str">
        <f>_xlfn.IFS(Table1[[#This Row],[Age]]&lt;=25, "Below 25", Table1[[#This Row],[Age]]&lt;=35, "Between 25-35", Table1[[#This Row],[Age]]&lt;=45, "Between 36-45", Table1[[#This Row],[Age]]&gt;45, "45+")</f>
        <v>45+</v>
      </c>
    </row>
    <row r="1307" spans="1:21" x14ac:dyDescent="0.3">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c r="T1307">
        <f>IF(Table1[[#This Row],[Discount_Applied]]="Yes", 1,0)</f>
        <v>1</v>
      </c>
      <c r="U1307" t="str">
        <f>_xlfn.IFS(Table1[[#This Row],[Age]]&lt;=25, "Below 25", Table1[[#This Row],[Age]]&lt;=35, "Between 25-35", Table1[[#This Row],[Age]]&lt;=45, "Between 36-45", Table1[[#This Row],[Age]]&gt;45, "45+")</f>
        <v>Between 25-35</v>
      </c>
    </row>
    <row r="1308" spans="1:21" x14ac:dyDescent="0.3">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c r="T1308">
        <f>IF(Table1[[#This Row],[Discount_Applied]]="Yes", 1,0)</f>
        <v>1</v>
      </c>
      <c r="U1308" t="str">
        <f>_xlfn.IFS(Table1[[#This Row],[Age]]&lt;=25, "Below 25", Table1[[#This Row],[Age]]&lt;=35, "Between 25-35", Table1[[#This Row],[Age]]&lt;=45, "Between 36-45", Table1[[#This Row],[Age]]&gt;45, "45+")</f>
        <v>45+</v>
      </c>
    </row>
    <row r="1309" spans="1:21" x14ac:dyDescent="0.3">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c r="T1309">
        <f>IF(Table1[[#This Row],[Discount_Applied]]="Yes", 1,0)</f>
        <v>1</v>
      </c>
      <c r="U1309" t="str">
        <f>_xlfn.IFS(Table1[[#This Row],[Age]]&lt;=25, "Below 25", Table1[[#This Row],[Age]]&lt;=35, "Between 25-35", Table1[[#This Row],[Age]]&lt;=45, "Between 36-45", Table1[[#This Row],[Age]]&gt;45, "45+")</f>
        <v>Below 25</v>
      </c>
    </row>
    <row r="1310" spans="1:21" x14ac:dyDescent="0.3">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c r="T1310">
        <f>IF(Table1[[#This Row],[Discount_Applied]]="Yes", 1,0)</f>
        <v>1</v>
      </c>
      <c r="U1310" t="str">
        <f>_xlfn.IFS(Table1[[#This Row],[Age]]&lt;=25, "Below 25", Table1[[#This Row],[Age]]&lt;=35, "Between 25-35", Table1[[#This Row],[Age]]&lt;=45, "Between 36-45", Table1[[#This Row],[Age]]&gt;45, "45+")</f>
        <v>45+</v>
      </c>
    </row>
    <row r="1311" spans="1:21" x14ac:dyDescent="0.3">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c r="T1311">
        <f>IF(Table1[[#This Row],[Discount_Applied]]="Yes", 1,0)</f>
        <v>1</v>
      </c>
      <c r="U1311" t="str">
        <f>_xlfn.IFS(Table1[[#This Row],[Age]]&lt;=25, "Below 25", Table1[[#This Row],[Age]]&lt;=35, "Between 25-35", Table1[[#This Row],[Age]]&lt;=45, "Between 36-45", Table1[[#This Row],[Age]]&gt;45, "45+")</f>
        <v>Between 25-35</v>
      </c>
    </row>
    <row r="1312" spans="1:21" x14ac:dyDescent="0.3">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c r="T1312">
        <f>IF(Table1[[#This Row],[Discount_Applied]]="Yes", 1,0)</f>
        <v>1</v>
      </c>
      <c r="U1312" t="str">
        <f>_xlfn.IFS(Table1[[#This Row],[Age]]&lt;=25, "Below 25", Table1[[#This Row],[Age]]&lt;=35, "Between 25-35", Table1[[#This Row],[Age]]&lt;=45, "Between 36-45", Table1[[#This Row],[Age]]&gt;45, "45+")</f>
        <v>Between 36-45</v>
      </c>
    </row>
    <row r="1313" spans="1:21" x14ac:dyDescent="0.3">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c r="T1313">
        <f>IF(Table1[[#This Row],[Discount_Applied]]="Yes", 1,0)</f>
        <v>1</v>
      </c>
      <c r="U1313" t="str">
        <f>_xlfn.IFS(Table1[[#This Row],[Age]]&lt;=25, "Below 25", Table1[[#This Row],[Age]]&lt;=35, "Between 25-35", Table1[[#This Row],[Age]]&lt;=45, "Between 36-45", Table1[[#This Row],[Age]]&gt;45, "45+")</f>
        <v>Between 25-35</v>
      </c>
    </row>
    <row r="1314" spans="1:21" x14ac:dyDescent="0.3">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c r="T1314">
        <f>IF(Table1[[#This Row],[Discount_Applied]]="Yes", 1,0)</f>
        <v>1</v>
      </c>
      <c r="U1314" t="str">
        <f>_xlfn.IFS(Table1[[#This Row],[Age]]&lt;=25, "Below 25", Table1[[#This Row],[Age]]&lt;=35, "Between 25-35", Table1[[#This Row],[Age]]&lt;=45, "Between 36-45", Table1[[#This Row],[Age]]&gt;45, "45+")</f>
        <v>45+</v>
      </c>
    </row>
    <row r="1315" spans="1:21" x14ac:dyDescent="0.3">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c r="T1315">
        <f>IF(Table1[[#This Row],[Discount_Applied]]="Yes", 1,0)</f>
        <v>1</v>
      </c>
      <c r="U1315" t="str">
        <f>_xlfn.IFS(Table1[[#This Row],[Age]]&lt;=25, "Below 25", Table1[[#This Row],[Age]]&lt;=35, "Between 25-35", Table1[[#This Row],[Age]]&lt;=45, "Between 36-45", Table1[[#This Row],[Age]]&gt;45, "45+")</f>
        <v>45+</v>
      </c>
    </row>
    <row r="1316" spans="1:21" x14ac:dyDescent="0.3">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c r="T1316">
        <f>IF(Table1[[#This Row],[Discount_Applied]]="Yes", 1,0)</f>
        <v>1</v>
      </c>
      <c r="U1316" t="str">
        <f>_xlfn.IFS(Table1[[#This Row],[Age]]&lt;=25, "Below 25", Table1[[#This Row],[Age]]&lt;=35, "Between 25-35", Table1[[#This Row],[Age]]&lt;=45, "Between 36-45", Table1[[#This Row],[Age]]&gt;45, "45+")</f>
        <v>Between 36-45</v>
      </c>
    </row>
    <row r="1317" spans="1:21" x14ac:dyDescent="0.3">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c r="T1317">
        <f>IF(Table1[[#This Row],[Discount_Applied]]="Yes", 1,0)</f>
        <v>1</v>
      </c>
      <c r="U1317" t="str">
        <f>_xlfn.IFS(Table1[[#This Row],[Age]]&lt;=25, "Below 25", Table1[[#This Row],[Age]]&lt;=35, "Between 25-35", Table1[[#This Row],[Age]]&lt;=45, "Between 36-45", Table1[[#This Row],[Age]]&gt;45, "45+")</f>
        <v>45+</v>
      </c>
    </row>
    <row r="1318" spans="1:21" x14ac:dyDescent="0.3">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c r="T1318">
        <f>IF(Table1[[#This Row],[Discount_Applied]]="Yes", 1,0)</f>
        <v>1</v>
      </c>
      <c r="U1318" t="str">
        <f>_xlfn.IFS(Table1[[#This Row],[Age]]&lt;=25, "Below 25", Table1[[#This Row],[Age]]&lt;=35, "Between 25-35", Table1[[#This Row],[Age]]&lt;=45, "Between 36-45", Table1[[#This Row],[Age]]&gt;45, "45+")</f>
        <v>Between 25-35</v>
      </c>
    </row>
    <row r="1319" spans="1:21" x14ac:dyDescent="0.3">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c r="T1319">
        <f>IF(Table1[[#This Row],[Discount_Applied]]="Yes", 1,0)</f>
        <v>1</v>
      </c>
      <c r="U1319" t="str">
        <f>_xlfn.IFS(Table1[[#This Row],[Age]]&lt;=25, "Below 25", Table1[[#This Row],[Age]]&lt;=35, "Between 25-35", Table1[[#This Row],[Age]]&lt;=45, "Between 36-45", Table1[[#This Row],[Age]]&gt;45, "45+")</f>
        <v>Between 25-35</v>
      </c>
    </row>
    <row r="1320" spans="1:21" x14ac:dyDescent="0.3">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c r="T1320">
        <f>IF(Table1[[#This Row],[Discount_Applied]]="Yes", 1,0)</f>
        <v>1</v>
      </c>
      <c r="U1320" t="str">
        <f>_xlfn.IFS(Table1[[#This Row],[Age]]&lt;=25, "Below 25", Table1[[#This Row],[Age]]&lt;=35, "Between 25-35", Table1[[#This Row],[Age]]&lt;=45, "Between 36-45", Table1[[#This Row],[Age]]&gt;45, "45+")</f>
        <v>45+</v>
      </c>
    </row>
    <row r="1321" spans="1:21" x14ac:dyDescent="0.3">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c r="T1321">
        <f>IF(Table1[[#This Row],[Discount_Applied]]="Yes", 1,0)</f>
        <v>1</v>
      </c>
      <c r="U1321" t="str">
        <f>_xlfn.IFS(Table1[[#This Row],[Age]]&lt;=25, "Below 25", Table1[[#This Row],[Age]]&lt;=35, "Between 25-35", Table1[[#This Row],[Age]]&lt;=45, "Between 36-45", Table1[[#This Row],[Age]]&gt;45, "45+")</f>
        <v>45+</v>
      </c>
    </row>
    <row r="1322" spans="1:21" x14ac:dyDescent="0.3">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c r="T1322">
        <f>IF(Table1[[#This Row],[Discount_Applied]]="Yes", 1,0)</f>
        <v>1</v>
      </c>
      <c r="U1322" t="str">
        <f>_xlfn.IFS(Table1[[#This Row],[Age]]&lt;=25, "Below 25", Table1[[#This Row],[Age]]&lt;=35, "Between 25-35", Table1[[#This Row],[Age]]&lt;=45, "Between 36-45", Table1[[#This Row],[Age]]&gt;45, "45+")</f>
        <v>45+</v>
      </c>
    </row>
    <row r="1323" spans="1:21" x14ac:dyDescent="0.3">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c r="T1323">
        <f>IF(Table1[[#This Row],[Discount_Applied]]="Yes", 1,0)</f>
        <v>1</v>
      </c>
      <c r="U1323" t="str">
        <f>_xlfn.IFS(Table1[[#This Row],[Age]]&lt;=25, "Below 25", Table1[[#This Row],[Age]]&lt;=35, "Between 25-35", Table1[[#This Row],[Age]]&lt;=45, "Between 36-45", Table1[[#This Row],[Age]]&gt;45, "45+")</f>
        <v>45+</v>
      </c>
    </row>
    <row r="1324" spans="1:21" x14ac:dyDescent="0.3">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c r="T1324">
        <f>IF(Table1[[#This Row],[Discount_Applied]]="Yes", 1,0)</f>
        <v>1</v>
      </c>
      <c r="U1324" t="str">
        <f>_xlfn.IFS(Table1[[#This Row],[Age]]&lt;=25, "Below 25", Table1[[#This Row],[Age]]&lt;=35, "Between 25-35", Table1[[#This Row],[Age]]&lt;=45, "Between 36-45", Table1[[#This Row],[Age]]&gt;45, "45+")</f>
        <v>Below 25</v>
      </c>
    </row>
    <row r="1325" spans="1:21" x14ac:dyDescent="0.3">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c r="T1325">
        <f>IF(Table1[[#This Row],[Discount_Applied]]="Yes", 1,0)</f>
        <v>1</v>
      </c>
      <c r="U1325" t="str">
        <f>_xlfn.IFS(Table1[[#This Row],[Age]]&lt;=25, "Below 25", Table1[[#This Row],[Age]]&lt;=35, "Between 25-35", Table1[[#This Row],[Age]]&lt;=45, "Between 36-45", Table1[[#This Row],[Age]]&gt;45, "45+")</f>
        <v>45+</v>
      </c>
    </row>
    <row r="1326" spans="1:21" x14ac:dyDescent="0.3">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c r="T1326">
        <f>IF(Table1[[#This Row],[Discount_Applied]]="Yes", 1,0)</f>
        <v>1</v>
      </c>
      <c r="U1326" t="str">
        <f>_xlfn.IFS(Table1[[#This Row],[Age]]&lt;=25, "Below 25", Table1[[#This Row],[Age]]&lt;=35, "Between 25-35", Table1[[#This Row],[Age]]&lt;=45, "Between 36-45", Table1[[#This Row],[Age]]&gt;45, "45+")</f>
        <v>Between 36-45</v>
      </c>
    </row>
    <row r="1327" spans="1:21" x14ac:dyDescent="0.3">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c r="T1327">
        <f>IF(Table1[[#This Row],[Discount_Applied]]="Yes", 1,0)</f>
        <v>1</v>
      </c>
      <c r="U1327" t="str">
        <f>_xlfn.IFS(Table1[[#This Row],[Age]]&lt;=25, "Below 25", Table1[[#This Row],[Age]]&lt;=35, "Between 25-35", Table1[[#This Row],[Age]]&lt;=45, "Between 36-45", Table1[[#This Row],[Age]]&gt;45, "45+")</f>
        <v>Between 25-35</v>
      </c>
    </row>
    <row r="1328" spans="1:21" x14ac:dyDescent="0.3">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c r="T1328">
        <f>IF(Table1[[#This Row],[Discount_Applied]]="Yes", 1,0)</f>
        <v>1</v>
      </c>
      <c r="U1328" t="str">
        <f>_xlfn.IFS(Table1[[#This Row],[Age]]&lt;=25, "Below 25", Table1[[#This Row],[Age]]&lt;=35, "Between 25-35", Table1[[#This Row],[Age]]&lt;=45, "Between 36-45", Table1[[#This Row],[Age]]&gt;45, "45+")</f>
        <v>Between 36-45</v>
      </c>
    </row>
    <row r="1329" spans="1:21" x14ac:dyDescent="0.3">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c r="T1329">
        <f>IF(Table1[[#This Row],[Discount_Applied]]="Yes", 1,0)</f>
        <v>1</v>
      </c>
      <c r="U1329" t="str">
        <f>_xlfn.IFS(Table1[[#This Row],[Age]]&lt;=25, "Below 25", Table1[[#This Row],[Age]]&lt;=35, "Between 25-35", Table1[[#This Row],[Age]]&lt;=45, "Between 36-45", Table1[[#This Row],[Age]]&gt;45, "45+")</f>
        <v>45+</v>
      </c>
    </row>
    <row r="1330" spans="1:21" x14ac:dyDescent="0.3">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c r="T1330">
        <f>IF(Table1[[#This Row],[Discount_Applied]]="Yes", 1,0)</f>
        <v>1</v>
      </c>
      <c r="U1330" t="str">
        <f>_xlfn.IFS(Table1[[#This Row],[Age]]&lt;=25, "Below 25", Table1[[#This Row],[Age]]&lt;=35, "Between 25-35", Table1[[#This Row],[Age]]&lt;=45, "Between 36-45", Table1[[#This Row],[Age]]&gt;45, "45+")</f>
        <v>Between 36-45</v>
      </c>
    </row>
    <row r="1331" spans="1:21" x14ac:dyDescent="0.3">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c r="T1331">
        <f>IF(Table1[[#This Row],[Discount_Applied]]="Yes", 1,0)</f>
        <v>1</v>
      </c>
      <c r="U1331" t="str">
        <f>_xlfn.IFS(Table1[[#This Row],[Age]]&lt;=25, "Below 25", Table1[[#This Row],[Age]]&lt;=35, "Between 25-35", Table1[[#This Row],[Age]]&lt;=45, "Between 36-45", Table1[[#This Row],[Age]]&gt;45, "45+")</f>
        <v>45+</v>
      </c>
    </row>
    <row r="1332" spans="1:21" x14ac:dyDescent="0.3">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c r="T1332">
        <f>IF(Table1[[#This Row],[Discount_Applied]]="Yes", 1,0)</f>
        <v>1</v>
      </c>
      <c r="U1332" t="str">
        <f>_xlfn.IFS(Table1[[#This Row],[Age]]&lt;=25, "Below 25", Table1[[#This Row],[Age]]&lt;=35, "Between 25-35", Table1[[#This Row],[Age]]&lt;=45, "Between 36-45", Table1[[#This Row],[Age]]&gt;45, "45+")</f>
        <v>Between 25-35</v>
      </c>
    </row>
    <row r="1333" spans="1:21" x14ac:dyDescent="0.3">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c r="T1333">
        <f>IF(Table1[[#This Row],[Discount_Applied]]="Yes", 1,0)</f>
        <v>1</v>
      </c>
      <c r="U1333" t="str">
        <f>_xlfn.IFS(Table1[[#This Row],[Age]]&lt;=25, "Below 25", Table1[[#This Row],[Age]]&lt;=35, "Between 25-35", Table1[[#This Row],[Age]]&lt;=45, "Between 36-45", Table1[[#This Row],[Age]]&gt;45, "45+")</f>
        <v>Between 36-45</v>
      </c>
    </row>
    <row r="1334" spans="1:21" x14ac:dyDescent="0.3">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c r="T1334">
        <f>IF(Table1[[#This Row],[Discount_Applied]]="Yes", 1,0)</f>
        <v>1</v>
      </c>
      <c r="U1334" t="str">
        <f>_xlfn.IFS(Table1[[#This Row],[Age]]&lt;=25, "Below 25", Table1[[#This Row],[Age]]&lt;=35, "Between 25-35", Table1[[#This Row],[Age]]&lt;=45, "Between 36-45", Table1[[#This Row],[Age]]&gt;45, "45+")</f>
        <v>45+</v>
      </c>
    </row>
    <row r="1335" spans="1:21" x14ac:dyDescent="0.3">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c r="T1335">
        <f>IF(Table1[[#This Row],[Discount_Applied]]="Yes", 1,0)</f>
        <v>1</v>
      </c>
      <c r="U1335" t="str">
        <f>_xlfn.IFS(Table1[[#This Row],[Age]]&lt;=25, "Below 25", Table1[[#This Row],[Age]]&lt;=35, "Between 25-35", Table1[[#This Row],[Age]]&lt;=45, "Between 36-45", Table1[[#This Row],[Age]]&gt;45, "45+")</f>
        <v>Between 25-35</v>
      </c>
    </row>
    <row r="1336" spans="1:21" x14ac:dyDescent="0.3">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c r="T1336">
        <f>IF(Table1[[#This Row],[Discount_Applied]]="Yes", 1,0)</f>
        <v>1</v>
      </c>
      <c r="U1336" t="str">
        <f>_xlfn.IFS(Table1[[#This Row],[Age]]&lt;=25, "Below 25", Table1[[#This Row],[Age]]&lt;=35, "Between 25-35", Table1[[#This Row],[Age]]&lt;=45, "Between 36-45", Table1[[#This Row],[Age]]&gt;45, "45+")</f>
        <v>45+</v>
      </c>
    </row>
    <row r="1337" spans="1:21" x14ac:dyDescent="0.3">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c r="T1337">
        <f>IF(Table1[[#This Row],[Discount_Applied]]="Yes", 1,0)</f>
        <v>1</v>
      </c>
      <c r="U1337" t="str">
        <f>_xlfn.IFS(Table1[[#This Row],[Age]]&lt;=25, "Below 25", Table1[[#This Row],[Age]]&lt;=35, "Between 25-35", Table1[[#This Row],[Age]]&lt;=45, "Between 36-45", Table1[[#This Row],[Age]]&gt;45, "45+")</f>
        <v>45+</v>
      </c>
    </row>
    <row r="1338" spans="1:21" x14ac:dyDescent="0.3">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c r="T1338">
        <f>IF(Table1[[#This Row],[Discount_Applied]]="Yes", 1,0)</f>
        <v>1</v>
      </c>
      <c r="U1338" t="str">
        <f>_xlfn.IFS(Table1[[#This Row],[Age]]&lt;=25, "Below 25", Table1[[#This Row],[Age]]&lt;=35, "Between 25-35", Table1[[#This Row],[Age]]&lt;=45, "Between 36-45", Table1[[#This Row],[Age]]&gt;45, "45+")</f>
        <v>Below 25</v>
      </c>
    </row>
    <row r="1339" spans="1:21" x14ac:dyDescent="0.3">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c r="T1339">
        <f>IF(Table1[[#This Row],[Discount_Applied]]="Yes", 1,0)</f>
        <v>1</v>
      </c>
      <c r="U1339" t="str">
        <f>_xlfn.IFS(Table1[[#This Row],[Age]]&lt;=25, "Below 25", Table1[[#This Row],[Age]]&lt;=35, "Between 25-35", Table1[[#This Row],[Age]]&lt;=45, "Between 36-45", Table1[[#This Row],[Age]]&gt;45, "45+")</f>
        <v>Between 36-45</v>
      </c>
    </row>
    <row r="1340" spans="1:21" x14ac:dyDescent="0.3">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c r="T1340">
        <f>IF(Table1[[#This Row],[Discount_Applied]]="Yes", 1,0)</f>
        <v>1</v>
      </c>
      <c r="U1340" t="str">
        <f>_xlfn.IFS(Table1[[#This Row],[Age]]&lt;=25, "Below 25", Table1[[#This Row],[Age]]&lt;=35, "Between 25-35", Table1[[#This Row],[Age]]&lt;=45, "Between 36-45", Table1[[#This Row],[Age]]&gt;45, "45+")</f>
        <v>45+</v>
      </c>
    </row>
    <row r="1341" spans="1:21" x14ac:dyDescent="0.3">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c r="T1341">
        <f>IF(Table1[[#This Row],[Discount_Applied]]="Yes", 1,0)</f>
        <v>1</v>
      </c>
      <c r="U1341" t="str">
        <f>_xlfn.IFS(Table1[[#This Row],[Age]]&lt;=25, "Below 25", Table1[[#This Row],[Age]]&lt;=35, "Between 25-35", Table1[[#This Row],[Age]]&lt;=45, "Between 36-45", Table1[[#This Row],[Age]]&gt;45, "45+")</f>
        <v>Between 36-45</v>
      </c>
    </row>
    <row r="1342" spans="1:21" x14ac:dyDescent="0.3">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c r="T1342">
        <f>IF(Table1[[#This Row],[Discount_Applied]]="Yes", 1,0)</f>
        <v>1</v>
      </c>
      <c r="U1342" t="str">
        <f>_xlfn.IFS(Table1[[#This Row],[Age]]&lt;=25, "Below 25", Table1[[#This Row],[Age]]&lt;=35, "Between 25-35", Table1[[#This Row],[Age]]&lt;=45, "Between 36-45", Table1[[#This Row],[Age]]&gt;45, "45+")</f>
        <v>Between 36-45</v>
      </c>
    </row>
    <row r="1343" spans="1:21" x14ac:dyDescent="0.3">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c r="T1343">
        <f>IF(Table1[[#This Row],[Discount_Applied]]="Yes", 1,0)</f>
        <v>1</v>
      </c>
      <c r="U1343" t="str">
        <f>_xlfn.IFS(Table1[[#This Row],[Age]]&lt;=25, "Below 25", Table1[[#This Row],[Age]]&lt;=35, "Between 25-35", Table1[[#This Row],[Age]]&lt;=45, "Between 36-45", Table1[[#This Row],[Age]]&gt;45, "45+")</f>
        <v>Between 25-35</v>
      </c>
    </row>
    <row r="1344" spans="1:21" x14ac:dyDescent="0.3">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c r="T1344">
        <f>IF(Table1[[#This Row],[Discount_Applied]]="Yes", 1,0)</f>
        <v>1</v>
      </c>
      <c r="U1344" t="str">
        <f>_xlfn.IFS(Table1[[#This Row],[Age]]&lt;=25, "Below 25", Table1[[#This Row],[Age]]&lt;=35, "Between 25-35", Table1[[#This Row],[Age]]&lt;=45, "Between 36-45", Table1[[#This Row],[Age]]&gt;45, "45+")</f>
        <v>45+</v>
      </c>
    </row>
    <row r="1345" spans="1:21" x14ac:dyDescent="0.3">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c r="T1345">
        <f>IF(Table1[[#This Row],[Discount_Applied]]="Yes", 1,0)</f>
        <v>1</v>
      </c>
      <c r="U1345" t="str">
        <f>_xlfn.IFS(Table1[[#This Row],[Age]]&lt;=25, "Below 25", Table1[[#This Row],[Age]]&lt;=35, "Between 25-35", Table1[[#This Row],[Age]]&lt;=45, "Between 36-45", Table1[[#This Row],[Age]]&gt;45, "45+")</f>
        <v>45+</v>
      </c>
    </row>
    <row r="1346" spans="1:21" x14ac:dyDescent="0.3">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c r="T1346">
        <f>IF(Table1[[#This Row],[Discount_Applied]]="Yes", 1,0)</f>
        <v>1</v>
      </c>
      <c r="U1346" t="str">
        <f>_xlfn.IFS(Table1[[#This Row],[Age]]&lt;=25, "Below 25", Table1[[#This Row],[Age]]&lt;=35, "Between 25-35", Table1[[#This Row],[Age]]&lt;=45, "Between 36-45", Table1[[#This Row],[Age]]&gt;45, "45+")</f>
        <v>45+</v>
      </c>
    </row>
    <row r="1347" spans="1:21" x14ac:dyDescent="0.3">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c r="T1347">
        <f>IF(Table1[[#This Row],[Discount_Applied]]="Yes", 1,0)</f>
        <v>1</v>
      </c>
      <c r="U1347" t="str">
        <f>_xlfn.IFS(Table1[[#This Row],[Age]]&lt;=25, "Below 25", Table1[[#This Row],[Age]]&lt;=35, "Between 25-35", Table1[[#This Row],[Age]]&lt;=45, "Between 36-45", Table1[[#This Row],[Age]]&gt;45, "45+")</f>
        <v>Between 36-45</v>
      </c>
    </row>
    <row r="1348" spans="1:21" x14ac:dyDescent="0.3">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c r="T1348">
        <f>IF(Table1[[#This Row],[Discount_Applied]]="Yes", 1,0)</f>
        <v>1</v>
      </c>
      <c r="U1348" t="str">
        <f>_xlfn.IFS(Table1[[#This Row],[Age]]&lt;=25, "Below 25", Table1[[#This Row],[Age]]&lt;=35, "Between 25-35", Table1[[#This Row],[Age]]&lt;=45, "Between 36-45", Table1[[#This Row],[Age]]&gt;45, "45+")</f>
        <v>Between 36-45</v>
      </c>
    </row>
    <row r="1349" spans="1:21" x14ac:dyDescent="0.3">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c r="T1349">
        <f>IF(Table1[[#This Row],[Discount_Applied]]="Yes", 1,0)</f>
        <v>1</v>
      </c>
      <c r="U1349" t="str">
        <f>_xlfn.IFS(Table1[[#This Row],[Age]]&lt;=25, "Below 25", Table1[[#This Row],[Age]]&lt;=35, "Between 25-35", Table1[[#This Row],[Age]]&lt;=45, "Between 36-45", Table1[[#This Row],[Age]]&gt;45, "45+")</f>
        <v>Between 36-45</v>
      </c>
    </row>
    <row r="1350" spans="1:21" x14ac:dyDescent="0.3">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c r="T1350">
        <f>IF(Table1[[#This Row],[Discount_Applied]]="Yes", 1,0)</f>
        <v>1</v>
      </c>
      <c r="U1350" t="str">
        <f>_xlfn.IFS(Table1[[#This Row],[Age]]&lt;=25, "Below 25", Table1[[#This Row],[Age]]&lt;=35, "Between 25-35", Table1[[#This Row],[Age]]&lt;=45, "Between 36-45", Table1[[#This Row],[Age]]&gt;45, "45+")</f>
        <v>Below 25</v>
      </c>
    </row>
    <row r="1351" spans="1:21" x14ac:dyDescent="0.3">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c r="T1351">
        <f>IF(Table1[[#This Row],[Discount_Applied]]="Yes", 1,0)</f>
        <v>1</v>
      </c>
      <c r="U1351" t="str">
        <f>_xlfn.IFS(Table1[[#This Row],[Age]]&lt;=25, "Below 25", Table1[[#This Row],[Age]]&lt;=35, "Between 25-35", Table1[[#This Row],[Age]]&lt;=45, "Between 36-45", Table1[[#This Row],[Age]]&gt;45, "45+")</f>
        <v>Below 25</v>
      </c>
    </row>
    <row r="1352" spans="1:21" x14ac:dyDescent="0.3">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c r="T1352">
        <f>IF(Table1[[#This Row],[Discount_Applied]]="Yes", 1,0)</f>
        <v>1</v>
      </c>
      <c r="U1352" t="str">
        <f>_xlfn.IFS(Table1[[#This Row],[Age]]&lt;=25, "Below 25", Table1[[#This Row],[Age]]&lt;=35, "Between 25-35", Table1[[#This Row],[Age]]&lt;=45, "Between 36-45", Table1[[#This Row],[Age]]&gt;45, "45+")</f>
        <v>Between 25-35</v>
      </c>
    </row>
    <row r="1353" spans="1:21" x14ac:dyDescent="0.3">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c r="T1353">
        <f>IF(Table1[[#This Row],[Discount_Applied]]="Yes", 1,0)</f>
        <v>1</v>
      </c>
      <c r="U1353" t="str">
        <f>_xlfn.IFS(Table1[[#This Row],[Age]]&lt;=25, "Below 25", Table1[[#This Row],[Age]]&lt;=35, "Between 25-35", Table1[[#This Row],[Age]]&lt;=45, "Between 36-45", Table1[[#This Row],[Age]]&gt;45, "45+")</f>
        <v>Between 25-35</v>
      </c>
    </row>
    <row r="1354" spans="1:21" x14ac:dyDescent="0.3">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c r="T1354">
        <f>IF(Table1[[#This Row],[Discount_Applied]]="Yes", 1,0)</f>
        <v>1</v>
      </c>
      <c r="U1354" t="str">
        <f>_xlfn.IFS(Table1[[#This Row],[Age]]&lt;=25, "Below 25", Table1[[#This Row],[Age]]&lt;=35, "Between 25-35", Table1[[#This Row],[Age]]&lt;=45, "Between 36-45", Table1[[#This Row],[Age]]&gt;45, "45+")</f>
        <v>45+</v>
      </c>
    </row>
    <row r="1355" spans="1:21" x14ac:dyDescent="0.3">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c r="T1355">
        <f>IF(Table1[[#This Row],[Discount_Applied]]="Yes", 1,0)</f>
        <v>1</v>
      </c>
      <c r="U1355" t="str">
        <f>_xlfn.IFS(Table1[[#This Row],[Age]]&lt;=25, "Below 25", Table1[[#This Row],[Age]]&lt;=35, "Between 25-35", Table1[[#This Row],[Age]]&lt;=45, "Between 36-45", Table1[[#This Row],[Age]]&gt;45, "45+")</f>
        <v>Between 36-45</v>
      </c>
    </row>
    <row r="1356" spans="1:21" x14ac:dyDescent="0.3">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c r="T1356">
        <f>IF(Table1[[#This Row],[Discount_Applied]]="Yes", 1,0)</f>
        <v>1</v>
      </c>
      <c r="U1356" t="str">
        <f>_xlfn.IFS(Table1[[#This Row],[Age]]&lt;=25, "Below 25", Table1[[#This Row],[Age]]&lt;=35, "Between 25-35", Table1[[#This Row],[Age]]&lt;=45, "Between 36-45", Table1[[#This Row],[Age]]&gt;45, "45+")</f>
        <v>45+</v>
      </c>
    </row>
    <row r="1357" spans="1:21" x14ac:dyDescent="0.3">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c r="T1357">
        <f>IF(Table1[[#This Row],[Discount_Applied]]="Yes", 1,0)</f>
        <v>1</v>
      </c>
      <c r="U1357" t="str">
        <f>_xlfn.IFS(Table1[[#This Row],[Age]]&lt;=25, "Below 25", Table1[[#This Row],[Age]]&lt;=35, "Between 25-35", Table1[[#This Row],[Age]]&lt;=45, "Between 36-45", Table1[[#This Row],[Age]]&gt;45, "45+")</f>
        <v>45+</v>
      </c>
    </row>
    <row r="1358" spans="1:21" x14ac:dyDescent="0.3">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c r="T1358">
        <f>IF(Table1[[#This Row],[Discount_Applied]]="Yes", 1,0)</f>
        <v>1</v>
      </c>
      <c r="U1358" t="str">
        <f>_xlfn.IFS(Table1[[#This Row],[Age]]&lt;=25, "Below 25", Table1[[#This Row],[Age]]&lt;=35, "Between 25-35", Table1[[#This Row],[Age]]&lt;=45, "Between 36-45", Table1[[#This Row],[Age]]&gt;45, "45+")</f>
        <v>45+</v>
      </c>
    </row>
    <row r="1359" spans="1:21" x14ac:dyDescent="0.3">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c r="T1359">
        <f>IF(Table1[[#This Row],[Discount_Applied]]="Yes", 1,0)</f>
        <v>1</v>
      </c>
      <c r="U1359" t="str">
        <f>_xlfn.IFS(Table1[[#This Row],[Age]]&lt;=25, "Below 25", Table1[[#This Row],[Age]]&lt;=35, "Between 25-35", Table1[[#This Row],[Age]]&lt;=45, "Between 36-45", Table1[[#This Row],[Age]]&gt;45, "45+")</f>
        <v>Below 25</v>
      </c>
    </row>
    <row r="1360" spans="1:21" x14ac:dyDescent="0.3">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c r="T1360">
        <f>IF(Table1[[#This Row],[Discount_Applied]]="Yes", 1,0)</f>
        <v>1</v>
      </c>
      <c r="U1360" t="str">
        <f>_xlfn.IFS(Table1[[#This Row],[Age]]&lt;=25, "Below 25", Table1[[#This Row],[Age]]&lt;=35, "Between 25-35", Table1[[#This Row],[Age]]&lt;=45, "Between 36-45", Table1[[#This Row],[Age]]&gt;45, "45+")</f>
        <v>Below 25</v>
      </c>
    </row>
    <row r="1361" spans="1:21" x14ac:dyDescent="0.3">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c r="T1361">
        <f>IF(Table1[[#This Row],[Discount_Applied]]="Yes", 1,0)</f>
        <v>1</v>
      </c>
      <c r="U1361" t="str">
        <f>_xlfn.IFS(Table1[[#This Row],[Age]]&lt;=25, "Below 25", Table1[[#This Row],[Age]]&lt;=35, "Between 25-35", Table1[[#This Row],[Age]]&lt;=45, "Between 36-45", Table1[[#This Row],[Age]]&gt;45, "45+")</f>
        <v>Between 25-35</v>
      </c>
    </row>
    <row r="1362" spans="1:21" x14ac:dyDescent="0.3">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c r="T1362">
        <f>IF(Table1[[#This Row],[Discount_Applied]]="Yes", 1,0)</f>
        <v>1</v>
      </c>
      <c r="U1362" t="str">
        <f>_xlfn.IFS(Table1[[#This Row],[Age]]&lt;=25, "Below 25", Table1[[#This Row],[Age]]&lt;=35, "Between 25-35", Table1[[#This Row],[Age]]&lt;=45, "Between 36-45", Table1[[#This Row],[Age]]&gt;45, "45+")</f>
        <v>45+</v>
      </c>
    </row>
    <row r="1363" spans="1:21" x14ac:dyDescent="0.3">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c r="T1363">
        <f>IF(Table1[[#This Row],[Discount_Applied]]="Yes", 1,0)</f>
        <v>1</v>
      </c>
      <c r="U1363" t="str">
        <f>_xlfn.IFS(Table1[[#This Row],[Age]]&lt;=25, "Below 25", Table1[[#This Row],[Age]]&lt;=35, "Between 25-35", Table1[[#This Row],[Age]]&lt;=45, "Between 36-45", Table1[[#This Row],[Age]]&gt;45, "45+")</f>
        <v>45+</v>
      </c>
    </row>
    <row r="1364" spans="1:21" x14ac:dyDescent="0.3">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c r="T1364">
        <f>IF(Table1[[#This Row],[Discount_Applied]]="Yes", 1,0)</f>
        <v>1</v>
      </c>
      <c r="U1364" t="str">
        <f>_xlfn.IFS(Table1[[#This Row],[Age]]&lt;=25, "Below 25", Table1[[#This Row],[Age]]&lt;=35, "Between 25-35", Table1[[#This Row],[Age]]&lt;=45, "Between 36-45", Table1[[#This Row],[Age]]&gt;45, "45+")</f>
        <v>Between 36-45</v>
      </c>
    </row>
    <row r="1365" spans="1:21" x14ac:dyDescent="0.3">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c r="T1365">
        <f>IF(Table1[[#This Row],[Discount_Applied]]="Yes", 1,0)</f>
        <v>1</v>
      </c>
      <c r="U1365" t="str">
        <f>_xlfn.IFS(Table1[[#This Row],[Age]]&lt;=25, "Below 25", Table1[[#This Row],[Age]]&lt;=35, "Between 25-35", Table1[[#This Row],[Age]]&lt;=45, "Between 36-45", Table1[[#This Row],[Age]]&gt;45, "45+")</f>
        <v>Between 36-45</v>
      </c>
    </row>
    <row r="1366" spans="1:21" x14ac:dyDescent="0.3">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c r="T1366">
        <f>IF(Table1[[#This Row],[Discount_Applied]]="Yes", 1,0)</f>
        <v>1</v>
      </c>
      <c r="U1366" t="str">
        <f>_xlfn.IFS(Table1[[#This Row],[Age]]&lt;=25, "Below 25", Table1[[#This Row],[Age]]&lt;=35, "Between 25-35", Table1[[#This Row],[Age]]&lt;=45, "Between 36-45", Table1[[#This Row],[Age]]&gt;45, "45+")</f>
        <v>45+</v>
      </c>
    </row>
    <row r="1367" spans="1:21" x14ac:dyDescent="0.3">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c r="T1367">
        <f>IF(Table1[[#This Row],[Discount_Applied]]="Yes", 1,0)</f>
        <v>1</v>
      </c>
      <c r="U1367" t="str">
        <f>_xlfn.IFS(Table1[[#This Row],[Age]]&lt;=25, "Below 25", Table1[[#This Row],[Age]]&lt;=35, "Between 25-35", Table1[[#This Row],[Age]]&lt;=45, "Between 36-45", Table1[[#This Row],[Age]]&gt;45, "45+")</f>
        <v>Between 25-35</v>
      </c>
    </row>
    <row r="1368" spans="1:21" x14ac:dyDescent="0.3">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c r="T1368">
        <f>IF(Table1[[#This Row],[Discount_Applied]]="Yes", 1,0)</f>
        <v>1</v>
      </c>
      <c r="U1368" t="str">
        <f>_xlfn.IFS(Table1[[#This Row],[Age]]&lt;=25, "Below 25", Table1[[#This Row],[Age]]&lt;=35, "Between 25-35", Table1[[#This Row],[Age]]&lt;=45, "Between 36-45", Table1[[#This Row],[Age]]&gt;45, "45+")</f>
        <v>Between 36-45</v>
      </c>
    </row>
    <row r="1369" spans="1:21" x14ac:dyDescent="0.3">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c r="T1369">
        <f>IF(Table1[[#This Row],[Discount_Applied]]="Yes", 1,0)</f>
        <v>1</v>
      </c>
      <c r="U1369" t="str">
        <f>_xlfn.IFS(Table1[[#This Row],[Age]]&lt;=25, "Below 25", Table1[[#This Row],[Age]]&lt;=35, "Between 25-35", Table1[[#This Row],[Age]]&lt;=45, "Between 36-45", Table1[[#This Row],[Age]]&gt;45, "45+")</f>
        <v>45+</v>
      </c>
    </row>
    <row r="1370" spans="1:21" x14ac:dyDescent="0.3">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c r="T1370">
        <f>IF(Table1[[#This Row],[Discount_Applied]]="Yes", 1,0)</f>
        <v>1</v>
      </c>
      <c r="U1370" t="str">
        <f>_xlfn.IFS(Table1[[#This Row],[Age]]&lt;=25, "Below 25", Table1[[#This Row],[Age]]&lt;=35, "Between 25-35", Table1[[#This Row],[Age]]&lt;=45, "Between 36-45", Table1[[#This Row],[Age]]&gt;45, "45+")</f>
        <v>Below 25</v>
      </c>
    </row>
    <row r="1371" spans="1:21" x14ac:dyDescent="0.3">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c r="T1371">
        <f>IF(Table1[[#This Row],[Discount_Applied]]="Yes", 1,0)</f>
        <v>1</v>
      </c>
      <c r="U1371" t="str">
        <f>_xlfn.IFS(Table1[[#This Row],[Age]]&lt;=25, "Below 25", Table1[[#This Row],[Age]]&lt;=35, "Between 25-35", Table1[[#This Row],[Age]]&lt;=45, "Between 36-45", Table1[[#This Row],[Age]]&gt;45, "45+")</f>
        <v>Between 25-35</v>
      </c>
    </row>
    <row r="1372" spans="1:21" x14ac:dyDescent="0.3">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c r="T1372">
        <f>IF(Table1[[#This Row],[Discount_Applied]]="Yes", 1,0)</f>
        <v>1</v>
      </c>
      <c r="U1372" t="str">
        <f>_xlfn.IFS(Table1[[#This Row],[Age]]&lt;=25, "Below 25", Table1[[#This Row],[Age]]&lt;=35, "Between 25-35", Table1[[#This Row],[Age]]&lt;=45, "Between 36-45", Table1[[#This Row],[Age]]&gt;45, "45+")</f>
        <v>Between 25-35</v>
      </c>
    </row>
    <row r="1373" spans="1:21" x14ac:dyDescent="0.3">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c r="T1373">
        <f>IF(Table1[[#This Row],[Discount_Applied]]="Yes", 1,0)</f>
        <v>1</v>
      </c>
      <c r="U1373" t="str">
        <f>_xlfn.IFS(Table1[[#This Row],[Age]]&lt;=25, "Below 25", Table1[[#This Row],[Age]]&lt;=35, "Between 25-35", Table1[[#This Row],[Age]]&lt;=45, "Between 36-45", Table1[[#This Row],[Age]]&gt;45, "45+")</f>
        <v>Between 36-45</v>
      </c>
    </row>
    <row r="1374" spans="1:21" x14ac:dyDescent="0.3">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c r="T1374">
        <f>IF(Table1[[#This Row],[Discount_Applied]]="Yes", 1,0)</f>
        <v>1</v>
      </c>
      <c r="U1374" t="str">
        <f>_xlfn.IFS(Table1[[#This Row],[Age]]&lt;=25, "Below 25", Table1[[#This Row],[Age]]&lt;=35, "Between 25-35", Table1[[#This Row],[Age]]&lt;=45, "Between 36-45", Table1[[#This Row],[Age]]&gt;45, "45+")</f>
        <v>45+</v>
      </c>
    </row>
    <row r="1375" spans="1:21" x14ac:dyDescent="0.3">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c r="T1375">
        <f>IF(Table1[[#This Row],[Discount_Applied]]="Yes", 1,0)</f>
        <v>1</v>
      </c>
      <c r="U1375" t="str">
        <f>_xlfn.IFS(Table1[[#This Row],[Age]]&lt;=25, "Below 25", Table1[[#This Row],[Age]]&lt;=35, "Between 25-35", Table1[[#This Row],[Age]]&lt;=45, "Between 36-45", Table1[[#This Row],[Age]]&gt;45, "45+")</f>
        <v>Below 25</v>
      </c>
    </row>
    <row r="1376" spans="1:21" x14ac:dyDescent="0.3">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c r="T1376">
        <f>IF(Table1[[#This Row],[Discount_Applied]]="Yes", 1,0)</f>
        <v>1</v>
      </c>
      <c r="U1376" t="str">
        <f>_xlfn.IFS(Table1[[#This Row],[Age]]&lt;=25, "Below 25", Table1[[#This Row],[Age]]&lt;=35, "Between 25-35", Table1[[#This Row],[Age]]&lt;=45, "Between 36-45", Table1[[#This Row],[Age]]&gt;45, "45+")</f>
        <v>Below 25</v>
      </c>
    </row>
    <row r="1377" spans="1:21" x14ac:dyDescent="0.3">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c r="T1377">
        <f>IF(Table1[[#This Row],[Discount_Applied]]="Yes", 1,0)</f>
        <v>1</v>
      </c>
      <c r="U1377" t="str">
        <f>_xlfn.IFS(Table1[[#This Row],[Age]]&lt;=25, "Below 25", Table1[[#This Row],[Age]]&lt;=35, "Between 25-35", Table1[[#This Row],[Age]]&lt;=45, "Between 36-45", Table1[[#This Row],[Age]]&gt;45, "45+")</f>
        <v>Between 36-45</v>
      </c>
    </row>
    <row r="1378" spans="1:21" x14ac:dyDescent="0.3">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c r="T1378">
        <f>IF(Table1[[#This Row],[Discount_Applied]]="Yes", 1,0)</f>
        <v>1</v>
      </c>
      <c r="U1378" t="str">
        <f>_xlfn.IFS(Table1[[#This Row],[Age]]&lt;=25, "Below 25", Table1[[#This Row],[Age]]&lt;=35, "Between 25-35", Table1[[#This Row],[Age]]&lt;=45, "Between 36-45", Table1[[#This Row],[Age]]&gt;45, "45+")</f>
        <v>45+</v>
      </c>
    </row>
    <row r="1379" spans="1:21" x14ac:dyDescent="0.3">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c r="T1379">
        <f>IF(Table1[[#This Row],[Discount_Applied]]="Yes", 1,0)</f>
        <v>1</v>
      </c>
      <c r="U1379" t="str">
        <f>_xlfn.IFS(Table1[[#This Row],[Age]]&lt;=25, "Below 25", Table1[[#This Row],[Age]]&lt;=35, "Between 25-35", Table1[[#This Row],[Age]]&lt;=45, "Between 36-45", Table1[[#This Row],[Age]]&gt;45, "45+")</f>
        <v>Between 25-35</v>
      </c>
    </row>
    <row r="1380" spans="1:21" x14ac:dyDescent="0.3">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c r="T1380">
        <f>IF(Table1[[#This Row],[Discount_Applied]]="Yes", 1,0)</f>
        <v>1</v>
      </c>
      <c r="U1380" t="str">
        <f>_xlfn.IFS(Table1[[#This Row],[Age]]&lt;=25, "Below 25", Table1[[#This Row],[Age]]&lt;=35, "Between 25-35", Table1[[#This Row],[Age]]&lt;=45, "Between 36-45", Table1[[#This Row],[Age]]&gt;45, "45+")</f>
        <v>Between 36-45</v>
      </c>
    </row>
    <row r="1381" spans="1:21" x14ac:dyDescent="0.3">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c r="T1381">
        <f>IF(Table1[[#This Row],[Discount_Applied]]="Yes", 1,0)</f>
        <v>1</v>
      </c>
      <c r="U1381" t="str">
        <f>_xlfn.IFS(Table1[[#This Row],[Age]]&lt;=25, "Below 25", Table1[[#This Row],[Age]]&lt;=35, "Between 25-35", Table1[[#This Row],[Age]]&lt;=45, "Between 36-45", Table1[[#This Row],[Age]]&gt;45, "45+")</f>
        <v>Below 25</v>
      </c>
    </row>
    <row r="1382" spans="1:21" x14ac:dyDescent="0.3">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c r="T1382">
        <f>IF(Table1[[#This Row],[Discount_Applied]]="Yes", 1,0)</f>
        <v>1</v>
      </c>
      <c r="U1382" t="str">
        <f>_xlfn.IFS(Table1[[#This Row],[Age]]&lt;=25, "Below 25", Table1[[#This Row],[Age]]&lt;=35, "Between 25-35", Table1[[#This Row],[Age]]&lt;=45, "Between 36-45", Table1[[#This Row],[Age]]&gt;45, "45+")</f>
        <v>45+</v>
      </c>
    </row>
    <row r="1383" spans="1:21" x14ac:dyDescent="0.3">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c r="T1383">
        <f>IF(Table1[[#This Row],[Discount_Applied]]="Yes", 1,0)</f>
        <v>1</v>
      </c>
      <c r="U1383" t="str">
        <f>_xlfn.IFS(Table1[[#This Row],[Age]]&lt;=25, "Below 25", Table1[[#This Row],[Age]]&lt;=35, "Between 25-35", Table1[[#This Row],[Age]]&lt;=45, "Between 36-45", Table1[[#This Row],[Age]]&gt;45, "45+")</f>
        <v>Between 25-35</v>
      </c>
    </row>
    <row r="1384" spans="1:21" x14ac:dyDescent="0.3">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c r="T1384">
        <f>IF(Table1[[#This Row],[Discount_Applied]]="Yes", 1,0)</f>
        <v>1</v>
      </c>
      <c r="U1384" t="str">
        <f>_xlfn.IFS(Table1[[#This Row],[Age]]&lt;=25, "Below 25", Table1[[#This Row],[Age]]&lt;=35, "Between 25-35", Table1[[#This Row],[Age]]&lt;=45, "Between 36-45", Table1[[#This Row],[Age]]&gt;45, "45+")</f>
        <v>45+</v>
      </c>
    </row>
    <row r="1385" spans="1:21" x14ac:dyDescent="0.3">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c r="T1385">
        <f>IF(Table1[[#This Row],[Discount_Applied]]="Yes", 1,0)</f>
        <v>1</v>
      </c>
      <c r="U1385" t="str">
        <f>_xlfn.IFS(Table1[[#This Row],[Age]]&lt;=25, "Below 25", Table1[[#This Row],[Age]]&lt;=35, "Between 25-35", Table1[[#This Row],[Age]]&lt;=45, "Between 36-45", Table1[[#This Row],[Age]]&gt;45, "45+")</f>
        <v>Between 36-45</v>
      </c>
    </row>
    <row r="1386" spans="1:21" x14ac:dyDescent="0.3">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c r="T1386">
        <f>IF(Table1[[#This Row],[Discount_Applied]]="Yes", 1,0)</f>
        <v>1</v>
      </c>
      <c r="U1386" t="str">
        <f>_xlfn.IFS(Table1[[#This Row],[Age]]&lt;=25, "Below 25", Table1[[#This Row],[Age]]&lt;=35, "Between 25-35", Table1[[#This Row],[Age]]&lt;=45, "Between 36-45", Table1[[#This Row],[Age]]&gt;45, "45+")</f>
        <v>45+</v>
      </c>
    </row>
    <row r="1387" spans="1:21" x14ac:dyDescent="0.3">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c r="T1387">
        <f>IF(Table1[[#This Row],[Discount_Applied]]="Yes", 1,0)</f>
        <v>1</v>
      </c>
      <c r="U1387" t="str">
        <f>_xlfn.IFS(Table1[[#This Row],[Age]]&lt;=25, "Below 25", Table1[[#This Row],[Age]]&lt;=35, "Between 25-35", Table1[[#This Row],[Age]]&lt;=45, "Between 36-45", Table1[[#This Row],[Age]]&gt;45, "45+")</f>
        <v>Between 36-45</v>
      </c>
    </row>
    <row r="1388" spans="1:21" x14ac:dyDescent="0.3">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c r="T1388">
        <f>IF(Table1[[#This Row],[Discount_Applied]]="Yes", 1,0)</f>
        <v>1</v>
      </c>
      <c r="U1388" t="str">
        <f>_xlfn.IFS(Table1[[#This Row],[Age]]&lt;=25, "Below 25", Table1[[#This Row],[Age]]&lt;=35, "Between 25-35", Table1[[#This Row],[Age]]&lt;=45, "Between 36-45", Table1[[#This Row],[Age]]&gt;45, "45+")</f>
        <v>45+</v>
      </c>
    </row>
    <row r="1389" spans="1:21" x14ac:dyDescent="0.3">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c r="T1389">
        <f>IF(Table1[[#This Row],[Discount_Applied]]="Yes", 1,0)</f>
        <v>1</v>
      </c>
      <c r="U1389" t="str">
        <f>_xlfn.IFS(Table1[[#This Row],[Age]]&lt;=25, "Below 25", Table1[[#This Row],[Age]]&lt;=35, "Between 25-35", Table1[[#This Row],[Age]]&lt;=45, "Between 36-45", Table1[[#This Row],[Age]]&gt;45, "45+")</f>
        <v>Below 25</v>
      </c>
    </row>
    <row r="1390" spans="1:21" x14ac:dyDescent="0.3">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c r="T1390">
        <f>IF(Table1[[#This Row],[Discount_Applied]]="Yes", 1,0)</f>
        <v>1</v>
      </c>
      <c r="U1390" t="str">
        <f>_xlfn.IFS(Table1[[#This Row],[Age]]&lt;=25, "Below 25", Table1[[#This Row],[Age]]&lt;=35, "Between 25-35", Table1[[#This Row],[Age]]&lt;=45, "Between 36-45", Table1[[#This Row],[Age]]&gt;45, "45+")</f>
        <v>45+</v>
      </c>
    </row>
    <row r="1391" spans="1:21" x14ac:dyDescent="0.3">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c r="T1391">
        <f>IF(Table1[[#This Row],[Discount_Applied]]="Yes", 1,0)</f>
        <v>1</v>
      </c>
      <c r="U1391" t="str">
        <f>_xlfn.IFS(Table1[[#This Row],[Age]]&lt;=25, "Below 25", Table1[[#This Row],[Age]]&lt;=35, "Between 25-35", Table1[[#This Row],[Age]]&lt;=45, "Between 36-45", Table1[[#This Row],[Age]]&gt;45, "45+")</f>
        <v>45+</v>
      </c>
    </row>
    <row r="1392" spans="1:21" x14ac:dyDescent="0.3">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c r="T1392">
        <f>IF(Table1[[#This Row],[Discount_Applied]]="Yes", 1,0)</f>
        <v>1</v>
      </c>
      <c r="U1392" t="str">
        <f>_xlfn.IFS(Table1[[#This Row],[Age]]&lt;=25, "Below 25", Table1[[#This Row],[Age]]&lt;=35, "Between 25-35", Table1[[#This Row],[Age]]&lt;=45, "Between 36-45", Table1[[#This Row],[Age]]&gt;45, "45+")</f>
        <v>Below 25</v>
      </c>
    </row>
    <row r="1393" spans="1:21" x14ac:dyDescent="0.3">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c r="T1393">
        <f>IF(Table1[[#This Row],[Discount_Applied]]="Yes", 1,0)</f>
        <v>1</v>
      </c>
      <c r="U1393" t="str">
        <f>_xlfn.IFS(Table1[[#This Row],[Age]]&lt;=25, "Below 25", Table1[[#This Row],[Age]]&lt;=35, "Between 25-35", Table1[[#This Row],[Age]]&lt;=45, "Between 36-45", Table1[[#This Row],[Age]]&gt;45, "45+")</f>
        <v>45+</v>
      </c>
    </row>
    <row r="1394" spans="1:21" x14ac:dyDescent="0.3">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c r="T1394">
        <f>IF(Table1[[#This Row],[Discount_Applied]]="Yes", 1,0)</f>
        <v>1</v>
      </c>
      <c r="U1394" t="str">
        <f>_xlfn.IFS(Table1[[#This Row],[Age]]&lt;=25, "Below 25", Table1[[#This Row],[Age]]&lt;=35, "Between 25-35", Table1[[#This Row],[Age]]&lt;=45, "Between 36-45", Table1[[#This Row],[Age]]&gt;45, "45+")</f>
        <v>Between 25-35</v>
      </c>
    </row>
    <row r="1395" spans="1:21" x14ac:dyDescent="0.3">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c r="T1395">
        <f>IF(Table1[[#This Row],[Discount_Applied]]="Yes", 1,0)</f>
        <v>1</v>
      </c>
      <c r="U1395" t="str">
        <f>_xlfn.IFS(Table1[[#This Row],[Age]]&lt;=25, "Below 25", Table1[[#This Row],[Age]]&lt;=35, "Between 25-35", Table1[[#This Row],[Age]]&lt;=45, "Between 36-45", Table1[[#This Row],[Age]]&gt;45, "45+")</f>
        <v>45+</v>
      </c>
    </row>
    <row r="1396" spans="1:21" x14ac:dyDescent="0.3">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c r="T1396">
        <f>IF(Table1[[#This Row],[Discount_Applied]]="Yes", 1,0)</f>
        <v>1</v>
      </c>
      <c r="U1396" t="str">
        <f>_xlfn.IFS(Table1[[#This Row],[Age]]&lt;=25, "Below 25", Table1[[#This Row],[Age]]&lt;=35, "Between 25-35", Table1[[#This Row],[Age]]&lt;=45, "Between 36-45", Table1[[#This Row],[Age]]&gt;45, "45+")</f>
        <v>Between 25-35</v>
      </c>
    </row>
    <row r="1397" spans="1:21" x14ac:dyDescent="0.3">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c r="T1397">
        <f>IF(Table1[[#This Row],[Discount_Applied]]="Yes", 1,0)</f>
        <v>1</v>
      </c>
      <c r="U1397" t="str">
        <f>_xlfn.IFS(Table1[[#This Row],[Age]]&lt;=25, "Below 25", Table1[[#This Row],[Age]]&lt;=35, "Between 25-35", Table1[[#This Row],[Age]]&lt;=45, "Between 36-45", Table1[[#This Row],[Age]]&gt;45, "45+")</f>
        <v>45+</v>
      </c>
    </row>
    <row r="1398" spans="1:21" x14ac:dyDescent="0.3">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c r="T1398">
        <f>IF(Table1[[#This Row],[Discount_Applied]]="Yes", 1,0)</f>
        <v>1</v>
      </c>
      <c r="U1398" t="str">
        <f>_xlfn.IFS(Table1[[#This Row],[Age]]&lt;=25, "Below 25", Table1[[#This Row],[Age]]&lt;=35, "Between 25-35", Table1[[#This Row],[Age]]&lt;=45, "Between 36-45", Table1[[#This Row],[Age]]&gt;45, "45+")</f>
        <v>Between 36-45</v>
      </c>
    </row>
    <row r="1399" spans="1:21" x14ac:dyDescent="0.3">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c r="T1399">
        <f>IF(Table1[[#This Row],[Discount_Applied]]="Yes", 1,0)</f>
        <v>1</v>
      </c>
      <c r="U1399" t="str">
        <f>_xlfn.IFS(Table1[[#This Row],[Age]]&lt;=25, "Below 25", Table1[[#This Row],[Age]]&lt;=35, "Between 25-35", Table1[[#This Row],[Age]]&lt;=45, "Between 36-45", Table1[[#This Row],[Age]]&gt;45, "45+")</f>
        <v>45+</v>
      </c>
    </row>
    <row r="1400" spans="1:21" x14ac:dyDescent="0.3">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c r="T1400">
        <f>IF(Table1[[#This Row],[Discount_Applied]]="Yes", 1,0)</f>
        <v>1</v>
      </c>
      <c r="U1400" t="str">
        <f>_xlfn.IFS(Table1[[#This Row],[Age]]&lt;=25, "Below 25", Table1[[#This Row],[Age]]&lt;=35, "Between 25-35", Table1[[#This Row],[Age]]&lt;=45, "Between 36-45", Table1[[#This Row],[Age]]&gt;45, "45+")</f>
        <v>Between 25-35</v>
      </c>
    </row>
    <row r="1401" spans="1:21" x14ac:dyDescent="0.3">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c r="T1401">
        <f>IF(Table1[[#This Row],[Discount_Applied]]="Yes", 1,0)</f>
        <v>1</v>
      </c>
      <c r="U1401" t="str">
        <f>_xlfn.IFS(Table1[[#This Row],[Age]]&lt;=25, "Below 25", Table1[[#This Row],[Age]]&lt;=35, "Between 25-35", Table1[[#This Row],[Age]]&lt;=45, "Between 36-45", Table1[[#This Row],[Age]]&gt;45, "45+")</f>
        <v>Below 25</v>
      </c>
    </row>
    <row r="1402" spans="1:21" x14ac:dyDescent="0.3">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c r="T1402">
        <f>IF(Table1[[#This Row],[Discount_Applied]]="Yes", 1,0)</f>
        <v>1</v>
      </c>
      <c r="U1402" t="str">
        <f>_xlfn.IFS(Table1[[#This Row],[Age]]&lt;=25, "Below 25", Table1[[#This Row],[Age]]&lt;=35, "Between 25-35", Table1[[#This Row],[Age]]&lt;=45, "Between 36-45", Table1[[#This Row],[Age]]&gt;45, "45+")</f>
        <v>Between 36-45</v>
      </c>
    </row>
    <row r="1403" spans="1:21" x14ac:dyDescent="0.3">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c r="T1403">
        <f>IF(Table1[[#This Row],[Discount_Applied]]="Yes", 1,0)</f>
        <v>1</v>
      </c>
      <c r="U1403" t="str">
        <f>_xlfn.IFS(Table1[[#This Row],[Age]]&lt;=25, "Below 25", Table1[[#This Row],[Age]]&lt;=35, "Between 25-35", Table1[[#This Row],[Age]]&lt;=45, "Between 36-45", Table1[[#This Row],[Age]]&gt;45, "45+")</f>
        <v>Below 25</v>
      </c>
    </row>
    <row r="1404" spans="1:21" x14ac:dyDescent="0.3">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c r="T1404">
        <f>IF(Table1[[#This Row],[Discount_Applied]]="Yes", 1,0)</f>
        <v>1</v>
      </c>
      <c r="U1404" t="str">
        <f>_xlfn.IFS(Table1[[#This Row],[Age]]&lt;=25, "Below 25", Table1[[#This Row],[Age]]&lt;=35, "Between 25-35", Table1[[#This Row],[Age]]&lt;=45, "Between 36-45", Table1[[#This Row],[Age]]&gt;45, "45+")</f>
        <v>45+</v>
      </c>
    </row>
    <row r="1405" spans="1:21" x14ac:dyDescent="0.3">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c r="T1405">
        <f>IF(Table1[[#This Row],[Discount_Applied]]="Yes", 1,0)</f>
        <v>1</v>
      </c>
      <c r="U1405" t="str">
        <f>_xlfn.IFS(Table1[[#This Row],[Age]]&lt;=25, "Below 25", Table1[[#This Row],[Age]]&lt;=35, "Between 25-35", Table1[[#This Row],[Age]]&lt;=45, "Between 36-45", Table1[[#This Row],[Age]]&gt;45, "45+")</f>
        <v>Between 25-35</v>
      </c>
    </row>
    <row r="1406" spans="1:21" x14ac:dyDescent="0.3">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c r="T1406">
        <f>IF(Table1[[#This Row],[Discount_Applied]]="Yes", 1,0)</f>
        <v>1</v>
      </c>
      <c r="U1406" t="str">
        <f>_xlfn.IFS(Table1[[#This Row],[Age]]&lt;=25, "Below 25", Table1[[#This Row],[Age]]&lt;=35, "Between 25-35", Table1[[#This Row],[Age]]&lt;=45, "Between 36-45", Table1[[#This Row],[Age]]&gt;45, "45+")</f>
        <v>Between 36-45</v>
      </c>
    </row>
    <row r="1407" spans="1:21" x14ac:dyDescent="0.3">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c r="T1407">
        <f>IF(Table1[[#This Row],[Discount_Applied]]="Yes", 1,0)</f>
        <v>1</v>
      </c>
      <c r="U1407" t="str">
        <f>_xlfn.IFS(Table1[[#This Row],[Age]]&lt;=25, "Below 25", Table1[[#This Row],[Age]]&lt;=35, "Between 25-35", Table1[[#This Row],[Age]]&lt;=45, "Between 36-45", Table1[[#This Row],[Age]]&gt;45, "45+")</f>
        <v>Between 25-35</v>
      </c>
    </row>
    <row r="1408" spans="1:21" x14ac:dyDescent="0.3">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c r="T1408">
        <f>IF(Table1[[#This Row],[Discount_Applied]]="Yes", 1,0)</f>
        <v>1</v>
      </c>
      <c r="U1408" t="str">
        <f>_xlfn.IFS(Table1[[#This Row],[Age]]&lt;=25, "Below 25", Table1[[#This Row],[Age]]&lt;=35, "Between 25-35", Table1[[#This Row],[Age]]&lt;=45, "Between 36-45", Table1[[#This Row],[Age]]&gt;45, "45+")</f>
        <v>Between 25-35</v>
      </c>
    </row>
    <row r="1409" spans="1:21" x14ac:dyDescent="0.3">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c r="T1409">
        <f>IF(Table1[[#This Row],[Discount_Applied]]="Yes", 1,0)</f>
        <v>1</v>
      </c>
      <c r="U1409" t="str">
        <f>_xlfn.IFS(Table1[[#This Row],[Age]]&lt;=25, "Below 25", Table1[[#This Row],[Age]]&lt;=35, "Between 25-35", Table1[[#This Row],[Age]]&lt;=45, "Between 36-45", Table1[[#This Row],[Age]]&gt;45, "45+")</f>
        <v>45+</v>
      </c>
    </row>
    <row r="1410" spans="1:21" x14ac:dyDescent="0.3">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c r="T1410">
        <f>IF(Table1[[#This Row],[Discount_Applied]]="Yes", 1,0)</f>
        <v>1</v>
      </c>
      <c r="U1410" t="str">
        <f>_xlfn.IFS(Table1[[#This Row],[Age]]&lt;=25, "Below 25", Table1[[#This Row],[Age]]&lt;=35, "Between 25-35", Table1[[#This Row],[Age]]&lt;=45, "Between 36-45", Table1[[#This Row],[Age]]&gt;45, "45+")</f>
        <v>45+</v>
      </c>
    </row>
    <row r="1411" spans="1:21" x14ac:dyDescent="0.3">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c r="T1411">
        <f>IF(Table1[[#This Row],[Discount_Applied]]="Yes", 1,0)</f>
        <v>1</v>
      </c>
      <c r="U1411" t="str">
        <f>_xlfn.IFS(Table1[[#This Row],[Age]]&lt;=25, "Below 25", Table1[[#This Row],[Age]]&lt;=35, "Between 25-35", Table1[[#This Row],[Age]]&lt;=45, "Between 36-45", Table1[[#This Row],[Age]]&gt;45, "45+")</f>
        <v>Between 25-35</v>
      </c>
    </row>
    <row r="1412" spans="1:21" x14ac:dyDescent="0.3">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c r="T1412">
        <f>IF(Table1[[#This Row],[Discount_Applied]]="Yes", 1,0)</f>
        <v>1</v>
      </c>
      <c r="U1412" t="str">
        <f>_xlfn.IFS(Table1[[#This Row],[Age]]&lt;=25, "Below 25", Table1[[#This Row],[Age]]&lt;=35, "Between 25-35", Table1[[#This Row],[Age]]&lt;=45, "Between 36-45", Table1[[#This Row],[Age]]&gt;45, "45+")</f>
        <v>45+</v>
      </c>
    </row>
    <row r="1413" spans="1:21" x14ac:dyDescent="0.3">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c r="T1413">
        <f>IF(Table1[[#This Row],[Discount_Applied]]="Yes", 1,0)</f>
        <v>1</v>
      </c>
      <c r="U1413" t="str">
        <f>_xlfn.IFS(Table1[[#This Row],[Age]]&lt;=25, "Below 25", Table1[[#This Row],[Age]]&lt;=35, "Between 25-35", Table1[[#This Row],[Age]]&lt;=45, "Between 36-45", Table1[[#This Row],[Age]]&gt;45, "45+")</f>
        <v>45+</v>
      </c>
    </row>
    <row r="1414" spans="1:21" x14ac:dyDescent="0.3">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c r="T1414">
        <f>IF(Table1[[#This Row],[Discount_Applied]]="Yes", 1,0)</f>
        <v>1</v>
      </c>
      <c r="U1414" t="str">
        <f>_xlfn.IFS(Table1[[#This Row],[Age]]&lt;=25, "Below 25", Table1[[#This Row],[Age]]&lt;=35, "Between 25-35", Table1[[#This Row],[Age]]&lt;=45, "Between 36-45", Table1[[#This Row],[Age]]&gt;45, "45+")</f>
        <v>Below 25</v>
      </c>
    </row>
    <row r="1415" spans="1:21" x14ac:dyDescent="0.3">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c r="T1415">
        <f>IF(Table1[[#This Row],[Discount_Applied]]="Yes", 1,0)</f>
        <v>1</v>
      </c>
      <c r="U1415" t="str">
        <f>_xlfn.IFS(Table1[[#This Row],[Age]]&lt;=25, "Below 25", Table1[[#This Row],[Age]]&lt;=35, "Between 25-35", Table1[[#This Row],[Age]]&lt;=45, "Between 36-45", Table1[[#This Row],[Age]]&gt;45, "45+")</f>
        <v>45+</v>
      </c>
    </row>
    <row r="1416" spans="1:21" x14ac:dyDescent="0.3">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c r="T1416">
        <f>IF(Table1[[#This Row],[Discount_Applied]]="Yes", 1,0)</f>
        <v>1</v>
      </c>
      <c r="U1416" t="str">
        <f>_xlfn.IFS(Table1[[#This Row],[Age]]&lt;=25, "Below 25", Table1[[#This Row],[Age]]&lt;=35, "Between 25-35", Table1[[#This Row],[Age]]&lt;=45, "Between 36-45", Table1[[#This Row],[Age]]&gt;45, "45+")</f>
        <v>Between 25-35</v>
      </c>
    </row>
    <row r="1417" spans="1:21" x14ac:dyDescent="0.3">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c r="T1417">
        <f>IF(Table1[[#This Row],[Discount_Applied]]="Yes", 1,0)</f>
        <v>1</v>
      </c>
      <c r="U1417" t="str">
        <f>_xlfn.IFS(Table1[[#This Row],[Age]]&lt;=25, "Below 25", Table1[[#This Row],[Age]]&lt;=35, "Between 25-35", Table1[[#This Row],[Age]]&lt;=45, "Between 36-45", Table1[[#This Row],[Age]]&gt;45, "45+")</f>
        <v>45+</v>
      </c>
    </row>
    <row r="1418" spans="1:21" x14ac:dyDescent="0.3">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c r="T1418">
        <f>IF(Table1[[#This Row],[Discount_Applied]]="Yes", 1,0)</f>
        <v>1</v>
      </c>
      <c r="U1418" t="str">
        <f>_xlfn.IFS(Table1[[#This Row],[Age]]&lt;=25, "Below 25", Table1[[#This Row],[Age]]&lt;=35, "Between 25-35", Table1[[#This Row],[Age]]&lt;=45, "Between 36-45", Table1[[#This Row],[Age]]&gt;45, "45+")</f>
        <v>45+</v>
      </c>
    </row>
    <row r="1419" spans="1:21" x14ac:dyDescent="0.3">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c r="T1419">
        <f>IF(Table1[[#This Row],[Discount_Applied]]="Yes", 1,0)</f>
        <v>1</v>
      </c>
      <c r="U1419" t="str">
        <f>_xlfn.IFS(Table1[[#This Row],[Age]]&lt;=25, "Below 25", Table1[[#This Row],[Age]]&lt;=35, "Between 25-35", Table1[[#This Row],[Age]]&lt;=45, "Between 36-45", Table1[[#This Row],[Age]]&gt;45, "45+")</f>
        <v>45+</v>
      </c>
    </row>
    <row r="1420" spans="1:21" x14ac:dyDescent="0.3">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c r="T1420">
        <f>IF(Table1[[#This Row],[Discount_Applied]]="Yes", 1,0)</f>
        <v>1</v>
      </c>
      <c r="U1420" t="str">
        <f>_xlfn.IFS(Table1[[#This Row],[Age]]&lt;=25, "Below 25", Table1[[#This Row],[Age]]&lt;=35, "Between 25-35", Table1[[#This Row],[Age]]&lt;=45, "Between 36-45", Table1[[#This Row],[Age]]&gt;45, "45+")</f>
        <v>Below 25</v>
      </c>
    </row>
    <row r="1421" spans="1:21" x14ac:dyDescent="0.3">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c r="T1421">
        <f>IF(Table1[[#This Row],[Discount_Applied]]="Yes", 1,0)</f>
        <v>1</v>
      </c>
      <c r="U1421" t="str">
        <f>_xlfn.IFS(Table1[[#This Row],[Age]]&lt;=25, "Below 25", Table1[[#This Row],[Age]]&lt;=35, "Between 25-35", Table1[[#This Row],[Age]]&lt;=45, "Between 36-45", Table1[[#This Row],[Age]]&gt;45, "45+")</f>
        <v>Between 36-45</v>
      </c>
    </row>
    <row r="1422" spans="1:21" x14ac:dyDescent="0.3">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c r="T1422">
        <f>IF(Table1[[#This Row],[Discount_Applied]]="Yes", 1,0)</f>
        <v>1</v>
      </c>
      <c r="U1422" t="str">
        <f>_xlfn.IFS(Table1[[#This Row],[Age]]&lt;=25, "Below 25", Table1[[#This Row],[Age]]&lt;=35, "Between 25-35", Table1[[#This Row],[Age]]&lt;=45, "Between 36-45", Table1[[#This Row],[Age]]&gt;45, "45+")</f>
        <v>Below 25</v>
      </c>
    </row>
    <row r="1423" spans="1:21" x14ac:dyDescent="0.3">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c r="T1423">
        <f>IF(Table1[[#This Row],[Discount_Applied]]="Yes", 1,0)</f>
        <v>1</v>
      </c>
      <c r="U1423" t="str">
        <f>_xlfn.IFS(Table1[[#This Row],[Age]]&lt;=25, "Below 25", Table1[[#This Row],[Age]]&lt;=35, "Between 25-35", Table1[[#This Row],[Age]]&lt;=45, "Between 36-45", Table1[[#This Row],[Age]]&gt;45, "45+")</f>
        <v>45+</v>
      </c>
    </row>
    <row r="1424" spans="1:21" x14ac:dyDescent="0.3">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c r="T1424">
        <f>IF(Table1[[#This Row],[Discount_Applied]]="Yes", 1,0)</f>
        <v>1</v>
      </c>
      <c r="U1424" t="str">
        <f>_xlfn.IFS(Table1[[#This Row],[Age]]&lt;=25, "Below 25", Table1[[#This Row],[Age]]&lt;=35, "Between 25-35", Table1[[#This Row],[Age]]&lt;=45, "Between 36-45", Table1[[#This Row],[Age]]&gt;45, "45+")</f>
        <v>Between 36-45</v>
      </c>
    </row>
    <row r="1425" spans="1:21" x14ac:dyDescent="0.3">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c r="T1425">
        <f>IF(Table1[[#This Row],[Discount_Applied]]="Yes", 1,0)</f>
        <v>1</v>
      </c>
      <c r="U1425" t="str">
        <f>_xlfn.IFS(Table1[[#This Row],[Age]]&lt;=25, "Below 25", Table1[[#This Row],[Age]]&lt;=35, "Between 25-35", Table1[[#This Row],[Age]]&lt;=45, "Between 36-45", Table1[[#This Row],[Age]]&gt;45, "45+")</f>
        <v>45+</v>
      </c>
    </row>
    <row r="1426" spans="1:21" x14ac:dyDescent="0.3">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c r="T1426">
        <f>IF(Table1[[#This Row],[Discount_Applied]]="Yes", 1,0)</f>
        <v>1</v>
      </c>
      <c r="U1426" t="str">
        <f>_xlfn.IFS(Table1[[#This Row],[Age]]&lt;=25, "Below 25", Table1[[#This Row],[Age]]&lt;=35, "Between 25-35", Table1[[#This Row],[Age]]&lt;=45, "Between 36-45", Table1[[#This Row],[Age]]&gt;45, "45+")</f>
        <v>45+</v>
      </c>
    </row>
    <row r="1427" spans="1:21" x14ac:dyDescent="0.3">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c r="T1427">
        <f>IF(Table1[[#This Row],[Discount_Applied]]="Yes", 1,0)</f>
        <v>1</v>
      </c>
      <c r="U1427" t="str">
        <f>_xlfn.IFS(Table1[[#This Row],[Age]]&lt;=25, "Below 25", Table1[[#This Row],[Age]]&lt;=35, "Between 25-35", Table1[[#This Row],[Age]]&lt;=45, "Between 36-45", Table1[[#This Row],[Age]]&gt;45, "45+")</f>
        <v>45+</v>
      </c>
    </row>
    <row r="1428" spans="1:21" x14ac:dyDescent="0.3">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c r="T1428">
        <f>IF(Table1[[#This Row],[Discount_Applied]]="Yes", 1,0)</f>
        <v>1</v>
      </c>
      <c r="U1428" t="str">
        <f>_xlfn.IFS(Table1[[#This Row],[Age]]&lt;=25, "Below 25", Table1[[#This Row],[Age]]&lt;=35, "Between 25-35", Table1[[#This Row],[Age]]&lt;=45, "Between 36-45", Table1[[#This Row],[Age]]&gt;45, "45+")</f>
        <v>45+</v>
      </c>
    </row>
    <row r="1429" spans="1:21" x14ac:dyDescent="0.3">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c r="T1429">
        <f>IF(Table1[[#This Row],[Discount_Applied]]="Yes", 1,0)</f>
        <v>1</v>
      </c>
      <c r="U1429" t="str">
        <f>_xlfn.IFS(Table1[[#This Row],[Age]]&lt;=25, "Below 25", Table1[[#This Row],[Age]]&lt;=35, "Between 25-35", Table1[[#This Row],[Age]]&lt;=45, "Between 36-45", Table1[[#This Row],[Age]]&gt;45, "45+")</f>
        <v>Between 25-35</v>
      </c>
    </row>
    <row r="1430" spans="1:21" x14ac:dyDescent="0.3">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c r="T1430">
        <f>IF(Table1[[#This Row],[Discount_Applied]]="Yes", 1,0)</f>
        <v>1</v>
      </c>
      <c r="U1430" t="str">
        <f>_xlfn.IFS(Table1[[#This Row],[Age]]&lt;=25, "Below 25", Table1[[#This Row],[Age]]&lt;=35, "Between 25-35", Table1[[#This Row],[Age]]&lt;=45, "Between 36-45", Table1[[#This Row],[Age]]&gt;45, "45+")</f>
        <v>Below 25</v>
      </c>
    </row>
    <row r="1431" spans="1:21" x14ac:dyDescent="0.3">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c r="T1431">
        <f>IF(Table1[[#This Row],[Discount_Applied]]="Yes", 1,0)</f>
        <v>1</v>
      </c>
      <c r="U1431" t="str">
        <f>_xlfn.IFS(Table1[[#This Row],[Age]]&lt;=25, "Below 25", Table1[[#This Row],[Age]]&lt;=35, "Between 25-35", Table1[[#This Row],[Age]]&lt;=45, "Between 36-45", Table1[[#This Row],[Age]]&gt;45, "45+")</f>
        <v>Below 25</v>
      </c>
    </row>
    <row r="1432" spans="1:21" x14ac:dyDescent="0.3">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c r="T1432">
        <f>IF(Table1[[#This Row],[Discount_Applied]]="Yes", 1,0)</f>
        <v>1</v>
      </c>
      <c r="U1432" t="str">
        <f>_xlfn.IFS(Table1[[#This Row],[Age]]&lt;=25, "Below 25", Table1[[#This Row],[Age]]&lt;=35, "Between 25-35", Table1[[#This Row],[Age]]&lt;=45, "Between 36-45", Table1[[#This Row],[Age]]&gt;45, "45+")</f>
        <v>45+</v>
      </c>
    </row>
    <row r="1433" spans="1:21" x14ac:dyDescent="0.3">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c r="T1433">
        <f>IF(Table1[[#This Row],[Discount_Applied]]="Yes", 1,0)</f>
        <v>1</v>
      </c>
      <c r="U1433" t="str">
        <f>_xlfn.IFS(Table1[[#This Row],[Age]]&lt;=25, "Below 25", Table1[[#This Row],[Age]]&lt;=35, "Between 25-35", Table1[[#This Row],[Age]]&lt;=45, "Between 36-45", Table1[[#This Row],[Age]]&gt;45, "45+")</f>
        <v>Between 36-45</v>
      </c>
    </row>
    <row r="1434" spans="1:21" x14ac:dyDescent="0.3">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c r="T1434">
        <f>IF(Table1[[#This Row],[Discount_Applied]]="Yes", 1,0)</f>
        <v>1</v>
      </c>
      <c r="U1434" t="str">
        <f>_xlfn.IFS(Table1[[#This Row],[Age]]&lt;=25, "Below 25", Table1[[#This Row],[Age]]&lt;=35, "Between 25-35", Table1[[#This Row],[Age]]&lt;=45, "Between 36-45", Table1[[#This Row],[Age]]&gt;45, "45+")</f>
        <v>Between 25-35</v>
      </c>
    </row>
    <row r="1435" spans="1:21" x14ac:dyDescent="0.3">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c r="T1435">
        <f>IF(Table1[[#This Row],[Discount_Applied]]="Yes", 1,0)</f>
        <v>1</v>
      </c>
      <c r="U1435" t="str">
        <f>_xlfn.IFS(Table1[[#This Row],[Age]]&lt;=25, "Below 25", Table1[[#This Row],[Age]]&lt;=35, "Between 25-35", Table1[[#This Row],[Age]]&lt;=45, "Between 36-45", Table1[[#This Row],[Age]]&gt;45, "45+")</f>
        <v>45+</v>
      </c>
    </row>
    <row r="1436" spans="1:21" x14ac:dyDescent="0.3">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c r="T1436">
        <f>IF(Table1[[#This Row],[Discount_Applied]]="Yes", 1,0)</f>
        <v>1</v>
      </c>
      <c r="U1436" t="str">
        <f>_xlfn.IFS(Table1[[#This Row],[Age]]&lt;=25, "Below 25", Table1[[#This Row],[Age]]&lt;=35, "Between 25-35", Table1[[#This Row],[Age]]&lt;=45, "Between 36-45", Table1[[#This Row],[Age]]&gt;45, "45+")</f>
        <v>45+</v>
      </c>
    </row>
    <row r="1437" spans="1:21" x14ac:dyDescent="0.3">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c r="T1437">
        <f>IF(Table1[[#This Row],[Discount_Applied]]="Yes", 1,0)</f>
        <v>1</v>
      </c>
      <c r="U1437" t="str">
        <f>_xlfn.IFS(Table1[[#This Row],[Age]]&lt;=25, "Below 25", Table1[[#This Row],[Age]]&lt;=35, "Between 25-35", Table1[[#This Row],[Age]]&lt;=45, "Between 36-45", Table1[[#This Row],[Age]]&gt;45, "45+")</f>
        <v>Between 36-45</v>
      </c>
    </row>
    <row r="1438" spans="1:21" x14ac:dyDescent="0.3">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c r="T1438">
        <f>IF(Table1[[#This Row],[Discount_Applied]]="Yes", 1,0)</f>
        <v>1</v>
      </c>
      <c r="U1438" t="str">
        <f>_xlfn.IFS(Table1[[#This Row],[Age]]&lt;=25, "Below 25", Table1[[#This Row],[Age]]&lt;=35, "Between 25-35", Table1[[#This Row],[Age]]&lt;=45, "Between 36-45", Table1[[#This Row],[Age]]&gt;45, "45+")</f>
        <v>Between 25-35</v>
      </c>
    </row>
    <row r="1439" spans="1:21" x14ac:dyDescent="0.3">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c r="T1439">
        <f>IF(Table1[[#This Row],[Discount_Applied]]="Yes", 1,0)</f>
        <v>1</v>
      </c>
      <c r="U1439" t="str">
        <f>_xlfn.IFS(Table1[[#This Row],[Age]]&lt;=25, "Below 25", Table1[[#This Row],[Age]]&lt;=35, "Between 25-35", Table1[[#This Row],[Age]]&lt;=45, "Between 36-45", Table1[[#This Row],[Age]]&gt;45, "45+")</f>
        <v>45+</v>
      </c>
    </row>
    <row r="1440" spans="1:21" x14ac:dyDescent="0.3">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c r="T1440">
        <f>IF(Table1[[#This Row],[Discount_Applied]]="Yes", 1,0)</f>
        <v>1</v>
      </c>
      <c r="U1440" t="str">
        <f>_xlfn.IFS(Table1[[#This Row],[Age]]&lt;=25, "Below 25", Table1[[#This Row],[Age]]&lt;=35, "Between 25-35", Table1[[#This Row],[Age]]&lt;=45, "Between 36-45", Table1[[#This Row],[Age]]&gt;45, "45+")</f>
        <v>45+</v>
      </c>
    </row>
    <row r="1441" spans="1:21" x14ac:dyDescent="0.3">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c r="T1441">
        <f>IF(Table1[[#This Row],[Discount_Applied]]="Yes", 1,0)</f>
        <v>1</v>
      </c>
      <c r="U1441" t="str">
        <f>_xlfn.IFS(Table1[[#This Row],[Age]]&lt;=25, "Below 25", Table1[[#This Row],[Age]]&lt;=35, "Between 25-35", Table1[[#This Row],[Age]]&lt;=45, "Between 36-45", Table1[[#This Row],[Age]]&gt;45, "45+")</f>
        <v>Below 25</v>
      </c>
    </row>
    <row r="1442" spans="1:21" x14ac:dyDescent="0.3">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c r="T1442">
        <f>IF(Table1[[#This Row],[Discount_Applied]]="Yes", 1,0)</f>
        <v>1</v>
      </c>
      <c r="U1442" t="str">
        <f>_xlfn.IFS(Table1[[#This Row],[Age]]&lt;=25, "Below 25", Table1[[#This Row],[Age]]&lt;=35, "Between 25-35", Table1[[#This Row],[Age]]&lt;=45, "Between 36-45", Table1[[#This Row],[Age]]&gt;45, "45+")</f>
        <v>Between 25-35</v>
      </c>
    </row>
    <row r="1443" spans="1:21" x14ac:dyDescent="0.3">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c r="T1443">
        <f>IF(Table1[[#This Row],[Discount_Applied]]="Yes", 1,0)</f>
        <v>1</v>
      </c>
      <c r="U1443" t="str">
        <f>_xlfn.IFS(Table1[[#This Row],[Age]]&lt;=25, "Below 25", Table1[[#This Row],[Age]]&lt;=35, "Between 25-35", Table1[[#This Row],[Age]]&lt;=45, "Between 36-45", Table1[[#This Row],[Age]]&gt;45, "45+")</f>
        <v>Between 25-35</v>
      </c>
    </row>
    <row r="1444" spans="1:21" x14ac:dyDescent="0.3">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c r="T1444">
        <f>IF(Table1[[#This Row],[Discount_Applied]]="Yes", 1,0)</f>
        <v>1</v>
      </c>
      <c r="U1444" t="str">
        <f>_xlfn.IFS(Table1[[#This Row],[Age]]&lt;=25, "Below 25", Table1[[#This Row],[Age]]&lt;=35, "Between 25-35", Table1[[#This Row],[Age]]&lt;=45, "Between 36-45", Table1[[#This Row],[Age]]&gt;45, "45+")</f>
        <v>45+</v>
      </c>
    </row>
    <row r="1445" spans="1:21" x14ac:dyDescent="0.3">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c r="T1445">
        <f>IF(Table1[[#This Row],[Discount_Applied]]="Yes", 1,0)</f>
        <v>1</v>
      </c>
      <c r="U1445" t="str">
        <f>_xlfn.IFS(Table1[[#This Row],[Age]]&lt;=25, "Below 25", Table1[[#This Row],[Age]]&lt;=35, "Between 25-35", Table1[[#This Row],[Age]]&lt;=45, "Between 36-45", Table1[[#This Row],[Age]]&gt;45, "45+")</f>
        <v>45+</v>
      </c>
    </row>
    <row r="1446" spans="1:21" x14ac:dyDescent="0.3">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c r="T1446">
        <f>IF(Table1[[#This Row],[Discount_Applied]]="Yes", 1,0)</f>
        <v>1</v>
      </c>
      <c r="U1446" t="str">
        <f>_xlfn.IFS(Table1[[#This Row],[Age]]&lt;=25, "Below 25", Table1[[#This Row],[Age]]&lt;=35, "Between 25-35", Table1[[#This Row],[Age]]&lt;=45, "Between 36-45", Table1[[#This Row],[Age]]&gt;45, "45+")</f>
        <v>Between 25-35</v>
      </c>
    </row>
    <row r="1447" spans="1:21" x14ac:dyDescent="0.3">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c r="T1447">
        <f>IF(Table1[[#This Row],[Discount_Applied]]="Yes", 1,0)</f>
        <v>1</v>
      </c>
      <c r="U1447" t="str">
        <f>_xlfn.IFS(Table1[[#This Row],[Age]]&lt;=25, "Below 25", Table1[[#This Row],[Age]]&lt;=35, "Between 25-35", Table1[[#This Row],[Age]]&lt;=45, "Between 36-45", Table1[[#This Row],[Age]]&gt;45, "45+")</f>
        <v>45+</v>
      </c>
    </row>
    <row r="1448" spans="1:21" x14ac:dyDescent="0.3">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c r="T1448">
        <f>IF(Table1[[#This Row],[Discount_Applied]]="Yes", 1,0)</f>
        <v>1</v>
      </c>
      <c r="U1448" t="str">
        <f>_xlfn.IFS(Table1[[#This Row],[Age]]&lt;=25, "Below 25", Table1[[#This Row],[Age]]&lt;=35, "Between 25-35", Table1[[#This Row],[Age]]&lt;=45, "Between 36-45", Table1[[#This Row],[Age]]&gt;45, "45+")</f>
        <v>45+</v>
      </c>
    </row>
    <row r="1449" spans="1:21" x14ac:dyDescent="0.3">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c r="T1449">
        <f>IF(Table1[[#This Row],[Discount_Applied]]="Yes", 1,0)</f>
        <v>1</v>
      </c>
      <c r="U1449" t="str">
        <f>_xlfn.IFS(Table1[[#This Row],[Age]]&lt;=25, "Below 25", Table1[[#This Row],[Age]]&lt;=35, "Between 25-35", Table1[[#This Row],[Age]]&lt;=45, "Between 36-45", Table1[[#This Row],[Age]]&gt;45, "45+")</f>
        <v>Below 25</v>
      </c>
    </row>
    <row r="1450" spans="1:21" x14ac:dyDescent="0.3">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c r="T1450">
        <f>IF(Table1[[#This Row],[Discount_Applied]]="Yes", 1,0)</f>
        <v>1</v>
      </c>
      <c r="U1450" t="str">
        <f>_xlfn.IFS(Table1[[#This Row],[Age]]&lt;=25, "Below 25", Table1[[#This Row],[Age]]&lt;=35, "Between 25-35", Table1[[#This Row],[Age]]&lt;=45, "Between 36-45", Table1[[#This Row],[Age]]&gt;45, "45+")</f>
        <v>45+</v>
      </c>
    </row>
    <row r="1451" spans="1:21" x14ac:dyDescent="0.3">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c r="T1451">
        <f>IF(Table1[[#This Row],[Discount_Applied]]="Yes", 1,0)</f>
        <v>1</v>
      </c>
      <c r="U1451" t="str">
        <f>_xlfn.IFS(Table1[[#This Row],[Age]]&lt;=25, "Below 25", Table1[[#This Row],[Age]]&lt;=35, "Between 25-35", Table1[[#This Row],[Age]]&lt;=45, "Between 36-45", Table1[[#This Row],[Age]]&gt;45, "45+")</f>
        <v>Below 25</v>
      </c>
    </row>
    <row r="1452" spans="1:21" x14ac:dyDescent="0.3">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c r="T1452">
        <f>IF(Table1[[#This Row],[Discount_Applied]]="Yes", 1,0)</f>
        <v>1</v>
      </c>
      <c r="U1452" t="str">
        <f>_xlfn.IFS(Table1[[#This Row],[Age]]&lt;=25, "Below 25", Table1[[#This Row],[Age]]&lt;=35, "Between 25-35", Table1[[#This Row],[Age]]&lt;=45, "Between 36-45", Table1[[#This Row],[Age]]&gt;45, "45+")</f>
        <v>Below 25</v>
      </c>
    </row>
    <row r="1453" spans="1:21" x14ac:dyDescent="0.3">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c r="T1453">
        <f>IF(Table1[[#This Row],[Discount_Applied]]="Yes", 1,0)</f>
        <v>1</v>
      </c>
      <c r="U1453" t="str">
        <f>_xlfn.IFS(Table1[[#This Row],[Age]]&lt;=25, "Below 25", Table1[[#This Row],[Age]]&lt;=35, "Between 25-35", Table1[[#This Row],[Age]]&lt;=45, "Between 36-45", Table1[[#This Row],[Age]]&gt;45, "45+")</f>
        <v>45+</v>
      </c>
    </row>
    <row r="1454" spans="1:21" x14ac:dyDescent="0.3">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c r="T1454">
        <f>IF(Table1[[#This Row],[Discount_Applied]]="Yes", 1,0)</f>
        <v>1</v>
      </c>
      <c r="U1454" t="str">
        <f>_xlfn.IFS(Table1[[#This Row],[Age]]&lt;=25, "Below 25", Table1[[#This Row],[Age]]&lt;=35, "Between 25-35", Table1[[#This Row],[Age]]&lt;=45, "Between 36-45", Table1[[#This Row],[Age]]&gt;45, "45+")</f>
        <v>45+</v>
      </c>
    </row>
    <row r="1455" spans="1:21" x14ac:dyDescent="0.3">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c r="T1455">
        <f>IF(Table1[[#This Row],[Discount_Applied]]="Yes", 1,0)</f>
        <v>1</v>
      </c>
      <c r="U1455" t="str">
        <f>_xlfn.IFS(Table1[[#This Row],[Age]]&lt;=25, "Below 25", Table1[[#This Row],[Age]]&lt;=35, "Between 25-35", Table1[[#This Row],[Age]]&lt;=45, "Between 36-45", Table1[[#This Row],[Age]]&gt;45, "45+")</f>
        <v>Between 36-45</v>
      </c>
    </row>
    <row r="1456" spans="1:21" x14ac:dyDescent="0.3">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c r="T1456">
        <f>IF(Table1[[#This Row],[Discount_Applied]]="Yes", 1,0)</f>
        <v>1</v>
      </c>
      <c r="U1456" t="str">
        <f>_xlfn.IFS(Table1[[#This Row],[Age]]&lt;=25, "Below 25", Table1[[#This Row],[Age]]&lt;=35, "Between 25-35", Table1[[#This Row],[Age]]&lt;=45, "Between 36-45", Table1[[#This Row],[Age]]&gt;45, "45+")</f>
        <v>45+</v>
      </c>
    </row>
    <row r="1457" spans="1:21" x14ac:dyDescent="0.3">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c r="T1457">
        <f>IF(Table1[[#This Row],[Discount_Applied]]="Yes", 1,0)</f>
        <v>1</v>
      </c>
      <c r="U1457" t="str">
        <f>_xlfn.IFS(Table1[[#This Row],[Age]]&lt;=25, "Below 25", Table1[[#This Row],[Age]]&lt;=35, "Between 25-35", Table1[[#This Row],[Age]]&lt;=45, "Between 36-45", Table1[[#This Row],[Age]]&gt;45, "45+")</f>
        <v>45+</v>
      </c>
    </row>
    <row r="1458" spans="1:21" x14ac:dyDescent="0.3">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c r="T1458">
        <f>IF(Table1[[#This Row],[Discount_Applied]]="Yes", 1,0)</f>
        <v>1</v>
      </c>
      <c r="U1458" t="str">
        <f>_xlfn.IFS(Table1[[#This Row],[Age]]&lt;=25, "Below 25", Table1[[#This Row],[Age]]&lt;=35, "Between 25-35", Table1[[#This Row],[Age]]&lt;=45, "Between 36-45", Table1[[#This Row],[Age]]&gt;45, "45+")</f>
        <v>45+</v>
      </c>
    </row>
    <row r="1459" spans="1:21" x14ac:dyDescent="0.3">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c r="T1459">
        <f>IF(Table1[[#This Row],[Discount_Applied]]="Yes", 1,0)</f>
        <v>1</v>
      </c>
      <c r="U1459" t="str">
        <f>_xlfn.IFS(Table1[[#This Row],[Age]]&lt;=25, "Below 25", Table1[[#This Row],[Age]]&lt;=35, "Between 25-35", Table1[[#This Row],[Age]]&lt;=45, "Between 36-45", Table1[[#This Row],[Age]]&gt;45, "45+")</f>
        <v>45+</v>
      </c>
    </row>
    <row r="1460" spans="1:21" x14ac:dyDescent="0.3">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c r="T1460">
        <f>IF(Table1[[#This Row],[Discount_Applied]]="Yes", 1,0)</f>
        <v>1</v>
      </c>
      <c r="U1460" t="str">
        <f>_xlfn.IFS(Table1[[#This Row],[Age]]&lt;=25, "Below 25", Table1[[#This Row],[Age]]&lt;=35, "Between 25-35", Table1[[#This Row],[Age]]&lt;=45, "Between 36-45", Table1[[#This Row],[Age]]&gt;45, "45+")</f>
        <v>Between 25-35</v>
      </c>
    </row>
    <row r="1461" spans="1:21" x14ac:dyDescent="0.3">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c r="T1461">
        <f>IF(Table1[[#This Row],[Discount_Applied]]="Yes", 1,0)</f>
        <v>1</v>
      </c>
      <c r="U1461" t="str">
        <f>_xlfn.IFS(Table1[[#This Row],[Age]]&lt;=25, "Below 25", Table1[[#This Row],[Age]]&lt;=35, "Between 25-35", Table1[[#This Row],[Age]]&lt;=45, "Between 36-45", Table1[[#This Row],[Age]]&gt;45, "45+")</f>
        <v>Below 25</v>
      </c>
    </row>
    <row r="1462" spans="1:21" x14ac:dyDescent="0.3">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c r="T1462">
        <f>IF(Table1[[#This Row],[Discount_Applied]]="Yes", 1,0)</f>
        <v>1</v>
      </c>
      <c r="U1462" t="str">
        <f>_xlfn.IFS(Table1[[#This Row],[Age]]&lt;=25, "Below 25", Table1[[#This Row],[Age]]&lt;=35, "Between 25-35", Table1[[#This Row],[Age]]&lt;=45, "Between 36-45", Table1[[#This Row],[Age]]&gt;45, "45+")</f>
        <v>45+</v>
      </c>
    </row>
    <row r="1463" spans="1:21" x14ac:dyDescent="0.3">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c r="T1463">
        <f>IF(Table1[[#This Row],[Discount_Applied]]="Yes", 1,0)</f>
        <v>1</v>
      </c>
      <c r="U1463" t="str">
        <f>_xlfn.IFS(Table1[[#This Row],[Age]]&lt;=25, "Below 25", Table1[[#This Row],[Age]]&lt;=35, "Between 25-35", Table1[[#This Row],[Age]]&lt;=45, "Between 36-45", Table1[[#This Row],[Age]]&gt;45, "45+")</f>
        <v>45+</v>
      </c>
    </row>
    <row r="1464" spans="1:21" x14ac:dyDescent="0.3">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c r="T1464">
        <f>IF(Table1[[#This Row],[Discount_Applied]]="Yes", 1,0)</f>
        <v>1</v>
      </c>
      <c r="U1464" t="str">
        <f>_xlfn.IFS(Table1[[#This Row],[Age]]&lt;=25, "Below 25", Table1[[#This Row],[Age]]&lt;=35, "Between 25-35", Table1[[#This Row],[Age]]&lt;=45, "Between 36-45", Table1[[#This Row],[Age]]&gt;45, "45+")</f>
        <v>Between 36-45</v>
      </c>
    </row>
    <row r="1465" spans="1:21" x14ac:dyDescent="0.3">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c r="T1465">
        <f>IF(Table1[[#This Row],[Discount_Applied]]="Yes", 1,0)</f>
        <v>1</v>
      </c>
      <c r="U1465" t="str">
        <f>_xlfn.IFS(Table1[[#This Row],[Age]]&lt;=25, "Below 25", Table1[[#This Row],[Age]]&lt;=35, "Between 25-35", Table1[[#This Row],[Age]]&lt;=45, "Between 36-45", Table1[[#This Row],[Age]]&gt;45, "45+")</f>
        <v>45+</v>
      </c>
    </row>
    <row r="1466" spans="1:21" x14ac:dyDescent="0.3">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c r="T1466">
        <f>IF(Table1[[#This Row],[Discount_Applied]]="Yes", 1,0)</f>
        <v>1</v>
      </c>
      <c r="U1466" t="str">
        <f>_xlfn.IFS(Table1[[#This Row],[Age]]&lt;=25, "Below 25", Table1[[#This Row],[Age]]&lt;=35, "Between 25-35", Table1[[#This Row],[Age]]&lt;=45, "Between 36-45", Table1[[#This Row],[Age]]&gt;45, "45+")</f>
        <v>Between 25-35</v>
      </c>
    </row>
    <row r="1467" spans="1:21" x14ac:dyDescent="0.3">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c r="T1467">
        <f>IF(Table1[[#This Row],[Discount_Applied]]="Yes", 1,0)</f>
        <v>1</v>
      </c>
      <c r="U1467" t="str">
        <f>_xlfn.IFS(Table1[[#This Row],[Age]]&lt;=25, "Below 25", Table1[[#This Row],[Age]]&lt;=35, "Between 25-35", Table1[[#This Row],[Age]]&lt;=45, "Between 36-45", Table1[[#This Row],[Age]]&gt;45, "45+")</f>
        <v>45+</v>
      </c>
    </row>
    <row r="1468" spans="1:21" x14ac:dyDescent="0.3">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c r="T1468">
        <f>IF(Table1[[#This Row],[Discount_Applied]]="Yes", 1,0)</f>
        <v>1</v>
      </c>
      <c r="U1468" t="str">
        <f>_xlfn.IFS(Table1[[#This Row],[Age]]&lt;=25, "Below 25", Table1[[#This Row],[Age]]&lt;=35, "Between 25-35", Table1[[#This Row],[Age]]&lt;=45, "Between 36-45", Table1[[#This Row],[Age]]&gt;45, "45+")</f>
        <v>45+</v>
      </c>
    </row>
    <row r="1469" spans="1:21" x14ac:dyDescent="0.3">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c r="T1469">
        <f>IF(Table1[[#This Row],[Discount_Applied]]="Yes", 1,0)</f>
        <v>1</v>
      </c>
      <c r="U1469" t="str">
        <f>_xlfn.IFS(Table1[[#This Row],[Age]]&lt;=25, "Below 25", Table1[[#This Row],[Age]]&lt;=35, "Between 25-35", Table1[[#This Row],[Age]]&lt;=45, "Between 36-45", Table1[[#This Row],[Age]]&gt;45, "45+")</f>
        <v>Between 25-35</v>
      </c>
    </row>
    <row r="1470" spans="1:21" x14ac:dyDescent="0.3">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c r="T1470">
        <f>IF(Table1[[#This Row],[Discount_Applied]]="Yes", 1,0)</f>
        <v>1</v>
      </c>
      <c r="U1470" t="str">
        <f>_xlfn.IFS(Table1[[#This Row],[Age]]&lt;=25, "Below 25", Table1[[#This Row],[Age]]&lt;=35, "Between 25-35", Table1[[#This Row],[Age]]&lt;=45, "Between 36-45", Table1[[#This Row],[Age]]&gt;45, "45+")</f>
        <v>Between 36-45</v>
      </c>
    </row>
    <row r="1471" spans="1:21" x14ac:dyDescent="0.3">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c r="T1471">
        <f>IF(Table1[[#This Row],[Discount_Applied]]="Yes", 1,0)</f>
        <v>1</v>
      </c>
      <c r="U1471" t="str">
        <f>_xlfn.IFS(Table1[[#This Row],[Age]]&lt;=25, "Below 25", Table1[[#This Row],[Age]]&lt;=35, "Between 25-35", Table1[[#This Row],[Age]]&lt;=45, "Between 36-45", Table1[[#This Row],[Age]]&gt;45, "45+")</f>
        <v>Between 25-35</v>
      </c>
    </row>
    <row r="1472" spans="1:21" x14ac:dyDescent="0.3">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c r="T1472">
        <f>IF(Table1[[#This Row],[Discount_Applied]]="Yes", 1,0)</f>
        <v>1</v>
      </c>
      <c r="U1472" t="str">
        <f>_xlfn.IFS(Table1[[#This Row],[Age]]&lt;=25, "Below 25", Table1[[#This Row],[Age]]&lt;=35, "Between 25-35", Table1[[#This Row],[Age]]&lt;=45, "Between 36-45", Table1[[#This Row],[Age]]&gt;45, "45+")</f>
        <v>Between 36-45</v>
      </c>
    </row>
    <row r="1473" spans="1:21" x14ac:dyDescent="0.3">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c r="T1473">
        <f>IF(Table1[[#This Row],[Discount_Applied]]="Yes", 1,0)</f>
        <v>1</v>
      </c>
      <c r="U1473" t="str">
        <f>_xlfn.IFS(Table1[[#This Row],[Age]]&lt;=25, "Below 25", Table1[[#This Row],[Age]]&lt;=35, "Between 25-35", Table1[[#This Row],[Age]]&lt;=45, "Between 36-45", Table1[[#This Row],[Age]]&gt;45, "45+")</f>
        <v>Between 25-35</v>
      </c>
    </row>
    <row r="1474" spans="1:21" x14ac:dyDescent="0.3">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c r="T1474">
        <f>IF(Table1[[#This Row],[Discount_Applied]]="Yes", 1,0)</f>
        <v>1</v>
      </c>
      <c r="U1474" t="str">
        <f>_xlfn.IFS(Table1[[#This Row],[Age]]&lt;=25, "Below 25", Table1[[#This Row],[Age]]&lt;=35, "Between 25-35", Table1[[#This Row],[Age]]&lt;=45, "Between 36-45", Table1[[#This Row],[Age]]&gt;45, "45+")</f>
        <v>Between 36-45</v>
      </c>
    </row>
    <row r="1475" spans="1:21" x14ac:dyDescent="0.3">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c r="T1475">
        <f>IF(Table1[[#This Row],[Discount_Applied]]="Yes", 1,0)</f>
        <v>1</v>
      </c>
      <c r="U1475" t="str">
        <f>_xlfn.IFS(Table1[[#This Row],[Age]]&lt;=25, "Below 25", Table1[[#This Row],[Age]]&lt;=35, "Between 25-35", Table1[[#This Row],[Age]]&lt;=45, "Between 36-45", Table1[[#This Row],[Age]]&gt;45, "45+")</f>
        <v>45+</v>
      </c>
    </row>
    <row r="1476" spans="1:21" x14ac:dyDescent="0.3">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c r="T1476">
        <f>IF(Table1[[#This Row],[Discount_Applied]]="Yes", 1,0)</f>
        <v>1</v>
      </c>
      <c r="U1476" t="str">
        <f>_xlfn.IFS(Table1[[#This Row],[Age]]&lt;=25, "Below 25", Table1[[#This Row],[Age]]&lt;=35, "Between 25-35", Table1[[#This Row],[Age]]&lt;=45, "Between 36-45", Table1[[#This Row],[Age]]&gt;45, "45+")</f>
        <v>Between 25-35</v>
      </c>
    </row>
    <row r="1477" spans="1:21" x14ac:dyDescent="0.3">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c r="T1477">
        <f>IF(Table1[[#This Row],[Discount_Applied]]="Yes", 1,0)</f>
        <v>1</v>
      </c>
      <c r="U1477" t="str">
        <f>_xlfn.IFS(Table1[[#This Row],[Age]]&lt;=25, "Below 25", Table1[[#This Row],[Age]]&lt;=35, "Between 25-35", Table1[[#This Row],[Age]]&lt;=45, "Between 36-45", Table1[[#This Row],[Age]]&gt;45, "45+")</f>
        <v>Between 36-45</v>
      </c>
    </row>
    <row r="1478" spans="1:21" x14ac:dyDescent="0.3">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c r="T1478">
        <f>IF(Table1[[#This Row],[Discount_Applied]]="Yes", 1,0)</f>
        <v>1</v>
      </c>
      <c r="U1478" t="str">
        <f>_xlfn.IFS(Table1[[#This Row],[Age]]&lt;=25, "Below 25", Table1[[#This Row],[Age]]&lt;=35, "Between 25-35", Table1[[#This Row],[Age]]&lt;=45, "Between 36-45", Table1[[#This Row],[Age]]&gt;45, "45+")</f>
        <v>Between 36-45</v>
      </c>
    </row>
    <row r="1479" spans="1:21" x14ac:dyDescent="0.3">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c r="T1479">
        <f>IF(Table1[[#This Row],[Discount_Applied]]="Yes", 1,0)</f>
        <v>1</v>
      </c>
      <c r="U1479" t="str">
        <f>_xlfn.IFS(Table1[[#This Row],[Age]]&lt;=25, "Below 25", Table1[[#This Row],[Age]]&lt;=35, "Between 25-35", Table1[[#This Row],[Age]]&lt;=45, "Between 36-45", Table1[[#This Row],[Age]]&gt;45, "45+")</f>
        <v>Below 25</v>
      </c>
    </row>
    <row r="1480" spans="1:21" x14ac:dyDescent="0.3">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c r="T1480">
        <f>IF(Table1[[#This Row],[Discount_Applied]]="Yes", 1,0)</f>
        <v>1</v>
      </c>
      <c r="U1480" t="str">
        <f>_xlfn.IFS(Table1[[#This Row],[Age]]&lt;=25, "Below 25", Table1[[#This Row],[Age]]&lt;=35, "Between 25-35", Table1[[#This Row],[Age]]&lt;=45, "Between 36-45", Table1[[#This Row],[Age]]&gt;45, "45+")</f>
        <v>Between 25-35</v>
      </c>
    </row>
    <row r="1481" spans="1:21" x14ac:dyDescent="0.3">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c r="T1481">
        <f>IF(Table1[[#This Row],[Discount_Applied]]="Yes", 1,0)</f>
        <v>1</v>
      </c>
      <c r="U1481" t="str">
        <f>_xlfn.IFS(Table1[[#This Row],[Age]]&lt;=25, "Below 25", Table1[[#This Row],[Age]]&lt;=35, "Between 25-35", Table1[[#This Row],[Age]]&lt;=45, "Between 36-45", Table1[[#This Row],[Age]]&gt;45, "45+")</f>
        <v>45+</v>
      </c>
    </row>
    <row r="1482" spans="1:21" x14ac:dyDescent="0.3">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c r="T1482">
        <f>IF(Table1[[#This Row],[Discount_Applied]]="Yes", 1,0)</f>
        <v>1</v>
      </c>
      <c r="U1482" t="str">
        <f>_xlfn.IFS(Table1[[#This Row],[Age]]&lt;=25, "Below 25", Table1[[#This Row],[Age]]&lt;=35, "Between 25-35", Table1[[#This Row],[Age]]&lt;=45, "Between 36-45", Table1[[#This Row],[Age]]&gt;45, "45+")</f>
        <v>Between 36-45</v>
      </c>
    </row>
    <row r="1483" spans="1:21" x14ac:dyDescent="0.3">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c r="T1483">
        <f>IF(Table1[[#This Row],[Discount_Applied]]="Yes", 1,0)</f>
        <v>1</v>
      </c>
      <c r="U1483" t="str">
        <f>_xlfn.IFS(Table1[[#This Row],[Age]]&lt;=25, "Below 25", Table1[[#This Row],[Age]]&lt;=35, "Between 25-35", Table1[[#This Row],[Age]]&lt;=45, "Between 36-45", Table1[[#This Row],[Age]]&gt;45, "45+")</f>
        <v>45+</v>
      </c>
    </row>
    <row r="1484" spans="1:21" x14ac:dyDescent="0.3">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c r="T1484">
        <f>IF(Table1[[#This Row],[Discount_Applied]]="Yes", 1,0)</f>
        <v>1</v>
      </c>
      <c r="U1484" t="str">
        <f>_xlfn.IFS(Table1[[#This Row],[Age]]&lt;=25, "Below 25", Table1[[#This Row],[Age]]&lt;=35, "Between 25-35", Table1[[#This Row],[Age]]&lt;=45, "Between 36-45", Table1[[#This Row],[Age]]&gt;45, "45+")</f>
        <v>Between 25-35</v>
      </c>
    </row>
    <row r="1485" spans="1:21" x14ac:dyDescent="0.3">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c r="T1485">
        <f>IF(Table1[[#This Row],[Discount_Applied]]="Yes", 1,0)</f>
        <v>1</v>
      </c>
      <c r="U1485" t="str">
        <f>_xlfn.IFS(Table1[[#This Row],[Age]]&lt;=25, "Below 25", Table1[[#This Row],[Age]]&lt;=35, "Between 25-35", Table1[[#This Row],[Age]]&lt;=45, "Between 36-45", Table1[[#This Row],[Age]]&gt;45, "45+")</f>
        <v>Between 36-45</v>
      </c>
    </row>
    <row r="1486" spans="1:21" x14ac:dyDescent="0.3">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c r="T1486">
        <f>IF(Table1[[#This Row],[Discount_Applied]]="Yes", 1,0)</f>
        <v>1</v>
      </c>
      <c r="U1486" t="str">
        <f>_xlfn.IFS(Table1[[#This Row],[Age]]&lt;=25, "Below 25", Table1[[#This Row],[Age]]&lt;=35, "Between 25-35", Table1[[#This Row],[Age]]&lt;=45, "Between 36-45", Table1[[#This Row],[Age]]&gt;45, "45+")</f>
        <v>45+</v>
      </c>
    </row>
    <row r="1487" spans="1:21" x14ac:dyDescent="0.3">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c r="T1487">
        <f>IF(Table1[[#This Row],[Discount_Applied]]="Yes", 1,0)</f>
        <v>1</v>
      </c>
      <c r="U1487" t="str">
        <f>_xlfn.IFS(Table1[[#This Row],[Age]]&lt;=25, "Below 25", Table1[[#This Row],[Age]]&lt;=35, "Between 25-35", Table1[[#This Row],[Age]]&lt;=45, "Between 36-45", Table1[[#This Row],[Age]]&gt;45, "45+")</f>
        <v>Below 25</v>
      </c>
    </row>
    <row r="1488" spans="1:21" x14ac:dyDescent="0.3">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c r="T1488">
        <f>IF(Table1[[#This Row],[Discount_Applied]]="Yes", 1,0)</f>
        <v>1</v>
      </c>
      <c r="U1488" t="str">
        <f>_xlfn.IFS(Table1[[#This Row],[Age]]&lt;=25, "Below 25", Table1[[#This Row],[Age]]&lt;=35, "Between 25-35", Table1[[#This Row],[Age]]&lt;=45, "Between 36-45", Table1[[#This Row],[Age]]&gt;45, "45+")</f>
        <v>Below 25</v>
      </c>
    </row>
    <row r="1489" spans="1:21" x14ac:dyDescent="0.3">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c r="T1489">
        <f>IF(Table1[[#This Row],[Discount_Applied]]="Yes", 1,0)</f>
        <v>1</v>
      </c>
      <c r="U1489" t="str">
        <f>_xlfn.IFS(Table1[[#This Row],[Age]]&lt;=25, "Below 25", Table1[[#This Row],[Age]]&lt;=35, "Between 25-35", Table1[[#This Row],[Age]]&lt;=45, "Between 36-45", Table1[[#This Row],[Age]]&gt;45, "45+")</f>
        <v>Between 36-45</v>
      </c>
    </row>
    <row r="1490" spans="1:21" x14ac:dyDescent="0.3">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c r="T1490">
        <f>IF(Table1[[#This Row],[Discount_Applied]]="Yes", 1,0)</f>
        <v>1</v>
      </c>
      <c r="U1490" t="str">
        <f>_xlfn.IFS(Table1[[#This Row],[Age]]&lt;=25, "Below 25", Table1[[#This Row],[Age]]&lt;=35, "Between 25-35", Table1[[#This Row],[Age]]&lt;=45, "Between 36-45", Table1[[#This Row],[Age]]&gt;45, "45+")</f>
        <v>Below 25</v>
      </c>
    </row>
    <row r="1491" spans="1:21" x14ac:dyDescent="0.3">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c r="T1491">
        <f>IF(Table1[[#This Row],[Discount_Applied]]="Yes", 1,0)</f>
        <v>1</v>
      </c>
      <c r="U1491" t="str">
        <f>_xlfn.IFS(Table1[[#This Row],[Age]]&lt;=25, "Below 25", Table1[[#This Row],[Age]]&lt;=35, "Between 25-35", Table1[[#This Row],[Age]]&lt;=45, "Between 36-45", Table1[[#This Row],[Age]]&gt;45, "45+")</f>
        <v>Below 25</v>
      </c>
    </row>
    <row r="1492" spans="1:21" x14ac:dyDescent="0.3">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c r="T1492">
        <f>IF(Table1[[#This Row],[Discount_Applied]]="Yes", 1,0)</f>
        <v>1</v>
      </c>
      <c r="U1492" t="str">
        <f>_xlfn.IFS(Table1[[#This Row],[Age]]&lt;=25, "Below 25", Table1[[#This Row],[Age]]&lt;=35, "Between 25-35", Table1[[#This Row],[Age]]&lt;=45, "Between 36-45", Table1[[#This Row],[Age]]&gt;45, "45+")</f>
        <v>45+</v>
      </c>
    </row>
    <row r="1493" spans="1:21" x14ac:dyDescent="0.3">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c r="T1493">
        <f>IF(Table1[[#This Row],[Discount_Applied]]="Yes", 1,0)</f>
        <v>1</v>
      </c>
      <c r="U1493" t="str">
        <f>_xlfn.IFS(Table1[[#This Row],[Age]]&lt;=25, "Below 25", Table1[[#This Row],[Age]]&lt;=35, "Between 25-35", Table1[[#This Row],[Age]]&lt;=45, "Between 36-45", Table1[[#This Row],[Age]]&gt;45, "45+")</f>
        <v>Between 25-35</v>
      </c>
    </row>
    <row r="1494" spans="1:21" x14ac:dyDescent="0.3">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c r="T1494">
        <f>IF(Table1[[#This Row],[Discount_Applied]]="Yes", 1,0)</f>
        <v>1</v>
      </c>
      <c r="U1494" t="str">
        <f>_xlfn.IFS(Table1[[#This Row],[Age]]&lt;=25, "Below 25", Table1[[#This Row],[Age]]&lt;=35, "Between 25-35", Table1[[#This Row],[Age]]&lt;=45, "Between 36-45", Table1[[#This Row],[Age]]&gt;45, "45+")</f>
        <v>45+</v>
      </c>
    </row>
    <row r="1495" spans="1:21" x14ac:dyDescent="0.3">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c r="T1495">
        <f>IF(Table1[[#This Row],[Discount_Applied]]="Yes", 1,0)</f>
        <v>1</v>
      </c>
      <c r="U1495" t="str">
        <f>_xlfn.IFS(Table1[[#This Row],[Age]]&lt;=25, "Below 25", Table1[[#This Row],[Age]]&lt;=35, "Between 25-35", Table1[[#This Row],[Age]]&lt;=45, "Between 36-45", Table1[[#This Row],[Age]]&gt;45, "45+")</f>
        <v>45+</v>
      </c>
    </row>
    <row r="1496" spans="1:21" x14ac:dyDescent="0.3">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c r="T1496">
        <f>IF(Table1[[#This Row],[Discount_Applied]]="Yes", 1,0)</f>
        <v>1</v>
      </c>
      <c r="U1496" t="str">
        <f>_xlfn.IFS(Table1[[#This Row],[Age]]&lt;=25, "Below 25", Table1[[#This Row],[Age]]&lt;=35, "Between 25-35", Table1[[#This Row],[Age]]&lt;=45, "Between 36-45", Table1[[#This Row],[Age]]&gt;45, "45+")</f>
        <v>Between 36-45</v>
      </c>
    </row>
    <row r="1497" spans="1:21" x14ac:dyDescent="0.3">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c r="T1497">
        <f>IF(Table1[[#This Row],[Discount_Applied]]="Yes", 1,0)</f>
        <v>1</v>
      </c>
      <c r="U1497" t="str">
        <f>_xlfn.IFS(Table1[[#This Row],[Age]]&lt;=25, "Below 25", Table1[[#This Row],[Age]]&lt;=35, "Between 25-35", Table1[[#This Row],[Age]]&lt;=45, "Between 36-45", Table1[[#This Row],[Age]]&gt;45, "45+")</f>
        <v>Between 36-45</v>
      </c>
    </row>
    <row r="1498" spans="1:21" x14ac:dyDescent="0.3">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c r="T1498">
        <f>IF(Table1[[#This Row],[Discount_Applied]]="Yes", 1,0)</f>
        <v>1</v>
      </c>
      <c r="U1498" t="str">
        <f>_xlfn.IFS(Table1[[#This Row],[Age]]&lt;=25, "Below 25", Table1[[#This Row],[Age]]&lt;=35, "Between 25-35", Table1[[#This Row],[Age]]&lt;=45, "Between 36-45", Table1[[#This Row],[Age]]&gt;45, "45+")</f>
        <v>45+</v>
      </c>
    </row>
    <row r="1499" spans="1:21" x14ac:dyDescent="0.3">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c r="T1499">
        <f>IF(Table1[[#This Row],[Discount_Applied]]="Yes", 1,0)</f>
        <v>1</v>
      </c>
      <c r="U1499" t="str">
        <f>_xlfn.IFS(Table1[[#This Row],[Age]]&lt;=25, "Below 25", Table1[[#This Row],[Age]]&lt;=35, "Between 25-35", Table1[[#This Row],[Age]]&lt;=45, "Between 36-45", Table1[[#This Row],[Age]]&gt;45, "45+")</f>
        <v>45+</v>
      </c>
    </row>
    <row r="1500" spans="1:21" x14ac:dyDescent="0.3">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c r="T1500">
        <f>IF(Table1[[#This Row],[Discount_Applied]]="Yes", 1,0)</f>
        <v>1</v>
      </c>
      <c r="U1500" t="str">
        <f>_xlfn.IFS(Table1[[#This Row],[Age]]&lt;=25, "Below 25", Table1[[#This Row],[Age]]&lt;=35, "Between 25-35", Table1[[#This Row],[Age]]&lt;=45, "Between 36-45", Table1[[#This Row],[Age]]&gt;45, "45+")</f>
        <v>45+</v>
      </c>
    </row>
    <row r="1501" spans="1:21" x14ac:dyDescent="0.3">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c r="T1501">
        <f>IF(Table1[[#This Row],[Discount_Applied]]="Yes", 1,0)</f>
        <v>1</v>
      </c>
      <c r="U1501" t="str">
        <f>_xlfn.IFS(Table1[[#This Row],[Age]]&lt;=25, "Below 25", Table1[[#This Row],[Age]]&lt;=35, "Between 25-35", Table1[[#This Row],[Age]]&lt;=45, "Between 36-45", Table1[[#This Row],[Age]]&gt;45, "45+")</f>
        <v>Below 25</v>
      </c>
    </row>
    <row r="1502" spans="1:21" x14ac:dyDescent="0.3">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c r="T1502">
        <f>IF(Table1[[#This Row],[Discount_Applied]]="Yes", 1,0)</f>
        <v>1</v>
      </c>
      <c r="U1502" t="str">
        <f>_xlfn.IFS(Table1[[#This Row],[Age]]&lt;=25, "Below 25", Table1[[#This Row],[Age]]&lt;=35, "Between 25-35", Table1[[#This Row],[Age]]&lt;=45, "Between 36-45", Table1[[#This Row],[Age]]&gt;45, "45+")</f>
        <v>45+</v>
      </c>
    </row>
    <row r="1503" spans="1:21" x14ac:dyDescent="0.3">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c r="T1503">
        <f>IF(Table1[[#This Row],[Discount_Applied]]="Yes", 1,0)</f>
        <v>1</v>
      </c>
      <c r="U1503" t="str">
        <f>_xlfn.IFS(Table1[[#This Row],[Age]]&lt;=25, "Below 25", Table1[[#This Row],[Age]]&lt;=35, "Between 25-35", Table1[[#This Row],[Age]]&lt;=45, "Between 36-45", Table1[[#This Row],[Age]]&gt;45, "45+")</f>
        <v>Between 36-45</v>
      </c>
    </row>
    <row r="1504" spans="1:21" x14ac:dyDescent="0.3">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c r="T1504">
        <f>IF(Table1[[#This Row],[Discount_Applied]]="Yes", 1,0)</f>
        <v>1</v>
      </c>
      <c r="U1504" t="str">
        <f>_xlfn.IFS(Table1[[#This Row],[Age]]&lt;=25, "Below 25", Table1[[#This Row],[Age]]&lt;=35, "Between 25-35", Table1[[#This Row],[Age]]&lt;=45, "Between 36-45", Table1[[#This Row],[Age]]&gt;45, "45+")</f>
        <v>Between 36-45</v>
      </c>
    </row>
    <row r="1505" spans="1:21" x14ac:dyDescent="0.3">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c r="T1505">
        <f>IF(Table1[[#This Row],[Discount_Applied]]="Yes", 1,0)</f>
        <v>1</v>
      </c>
      <c r="U1505" t="str">
        <f>_xlfn.IFS(Table1[[#This Row],[Age]]&lt;=25, "Below 25", Table1[[#This Row],[Age]]&lt;=35, "Between 25-35", Table1[[#This Row],[Age]]&lt;=45, "Between 36-45", Table1[[#This Row],[Age]]&gt;45, "45+")</f>
        <v>45+</v>
      </c>
    </row>
    <row r="1506" spans="1:21" x14ac:dyDescent="0.3">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c r="T1506">
        <f>IF(Table1[[#This Row],[Discount_Applied]]="Yes", 1,0)</f>
        <v>1</v>
      </c>
      <c r="U1506" t="str">
        <f>_xlfn.IFS(Table1[[#This Row],[Age]]&lt;=25, "Below 25", Table1[[#This Row],[Age]]&lt;=35, "Between 25-35", Table1[[#This Row],[Age]]&lt;=45, "Between 36-45", Table1[[#This Row],[Age]]&gt;45, "45+")</f>
        <v>45+</v>
      </c>
    </row>
    <row r="1507" spans="1:21" x14ac:dyDescent="0.3">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c r="T1507">
        <f>IF(Table1[[#This Row],[Discount_Applied]]="Yes", 1,0)</f>
        <v>1</v>
      </c>
      <c r="U1507" t="str">
        <f>_xlfn.IFS(Table1[[#This Row],[Age]]&lt;=25, "Below 25", Table1[[#This Row],[Age]]&lt;=35, "Between 25-35", Table1[[#This Row],[Age]]&lt;=45, "Between 36-45", Table1[[#This Row],[Age]]&gt;45, "45+")</f>
        <v>45+</v>
      </c>
    </row>
    <row r="1508" spans="1:21" x14ac:dyDescent="0.3">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c r="T1508">
        <f>IF(Table1[[#This Row],[Discount_Applied]]="Yes", 1,0)</f>
        <v>1</v>
      </c>
      <c r="U1508" t="str">
        <f>_xlfn.IFS(Table1[[#This Row],[Age]]&lt;=25, "Below 25", Table1[[#This Row],[Age]]&lt;=35, "Between 25-35", Table1[[#This Row],[Age]]&lt;=45, "Between 36-45", Table1[[#This Row],[Age]]&gt;45, "45+")</f>
        <v>Between 25-35</v>
      </c>
    </row>
    <row r="1509" spans="1:21" x14ac:dyDescent="0.3">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c r="T1509">
        <f>IF(Table1[[#This Row],[Discount_Applied]]="Yes", 1,0)</f>
        <v>1</v>
      </c>
      <c r="U1509" t="str">
        <f>_xlfn.IFS(Table1[[#This Row],[Age]]&lt;=25, "Below 25", Table1[[#This Row],[Age]]&lt;=35, "Between 25-35", Table1[[#This Row],[Age]]&lt;=45, "Between 36-45", Table1[[#This Row],[Age]]&gt;45, "45+")</f>
        <v>45+</v>
      </c>
    </row>
    <row r="1510" spans="1:21" x14ac:dyDescent="0.3">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c r="T1510">
        <f>IF(Table1[[#This Row],[Discount_Applied]]="Yes", 1,0)</f>
        <v>1</v>
      </c>
      <c r="U1510" t="str">
        <f>_xlfn.IFS(Table1[[#This Row],[Age]]&lt;=25, "Below 25", Table1[[#This Row],[Age]]&lt;=35, "Between 25-35", Table1[[#This Row],[Age]]&lt;=45, "Between 36-45", Table1[[#This Row],[Age]]&gt;45, "45+")</f>
        <v>Between 25-35</v>
      </c>
    </row>
    <row r="1511" spans="1:21" x14ac:dyDescent="0.3">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c r="T1511">
        <f>IF(Table1[[#This Row],[Discount_Applied]]="Yes", 1,0)</f>
        <v>1</v>
      </c>
      <c r="U1511" t="str">
        <f>_xlfn.IFS(Table1[[#This Row],[Age]]&lt;=25, "Below 25", Table1[[#This Row],[Age]]&lt;=35, "Between 25-35", Table1[[#This Row],[Age]]&lt;=45, "Between 36-45", Table1[[#This Row],[Age]]&gt;45, "45+")</f>
        <v>Below 25</v>
      </c>
    </row>
    <row r="1512" spans="1:21" x14ac:dyDescent="0.3">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c r="T1512">
        <f>IF(Table1[[#This Row],[Discount_Applied]]="Yes", 1,0)</f>
        <v>1</v>
      </c>
      <c r="U1512" t="str">
        <f>_xlfn.IFS(Table1[[#This Row],[Age]]&lt;=25, "Below 25", Table1[[#This Row],[Age]]&lt;=35, "Between 25-35", Table1[[#This Row],[Age]]&lt;=45, "Between 36-45", Table1[[#This Row],[Age]]&gt;45, "45+")</f>
        <v>45+</v>
      </c>
    </row>
    <row r="1513" spans="1:21" x14ac:dyDescent="0.3">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c r="T1513">
        <f>IF(Table1[[#This Row],[Discount_Applied]]="Yes", 1,0)</f>
        <v>1</v>
      </c>
      <c r="U1513" t="str">
        <f>_xlfn.IFS(Table1[[#This Row],[Age]]&lt;=25, "Below 25", Table1[[#This Row],[Age]]&lt;=35, "Between 25-35", Table1[[#This Row],[Age]]&lt;=45, "Between 36-45", Table1[[#This Row],[Age]]&gt;45, "45+")</f>
        <v>Between 25-35</v>
      </c>
    </row>
    <row r="1514" spans="1:21" x14ac:dyDescent="0.3">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c r="T1514">
        <f>IF(Table1[[#This Row],[Discount_Applied]]="Yes", 1,0)</f>
        <v>1</v>
      </c>
      <c r="U1514" t="str">
        <f>_xlfn.IFS(Table1[[#This Row],[Age]]&lt;=25, "Below 25", Table1[[#This Row],[Age]]&lt;=35, "Between 25-35", Table1[[#This Row],[Age]]&lt;=45, "Between 36-45", Table1[[#This Row],[Age]]&gt;45, "45+")</f>
        <v>45+</v>
      </c>
    </row>
    <row r="1515" spans="1:21" x14ac:dyDescent="0.3">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c r="T1515">
        <f>IF(Table1[[#This Row],[Discount_Applied]]="Yes", 1,0)</f>
        <v>1</v>
      </c>
      <c r="U1515" t="str">
        <f>_xlfn.IFS(Table1[[#This Row],[Age]]&lt;=25, "Below 25", Table1[[#This Row],[Age]]&lt;=35, "Between 25-35", Table1[[#This Row],[Age]]&lt;=45, "Between 36-45", Table1[[#This Row],[Age]]&gt;45, "45+")</f>
        <v>Below 25</v>
      </c>
    </row>
    <row r="1516" spans="1:21" x14ac:dyDescent="0.3">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c r="T1516">
        <f>IF(Table1[[#This Row],[Discount_Applied]]="Yes", 1,0)</f>
        <v>1</v>
      </c>
      <c r="U1516" t="str">
        <f>_xlfn.IFS(Table1[[#This Row],[Age]]&lt;=25, "Below 25", Table1[[#This Row],[Age]]&lt;=35, "Between 25-35", Table1[[#This Row],[Age]]&lt;=45, "Between 36-45", Table1[[#This Row],[Age]]&gt;45, "45+")</f>
        <v>Between 25-35</v>
      </c>
    </row>
    <row r="1517" spans="1:21" x14ac:dyDescent="0.3">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c r="T1517">
        <f>IF(Table1[[#This Row],[Discount_Applied]]="Yes", 1,0)</f>
        <v>1</v>
      </c>
      <c r="U1517" t="str">
        <f>_xlfn.IFS(Table1[[#This Row],[Age]]&lt;=25, "Below 25", Table1[[#This Row],[Age]]&lt;=35, "Between 25-35", Table1[[#This Row],[Age]]&lt;=45, "Between 36-45", Table1[[#This Row],[Age]]&gt;45, "45+")</f>
        <v>Between 36-45</v>
      </c>
    </row>
    <row r="1518" spans="1:21" x14ac:dyDescent="0.3">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c r="T1518">
        <f>IF(Table1[[#This Row],[Discount_Applied]]="Yes", 1,0)</f>
        <v>1</v>
      </c>
      <c r="U1518" t="str">
        <f>_xlfn.IFS(Table1[[#This Row],[Age]]&lt;=25, "Below 25", Table1[[#This Row],[Age]]&lt;=35, "Between 25-35", Table1[[#This Row],[Age]]&lt;=45, "Between 36-45", Table1[[#This Row],[Age]]&gt;45, "45+")</f>
        <v>Below 25</v>
      </c>
    </row>
    <row r="1519" spans="1:21" x14ac:dyDescent="0.3">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c r="T1519">
        <f>IF(Table1[[#This Row],[Discount_Applied]]="Yes", 1,0)</f>
        <v>1</v>
      </c>
      <c r="U1519" t="str">
        <f>_xlfn.IFS(Table1[[#This Row],[Age]]&lt;=25, "Below 25", Table1[[#This Row],[Age]]&lt;=35, "Between 25-35", Table1[[#This Row],[Age]]&lt;=45, "Between 36-45", Table1[[#This Row],[Age]]&gt;45, "45+")</f>
        <v>45+</v>
      </c>
    </row>
    <row r="1520" spans="1:21" x14ac:dyDescent="0.3">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c r="T1520">
        <f>IF(Table1[[#This Row],[Discount_Applied]]="Yes", 1,0)</f>
        <v>1</v>
      </c>
      <c r="U1520" t="str">
        <f>_xlfn.IFS(Table1[[#This Row],[Age]]&lt;=25, "Below 25", Table1[[#This Row],[Age]]&lt;=35, "Between 25-35", Table1[[#This Row],[Age]]&lt;=45, "Between 36-45", Table1[[#This Row],[Age]]&gt;45, "45+")</f>
        <v>45+</v>
      </c>
    </row>
    <row r="1521" spans="1:21" x14ac:dyDescent="0.3">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c r="T1521">
        <f>IF(Table1[[#This Row],[Discount_Applied]]="Yes", 1,0)</f>
        <v>1</v>
      </c>
      <c r="U1521" t="str">
        <f>_xlfn.IFS(Table1[[#This Row],[Age]]&lt;=25, "Below 25", Table1[[#This Row],[Age]]&lt;=35, "Between 25-35", Table1[[#This Row],[Age]]&lt;=45, "Between 36-45", Table1[[#This Row],[Age]]&gt;45, "45+")</f>
        <v>45+</v>
      </c>
    </row>
    <row r="1522" spans="1:21" x14ac:dyDescent="0.3">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c r="T1522">
        <f>IF(Table1[[#This Row],[Discount_Applied]]="Yes", 1,0)</f>
        <v>1</v>
      </c>
      <c r="U1522" t="str">
        <f>_xlfn.IFS(Table1[[#This Row],[Age]]&lt;=25, "Below 25", Table1[[#This Row],[Age]]&lt;=35, "Between 25-35", Table1[[#This Row],[Age]]&lt;=45, "Between 36-45", Table1[[#This Row],[Age]]&gt;45, "45+")</f>
        <v>Below 25</v>
      </c>
    </row>
    <row r="1523" spans="1:21" x14ac:dyDescent="0.3">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c r="T1523">
        <f>IF(Table1[[#This Row],[Discount_Applied]]="Yes", 1,0)</f>
        <v>1</v>
      </c>
      <c r="U1523" t="str">
        <f>_xlfn.IFS(Table1[[#This Row],[Age]]&lt;=25, "Below 25", Table1[[#This Row],[Age]]&lt;=35, "Between 25-35", Table1[[#This Row],[Age]]&lt;=45, "Between 36-45", Table1[[#This Row],[Age]]&gt;45, "45+")</f>
        <v>Between 25-35</v>
      </c>
    </row>
    <row r="1524" spans="1:21" x14ac:dyDescent="0.3">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c r="T1524">
        <f>IF(Table1[[#This Row],[Discount_Applied]]="Yes", 1,0)</f>
        <v>1</v>
      </c>
      <c r="U1524" t="str">
        <f>_xlfn.IFS(Table1[[#This Row],[Age]]&lt;=25, "Below 25", Table1[[#This Row],[Age]]&lt;=35, "Between 25-35", Table1[[#This Row],[Age]]&lt;=45, "Between 36-45", Table1[[#This Row],[Age]]&gt;45, "45+")</f>
        <v>Between 36-45</v>
      </c>
    </row>
    <row r="1525" spans="1:21" x14ac:dyDescent="0.3">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c r="T1525">
        <f>IF(Table1[[#This Row],[Discount_Applied]]="Yes", 1,0)</f>
        <v>1</v>
      </c>
      <c r="U1525" t="str">
        <f>_xlfn.IFS(Table1[[#This Row],[Age]]&lt;=25, "Below 25", Table1[[#This Row],[Age]]&lt;=35, "Between 25-35", Table1[[#This Row],[Age]]&lt;=45, "Between 36-45", Table1[[#This Row],[Age]]&gt;45, "45+")</f>
        <v>45+</v>
      </c>
    </row>
    <row r="1526" spans="1:21" x14ac:dyDescent="0.3">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c r="T1526">
        <f>IF(Table1[[#This Row],[Discount_Applied]]="Yes", 1,0)</f>
        <v>1</v>
      </c>
      <c r="U1526" t="str">
        <f>_xlfn.IFS(Table1[[#This Row],[Age]]&lt;=25, "Below 25", Table1[[#This Row],[Age]]&lt;=35, "Between 25-35", Table1[[#This Row],[Age]]&lt;=45, "Between 36-45", Table1[[#This Row],[Age]]&gt;45, "45+")</f>
        <v>Below 25</v>
      </c>
    </row>
    <row r="1527" spans="1:21" x14ac:dyDescent="0.3">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c r="T1527">
        <f>IF(Table1[[#This Row],[Discount_Applied]]="Yes", 1,0)</f>
        <v>1</v>
      </c>
      <c r="U1527" t="str">
        <f>_xlfn.IFS(Table1[[#This Row],[Age]]&lt;=25, "Below 25", Table1[[#This Row],[Age]]&lt;=35, "Between 25-35", Table1[[#This Row],[Age]]&lt;=45, "Between 36-45", Table1[[#This Row],[Age]]&gt;45, "45+")</f>
        <v>Between 25-35</v>
      </c>
    </row>
    <row r="1528" spans="1:21" x14ac:dyDescent="0.3">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c r="T1528">
        <f>IF(Table1[[#This Row],[Discount_Applied]]="Yes", 1,0)</f>
        <v>1</v>
      </c>
      <c r="U1528" t="str">
        <f>_xlfn.IFS(Table1[[#This Row],[Age]]&lt;=25, "Below 25", Table1[[#This Row],[Age]]&lt;=35, "Between 25-35", Table1[[#This Row],[Age]]&lt;=45, "Between 36-45", Table1[[#This Row],[Age]]&gt;45, "45+")</f>
        <v>Between 36-45</v>
      </c>
    </row>
    <row r="1529" spans="1:21" x14ac:dyDescent="0.3">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c r="T1529">
        <f>IF(Table1[[#This Row],[Discount_Applied]]="Yes", 1,0)</f>
        <v>1</v>
      </c>
      <c r="U1529" t="str">
        <f>_xlfn.IFS(Table1[[#This Row],[Age]]&lt;=25, "Below 25", Table1[[#This Row],[Age]]&lt;=35, "Between 25-35", Table1[[#This Row],[Age]]&lt;=45, "Between 36-45", Table1[[#This Row],[Age]]&gt;45, "45+")</f>
        <v>Between 25-35</v>
      </c>
    </row>
    <row r="1530" spans="1:21" x14ac:dyDescent="0.3">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c r="T1530">
        <f>IF(Table1[[#This Row],[Discount_Applied]]="Yes", 1,0)</f>
        <v>1</v>
      </c>
      <c r="U1530" t="str">
        <f>_xlfn.IFS(Table1[[#This Row],[Age]]&lt;=25, "Below 25", Table1[[#This Row],[Age]]&lt;=35, "Between 25-35", Table1[[#This Row],[Age]]&lt;=45, "Between 36-45", Table1[[#This Row],[Age]]&gt;45, "45+")</f>
        <v>45+</v>
      </c>
    </row>
    <row r="1531" spans="1:21" x14ac:dyDescent="0.3">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c r="T1531">
        <f>IF(Table1[[#This Row],[Discount_Applied]]="Yes", 1,0)</f>
        <v>1</v>
      </c>
      <c r="U1531" t="str">
        <f>_xlfn.IFS(Table1[[#This Row],[Age]]&lt;=25, "Below 25", Table1[[#This Row],[Age]]&lt;=35, "Between 25-35", Table1[[#This Row],[Age]]&lt;=45, "Between 36-45", Table1[[#This Row],[Age]]&gt;45, "45+")</f>
        <v>Below 25</v>
      </c>
    </row>
    <row r="1532" spans="1:21" x14ac:dyDescent="0.3">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c r="T1532">
        <f>IF(Table1[[#This Row],[Discount_Applied]]="Yes", 1,0)</f>
        <v>1</v>
      </c>
      <c r="U1532" t="str">
        <f>_xlfn.IFS(Table1[[#This Row],[Age]]&lt;=25, "Below 25", Table1[[#This Row],[Age]]&lt;=35, "Between 25-35", Table1[[#This Row],[Age]]&lt;=45, "Between 36-45", Table1[[#This Row],[Age]]&gt;45, "45+")</f>
        <v>45+</v>
      </c>
    </row>
    <row r="1533" spans="1:21" x14ac:dyDescent="0.3">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c r="T1533">
        <f>IF(Table1[[#This Row],[Discount_Applied]]="Yes", 1,0)</f>
        <v>1</v>
      </c>
      <c r="U1533" t="str">
        <f>_xlfn.IFS(Table1[[#This Row],[Age]]&lt;=25, "Below 25", Table1[[#This Row],[Age]]&lt;=35, "Between 25-35", Table1[[#This Row],[Age]]&lt;=45, "Between 36-45", Table1[[#This Row],[Age]]&gt;45, "45+")</f>
        <v>45+</v>
      </c>
    </row>
    <row r="1534" spans="1:21" x14ac:dyDescent="0.3">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c r="T1534">
        <f>IF(Table1[[#This Row],[Discount_Applied]]="Yes", 1,0)</f>
        <v>1</v>
      </c>
      <c r="U1534" t="str">
        <f>_xlfn.IFS(Table1[[#This Row],[Age]]&lt;=25, "Below 25", Table1[[#This Row],[Age]]&lt;=35, "Between 25-35", Table1[[#This Row],[Age]]&lt;=45, "Between 36-45", Table1[[#This Row],[Age]]&gt;45, "45+")</f>
        <v>45+</v>
      </c>
    </row>
    <row r="1535" spans="1:21" x14ac:dyDescent="0.3">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c r="T1535">
        <f>IF(Table1[[#This Row],[Discount_Applied]]="Yes", 1,0)</f>
        <v>1</v>
      </c>
      <c r="U1535" t="str">
        <f>_xlfn.IFS(Table1[[#This Row],[Age]]&lt;=25, "Below 25", Table1[[#This Row],[Age]]&lt;=35, "Between 25-35", Table1[[#This Row],[Age]]&lt;=45, "Between 36-45", Table1[[#This Row],[Age]]&gt;45, "45+")</f>
        <v>45+</v>
      </c>
    </row>
    <row r="1536" spans="1:21" x14ac:dyDescent="0.3">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c r="T1536">
        <f>IF(Table1[[#This Row],[Discount_Applied]]="Yes", 1,0)</f>
        <v>1</v>
      </c>
      <c r="U1536" t="str">
        <f>_xlfn.IFS(Table1[[#This Row],[Age]]&lt;=25, "Below 25", Table1[[#This Row],[Age]]&lt;=35, "Between 25-35", Table1[[#This Row],[Age]]&lt;=45, "Between 36-45", Table1[[#This Row],[Age]]&gt;45, "45+")</f>
        <v>45+</v>
      </c>
    </row>
    <row r="1537" spans="1:21" x14ac:dyDescent="0.3">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c r="T1537">
        <f>IF(Table1[[#This Row],[Discount_Applied]]="Yes", 1,0)</f>
        <v>1</v>
      </c>
      <c r="U1537" t="str">
        <f>_xlfn.IFS(Table1[[#This Row],[Age]]&lt;=25, "Below 25", Table1[[#This Row],[Age]]&lt;=35, "Between 25-35", Table1[[#This Row],[Age]]&lt;=45, "Between 36-45", Table1[[#This Row],[Age]]&gt;45, "45+")</f>
        <v>Between 36-45</v>
      </c>
    </row>
    <row r="1538" spans="1:21" x14ac:dyDescent="0.3">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c r="T1538">
        <f>IF(Table1[[#This Row],[Discount_Applied]]="Yes", 1,0)</f>
        <v>1</v>
      </c>
      <c r="U1538" t="str">
        <f>_xlfn.IFS(Table1[[#This Row],[Age]]&lt;=25, "Below 25", Table1[[#This Row],[Age]]&lt;=35, "Between 25-35", Table1[[#This Row],[Age]]&lt;=45, "Between 36-45", Table1[[#This Row],[Age]]&gt;45, "45+")</f>
        <v>Below 25</v>
      </c>
    </row>
    <row r="1539" spans="1:21" x14ac:dyDescent="0.3">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c r="T1539">
        <f>IF(Table1[[#This Row],[Discount_Applied]]="Yes", 1,0)</f>
        <v>1</v>
      </c>
      <c r="U1539" t="str">
        <f>_xlfn.IFS(Table1[[#This Row],[Age]]&lt;=25, "Below 25", Table1[[#This Row],[Age]]&lt;=35, "Between 25-35", Table1[[#This Row],[Age]]&lt;=45, "Between 36-45", Table1[[#This Row],[Age]]&gt;45, "45+")</f>
        <v>45+</v>
      </c>
    </row>
    <row r="1540" spans="1:21" x14ac:dyDescent="0.3">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c r="T1540">
        <f>IF(Table1[[#This Row],[Discount_Applied]]="Yes", 1,0)</f>
        <v>1</v>
      </c>
      <c r="U1540" t="str">
        <f>_xlfn.IFS(Table1[[#This Row],[Age]]&lt;=25, "Below 25", Table1[[#This Row],[Age]]&lt;=35, "Between 25-35", Table1[[#This Row],[Age]]&lt;=45, "Between 36-45", Table1[[#This Row],[Age]]&gt;45, "45+")</f>
        <v>45+</v>
      </c>
    </row>
    <row r="1541" spans="1:21" x14ac:dyDescent="0.3">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c r="T1541">
        <f>IF(Table1[[#This Row],[Discount_Applied]]="Yes", 1,0)</f>
        <v>1</v>
      </c>
      <c r="U1541" t="str">
        <f>_xlfn.IFS(Table1[[#This Row],[Age]]&lt;=25, "Below 25", Table1[[#This Row],[Age]]&lt;=35, "Between 25-35", Table1[[#This Row],[Age]]&lt;=45, "Between 36-45", Table1[[#This Row],[Age]]&gt;45, "45+")</f>
        <v>Between 25-35</v>
      </c>
    </row>
    <row r="1542" spans="1:21" x14ac:dyDescent="0.3">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c r="T1542">
        <f>IF(Table1[[#This Row],[Discount_Applied]]="Yes", 1,0)</f>
        <v>1</v>
      </c>
      <c r="U1542" t="str">
        <f>_xlfn.IFS(Table1[[#This Row],[Age]]&lt;=25, "Below 25", Table1[[#This Row],[Age]]&lt;=35, "Between 25-35", Table1[[#This Row],[Age]]&lt;=45, "Between 36-45", Table1[[#This Row],[Age]]&gt;45, "45+")</f>
        <v>Between 25-35</v>
      </c>
    </row>
    <row r="1543" spans="1:21" x14ac:dyDescent="0.3">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c r="T1543">
        <f>IF(Table1[[#This Row],[Discount_Applied]]="Yes", 1,0)</f>
        <v>1</v>
      </c>
      <c r="U1543" t="str">
        <f>_xlfn.IFS(Table1[[#This Row],[Age]]&lt;=25, "Below 25", Table1[[#This Row],[Age]]&lt;=35, "Between 25-35", Table1[[#This Row],[Age]]&lt;=45, "Between 36-45", Table1[[#This Row],[Age]]&gt;45, "45+")</f>
        <v>Below 25</v>
      </c>
    </row>
    <row r="1544" spans="1:21" x14ac:dyDescent="0.3">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c r="T1544">
        <f>IF(Table1[[#This Row],[Discount_Applied]]="Yes", 1,0)</f>
        <v>1</v>
      </c>
      <c r="U1544" t="str">
        <f>_xlfn.IFS(Table1[[#This Row],[Age]]&lt;=25, "Below 25", Table1[[#This Row],[Age]]&lt;=35, "Between 25-35", Table1[[#This Row],[Age]]&lt;=45, "Between 36-45", Table1[[#This Row],[Age]]&gt;45, "45+")</f>
        <v>45+</v>
      </c>
    </row>
    <row r="1545" spans="1:21" x14ac:dyDescent="0.3">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c r="T1545">
        <f>IF(Table1[[#This Row],[Discount_Applied]]="Yes", 1,0)</f>
        <v>1</v>
      </c>
      <c r="U1545" t="str">
        <f>_xlfn.IFS(Table1[[#This Row],[Age]]&lt;=25, "Below 25", Table1[[#This Row],[Age]]&lt;=35, "Between 25-35", Table1[[#This Row],[Age]]&lt;=45, "Between 36-45", Table1[[#This Row],[Age]]&gt;45, "45+")</f>
        <v>45+</v>
      </c>
    </row>
    <row r="1546" spans="1:21" x14ac:dyDescent="0.3">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c r="T1546">
        <f>IF(Table1[[#This Row],[Discount_Applied]]="Yes", 1,0)</f>
        <v>1</v>
      </c>
      <c r="U1546" t="str">
        <f>_xlfn.IFS(Table1[[#This Row],[Age]]&lt;=25, "Below 25", Table1[[#This Row],[Age]]&lt;=35, "Between 25-35", Table1[[#This Row],[Age]]&lt;=45, "Between 36-45", Table1[[#This Row],[Age]]&gt;45, "45+")</f>
        <v>Between 25-35</v>
      </c>
    </row>
    <row r="1547" spans="1:21" x14ac:dyDescent="0.3">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c r="T1547">
        <f>IF(Table1[[#This Row],[Discount_Applied]]="Yes", 1,0)</f>
        <v>1</v>
      </c>
      <c r="U1547" t="str">
        <f>_xlfn.IFS(Table1[[#This Row],[Age]]&lt;=25, "Below 25", Table1[[#This Row],[Age]]&lt;=35, "Between 25-35", Table1[[#This Row],[Age]]&lt;=45, "Between 36-45", Table1[[#This Row],[Age]]&gt;45, "45+")</f>
        <v>45+</v>
      </c>
    </row>
    <row r="1548" spans="1:21" x14ac:dyDescent="0.3">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c r="T1548">
        <f>IF(Table1[[#This Row],[Discount_Applied]]="Yes", 1,0)</f>
        <v>1</v>
      </c>
      <c r="U1548" t="str">
        <f>_xlfn.IFS(Table1[[#This Row],[Age]]&lt;=25, "Below 25", Table1[[#This Row],[Age]]&lt;=35, "Between 25-35", Table1[[#This Row],[Age]]&lt;=45, "Between 36-45", Table1[[#This Row],[Age]]&gt;45, "45+")</f>
        <v>45+</v>
      </c>
    </row>
    <row r="1549" spans="1:21" x14ac:dyDescent="0.3">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c r="T1549">
        <f>IF(Table1[[#This Row],[Discount_Applied]]="Yes", 1,0)</f>
        <v>1</v>
      </c>
      <c r="U1549" t="str">
        <f>_xlfn.IFS(Table1[[#This Row],[Age]]&lt;=25, "Below 25", Table1[[#This Row],[Age]]&lt;=35, "Between 25-35", Table1[[#This Row],[Age]]&lt;=45, "Between 36-45", Table1[[#This Row],[Age]]&gt;45, "45+")</f>
        <v>45+</v>
      </c>
    </row>
    <row r="1550" spans="1:21" x14ac:dyDescent="0.3">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c r="T1550">
        <f>IF(Table1[[#This Row],[Discount_Applied]]="Yes", 1,0)</f>
        <v>1</v>
      </c>
      <c r="U1550" t="str">
        <f>_xlfn.IFS(Table1[[#This Row],[Age]]&lt;=25, "Below 25", Table1[[#This Row],[Age]]&lt;=35, "Between 25-35", Table1[[#This Row],[Age]]&lt;=45, "Between 36-45", Table1[[#This Row],[Age]]&gt;45, "45+")</f>
        <v>45+</v>
      </c>
    </row>
    <row r="1551" spans="1:21" x14ac:dyDescent="0.3">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c r="T1551">
        <f>IF(Table1[[#This Row],[Discount_Applied]]="Yes", 1,0)</f>
        <v>1</v>
      </c>
      <c r="U1551" t="str">
        <f>_xlfn.IFS(Table1[[#This Row],[Age]]&lt;=25, "Below 25", Table1[[#This Row],[Age]]&lt;=35, "Between 25-35", Table1[[#This Row],[Age]]&lt;=45, "Between 36-45", Table1[[#This Row],[Age]]&gt;45, "45+")</f>
        <v>Below 25</v>
      </c>
    </row>
    <row r="1552" spans="1:21" x14ac:dyDescent="0.3">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c r="T1552">
        <f>IF(Table1[[#This Row],[Discount_Applied]]="Yes", 1,0)</f>
        <v>1</v>
      </c>
      <c r="U1552" t="str">
        <f>_xlfn.IFS(Table1[[#This Row],[Age]]&lt;=25, "Below 25", Table1[[#This Row],[Age]]&lt;=35, "Between 25-35", Table1[[#This Row],[Age]]&lt;=45, "Between 36-45", Table1[[#This Row],[Age]]&gt;45, "45+")</f>
        <v>45+</v>
      </c>
    </row>
    <row r="1553" spans="1:21" x14ac:dyDescent="0.3">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c r="T1553">
        <f>IF(Table1[[#This Row],[Discount_Applied]]="Yes", 1,0)</f>
        <v>1</v>
      </c>
      <c r="U1553" t="str">
        <f>_xlfn.IFS(Table1[[#This Row],[Age]]&lt;=25, "Below 25", Table1[[#This Row],[Age]]&lt;=35, "Between 25-35", Table1[[#This Row],[Age]]&lt;=45, "Between 36-45", Table1[[#This Row],[Age]]&gt;45, "45+")</f>
        <v>45+</v>
      </c>
    </row>
    <row r="1554" spans="1:21" x14ac:dyDescent="0.3">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c r="T1554">
        <f>IF(Table1[[#This Row],[Discount_Applied]]="Yes", 1,0)</f>
        <v>1</v>
      </c>
      <c r="U1554" t="str">
        <f>_xlfn.IFS(Table1[[#This Row],[Age]]&lt;=25, "Below 25", Table1[[#This Row],[Age]]&lt;=35, "Between 25-35", Table1[[#This Row],[Age]]&lt;=45, "Between 36-45", Table1[[#This Row],[Age]]&gt;45, "45+")</f>
        <v>45+</v>
      </c>
    </row>
    <row r="1555" spans="1:21" x14ac:dyDescent="0.3">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c r="T1555">
        <f>IF(Table1[[#This Row],[Discount_Applied]]="Yes", 1,0)</f>
        <v>1</v>
      </c>
      <c r="U1555" t="str">
        <f>_xlfn.IFS(Table1[[#This Row],[Age]]&lt;=25, "Below 25", Table1[[#This Row],[Age]]&lt;=35, "Between 25-35", Table1[[#This Row],[Age]]&lt;=45, "Between 36-45", Table1[[#This Row],[Age]]&gt;45, "45+")</f>
        <v>Between 25-35</v>
      </c>
    </row>
    <row r="1556" spans="1:21" x14ac:dyDescent="0.3">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c r="T1556">
        <f>IF(Table1[[#This Row],[Discount_Applied]]="Yes", 1,0)</f>
        <v>1</v>
      </c>
      <c r="U1556" t="str">
        <f>_xlfn.IFS(Table1[[#This Row],[Age]]&lt;=25, "Below 25", Table1[[#This Row],[Age]]&lt;=35, "Between 25-35", Table1[[#This Row],[Age]]&lt;=45, "Between 36-45", Table1[[#This Row],[Age]]&gt;45, "45+")</f>
        <v>45+</v>
      </c>
    </row>
    <row r="1557" spans="1:21" x14ac:dyDescent="0.3">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c r="T1557">
        <f>IF(Table1[[#This Row],[Discount_Applied]]="Yes", 1,0)</f>
        <v>1</v>
      </c>
      <c r="U1557" t="str">
        <f>_xlfn.IFS(Table1[[#This Row],[Age]]&lt;=25, "Below 25", Table1[[#This Row],[Age]]&lt;=35, "Between 25-35", Table1[[#This Row],[Age]]&lt;=45, "Between 36-45", Table1[[#This Row],[Age]]&gt;45, "45+")</f>
        <v>Between 36-45</v>
      </c>
    </row>
    <row r="1558" spans="1:21" x14ac:dyDescent="0.3">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c r="T1558">
        <f>IF(Table1[[#This Row],[Discount_Applied]]="Yes", 1,0)</f>
        <v>1</v>
      </c>
      <c r="U1558" t="str">
        <f>_xlfn.IFS(Table1[[#This Row],[Age]]&lt;=25, "Below 25", Table1[[#This Row],[Age]]&lt;=35, "Between 25-35", Table1[[#This Row],[Age]]&lt;=45, "Between 36-45", Table1[[#This Row],[Age]]&gt;45, "45+")</f>
        <v>Between 36-45</v>
      </c>
    </row>
    <row r="1559" spans="1:21" x14ac:dyDescent="0.3">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c r="T1559">
        <f>IF(Table1[[#This Row],[Discount_Applied]]="Yes", 1,0)</f>
        <v>1</v>
      </c>
      <c r="U1559" t="str">
        <f>_xlfn.IFS(Table1[[#This Row],[Age]]&lt;=25, "Below 25", Table1[[#This Row],[Age]]&lt;=35, "Between 25-35", Table1[[#This Row],[Age]]&lt;=45, "Between 36-45", Table1[[#This Row],[Age]]&gt;45, "45+")</f>
        <v>Between 25-35</v>
      </c>
    </row>
    <row r="1560" spans="1:21" x14ac:dyDescent="0.3">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c r="T1560">
        <f>IF(Table1[[#This Row],[Discount_Applied]]="Yes", 1,0)</f>
        <v>1</v>
      </c>
      <c r="U1560" t="str">
        <f>_xlfn.IFS(Table1[[#This Row],[Age]]&lt;=25, "Below 25", Table1[[#This Row],[Age]]&lt;=35, "Between 25-35", Table1[[#This Row],[Age]]&lt;=45, "Between 36-45", Table1[[#This Row],[Age]]&gt;45, "45+")</f>
        <v>Between 25-35</v>
      </c>
    </row>
    <row r="1561" spans="1:21" x14ac:dyDescent="0.3">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c r="T1561">
        <f>IF(Table1[[#This Row],[Discount_Applied]]="Yes", 1,0)</f>
        <v>1</v>
      </c>
      <c r="U1561" t="str">
        <f>_xlfn.IFS(Table1[[#This Row],[Age]]&lt;=25, "Below 25", Table1[[#This Row],[Age]]&lt;=35, "Between 25-35", Table1[[#This Row],[Age]]&lt;=45, "Between 36-45", Table1[[#This Row],[Age]]&gt;45, "45+")</f>
        <v>Between 36-45</v>
      </c>
    </row>
    <row r="1562" spans="1:21" x14ac:dyDescent="0.3">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c r="T1562">
        <f>IF(Table1[[#This Row],[Discount_Applied]]="Yes", 1,0)</f>
        <v>1</v>
      </c>
      <c r="U1562" t="str">
        <f>_xlfn.IFS(Table1[[#This Row],[Age]]&lt;=25, "Below 25", Table1[[#This Row],[Age]]&lt;=35, "Between 25-35", Table1[[#This Row],[Age]]&lt;=45, "Between 36-45", Table1[[#This Row],[Age]]&gt;45, "45+")</f>
        <v>45+</v>
      </c>
    </row>
    <row r="1563" spans="1:21" x14ac:dyDescent="0.3">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c r="T1563">
        <f>IF(Table1[[#This Row],[Discount_Applied]]="Yes", 1,0)</f>
        <v>1</v>
      </c>
      <c r="U1563" t="str">
        <f>_xlfn.IFS(Table1[[#This Row],[Age]]&lt;=25, "Below 25", Table1[[#This Row],[Age]]&lt;=35, "Between 25-35", Table1[[#This Row],[Age]]&lt;=45, "Between 36-45", Table1[[#This Row],[Age]]&gt;45, "45+")</f>
        <v>45+</v>
      </c>
    </row>
    <row r="1564" spans="1:21" x14ac:dyDescent="0.3">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c r="T1564">
        <f>IF(Table1[[#This Row],[Discount_Applied]]="Yes", 1,0)</f>
        <v>1</v>
      </c>
      <c r="U1564" t="str">
        <f>_xlfn.IFS(Table1[[#This Row],[Age]]&lt;=25, "Below 25", Table1[[#This Row],[Age]]&lt;=35, "Between 25-35", Table1[[#This Row],[Age]]&lt;=45, "Between 36-45", Table1[[#This Row],[Age]]&gt;45, "45+")</f>
        <v>Between 36-45</v>
      </c>
    </row>
    <row r="1565" spans="1:21" x14ac:dyDescent="0.3">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c r="T1565">
        <f>IF(Table1[[#This Row],[Discount_Applied]]="Yes", 1,0)</f>
        <v>1</v>
      </c>
      <c r="U1565" t="str">
        <f>_xlfn.IFS(Table1[[#This Row],[Age]]&lt;=25, "Below 25", Table1[[#This Row],[Age]]&lt;=35, "Between 25-35", Table1[[#This Row],[Age]]&lt;=45, "Between 36-45", Table1[[#This Row],[Age]]&gt;45, "45+")</f>
        <v>45+</v>
      </c>
    </row>
    <row r="1566" spans="1:21" x14ac:dyDescent="0.3">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c r="T1566">
        <f>IF(Table1[[#This Row],[Discount_Applied]]="Yes", 1,0)</f>
        <v>1</v>
      </c>
      <c r="U1566" t="str">
        <f>_xlfn.IFS(Table1[[#This Row],[Age]]&lt;=25, "Below 25", Table1[[#This Row],[Age]]&lt;=35, "Between 25-35", Table1[[#This Row],[Age]]&lt;=45, "Between 36-45", Table1[[#This Row],[Age]]&gt;45, "45+")</f>
        <v>Below 25</v>
      </c>
    </row>
    <row r="1567" spans="1:21" x14ac:dyDescent="0.3">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c r="T1567">
        <f>IF(Table1[[#This Row],[Discount_Applied]]="Yes", 1,0)</f>
        <v>1</v>
      </c>
      <c r="U1567" t="str">
        <f>_xlfn.IFS(Table1[[#This Row],[Age]]&lt;=25, "Below 25", Table1[[#This Row],[Age]]&lt;=35, "Between 25-35", Table1[[#This Row],[Age]]&lt;=45, "Between 36-45", Table1[[#This Row],[Age]]&gt;45, "45+")</f>
        <v>45+</v>
      </c>
    </row>
    <row r="1568" spans="1:21" x14ac:dyDescent="0.3">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c r="T1568">
        <f>IF(Table1[[#This Row],[Discount_Applied]]="Yes", 1,0)</f>
        <v>1</v>
      </c>
      <c r="U1568" t="str">
        <f>_xlfn.IFS(Table1[[#This Row],[Age]]&lt;=25, "Below 25", Table1[[#This Row],[Age]]&lt;=35, "Between 25-35", Table1[[#This Row],[Age]]&lt;=45, "Between 36-45", Table1[[#This Row],[Age]]&gt;45, "45+")</f>
        <v>45+</v>
      </c>
    </row>
    <row r="1569" spans="1:21" x14ac:dyDescent="0.3">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c r="T1569">
        <f>IF(Table1[[#This Row],[Discount_Applied]]="Yes", 1,0)</f>
        <v>1</v>
      </c>
      <c r="U1569" t="str">
        <f>_xlfn.IFS(Table1[[#This Row],[Age]]&lt;=25, "Below 25", Table1[[#This Row],[Age]]&lt;=35, "Between 25-35", Table1[[#This Row],[Age]]&lt;=45, "Between 36-45", Table1[[#This Row],[Age]]&gt;45, "45+")</f>
        <v>Between 25-35</v>
      </c>
    </row>
    <row r="1570" spans="1:21" x14ac:dyDescent="0.3">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c r="T1570">
        <f>IF(Table1[[#This Row],[Discount_Applied]]="Yes", 1,0)</f>
        <v>1</v>
      </c>
      <c r="U1570" t="str">
        <f>_xlfn.IFS(Table1[[#This Row],[Age]]&lt;=25, "Below 25", Table1[[#This Row],[Age]]&lt;=35, "Between 25-35", Table1[[#This Row],[Age]]&lt;=45, "Between 36-45", Table1[[#This Row],[Age]]&gt;45, "45+")</f>
        <v>45+</v>
      </c>
    </row>
    <row r="1571" spans="1:21" x14ac:dyDescent="0.3">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c r="T1571">
        <f>IF(Table1[[#This Row],[Discount_Applied]]="Yes", 1,0)</f>
        <v>1</v>
      </c>
      <c r="U1571" t="str">
        <f>_xlfn.IFS(Table1[[#This Row],[Age]]&lt;=25, "Below 25", Table1[[#This Row],[Age]]&lt;=35, "Between 25-35", Table1[[#This Row],[Age]]&lt;=45, "Between 36-45", Table1[[#This Row],[Age]]&gt;45, "45+")</f>
        <v>Below 25</v>
      </c>
    </row>
    <row r="1572" spans="1:21" x14ac:dyDescent="0.3">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c r="T1572">
        <f>IF(Table1[[#This Row],[Discount_Applied]]="Yes", 1,0)</f>
        <v>1</v>
      </c>
      <c r="U1572" t="str">
        <f>_xlfn.IFS(Table1[[#This Row],[Age]]&lt;=25, "Below 25", Table1[[#This Row],[Age]]&lt;=35, "Between 25-35", Table1[[#This Row],[Age]]&lt;=45, "Between 36-45", Table1[[#This Row],[Age]]&gt;45, "45+")</f>
        <v>Between 25-35</v>
      </c>
    </row>
    <row r="1573" spans="1:21" x14ac:dyDescent="0.3">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c r="T1573">
        <f>IF(Table1[[#This Row],[Discount_Applied]]="Yes", 1,0)</f>
        <v>1</v>
      </c>
      <c r="U1573" t="str">
        <f>_xlfn.IFS(Table1[[#This Row],[Age]]&lt;=25, "Below 25", Table1[[#This Row],[Age]]&lt;=35, "Between 25-35", Table1[[#This Row],[Age]]&lt;=45, "Between 36-45", Table1[[#This Row],[Age]]&gt;45, "45+")</f>
        <v>Between 25-35</v>
      </c>
    </row>
    <row r="1574" spans="1:21" x14ac:dyDescent="0.3">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c r="T1574">
        <f>IF(Table1[[#This Row],[Discount_Applied]]="Yes", 1,0)</f>
        <v>1</v>
      </c>
      <c r="U1574" t="str">
        <f>_xlfn.IFS(Table1[[#This Row],[Age]]&lt;=25, "Below 25", Table1[[#This Row],[Age]]&lt;=35, "Between 25-35", Table1[[#This Row],[Age]]&lt;=45, "Between 36-45", Table1[[#This Row],[Age]]&gt;45, "45+")</f>
        <v>Between 36-45</v>
      </c>
    </row>
    <row r="1575" spans="1:21" x14ac:dyDescent="0.3">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c r="T1575">
        <f>IF(Table1[[#This Row],[Discount_Applied]]="Yes", 1,0)</f>
        <v>1</v>
      </c>
      <c r="U1575" t="str">
        <f>_xlfn.IFS(Table1[[#This Row],[Age]]&lt;=25, "Below 25", Table1[[#This Row],[Age]]&lt;=35, "Between 25-35", Table1[[#This Row],[Age]]&lt;=45, "Between 36-45", Table1[[#This Row],[Age]]&gt;45, "45+")</f>
        <v>Between 36-45</v>
      </c>
    </row>
    <row r="1576" spans="1:21" x14ac:dyDescent="0.3">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c r="T1576">
        <f>IF(Table1[[#This Row],[Discount_Applied]]="Yes", 1,0)</f>
        <v>1</v>
      </c>
      <c r="U1576" t="str">
        <f>_xlfn.IFS(Table1[[#This Row],[Age]]&lt;=25, "Below 25", Table1[[#This Row],[Age]]&lt;=35, "Between 25-35", Table1[[#This Row],[Age]]&lt;=45, "Between 36-45", Table1[[#This Row],[Age]]&gt;45, "45+")</f>
        <v>Below 25</v>
      </c>
    </row>
    <row r="1577" spans="1:21" x14ac:dyDescent="0.3">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c r="T1577">
        <f>IF(Table1[[#This Row],[Discount_Applied]]="Yes", 1,0)</f>
        <v>1</v>
      </c>
      <c r="U1577" t="str">
        <f>_xlfn.IFS(Table1[[#This Row],[Age]]&lt;=25, "Below 25", Table1[[#This Row],[Age]]&lt;=35, "Between 25-35", Table1[[#This Row],[Age]]&lt;=45, "Between 36-45", Table1[[#This Row],[Age]]&gt;45, "45+")</f>
        <v>45+</v>
      </c>
    </row>
    <row r="1578" spans="1:21" x14ac:dyDescent="0.3">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c r="T1578">
        <f>IF(Table1[[#This Row],[Discount_Applied]]="Yes", 1,0)</f>
        <v>1</v>
      </c>
      <c r="U1578" t="str">
        <f>_xlfn.IFS(Table1[[#This Row],[Age]]&lt;=25, "Below 25", Table1[[#This Row],[Age]]&lt;=35, "Between 25-35", Table1[[#This Row],[Age]]&lt;=45, "Between 36-45", Table1[[#This Row],[Age]]&gt;45, "45+")</f>
        <v>45+</v>
      </c>
    </row>
    <row r="1579" spans="1:21" x14ac:dyDescent="0.3">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c r="T1579">
        <f>IF(Table1[[#This Row],[Discount_Applied]]="Yes", 1,0)</f>
        <v>1</v>
      </c>
      <c r="U1579" t="str">
        <f>_xlfn.IFS(Table1[[#This Row],[Age]]&lt;=25, "Below 25", Table1[[#This Row],[Age]]&lt;=35, "Between 25-35", Table1[[#This Row],[Age]]&lt;=45, "Between 36-45", Table1[[#This Row],[Age]]&gt;45, "45+")</f>
        <v>45+</v>
      </c>
    </row>
    <row r="1580" spans="1:21" x14ac:dyDescent="0.3">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c r="T1580">
        <f>IF(Table1[[#This Row],[Discount_Applied]]="Yes", 1,0)</f>
        <v>1</v>
      </c>
      <c r="U1580" t="str">
        <f>_xlfn.IFS(Table1[[#This Row],[Age]]&lt;=25, "Below 25", Table1[[#This Row],[Age]]&lt;=35, "Between 25-35", Table1[[#This Row],[Age]]&lt;=45, "Between 36-45", Table1[[#This Row],[Age]]&gt;45, "45+")</f>
        <v>45+</v>
      </c>
    </row>
    <row r="1581" spans="1:21" x14ac:dyDescent="0.3">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c r="T1581">
        <f>IF(Table1[[#This Row],[Discount_Applied]]="Yes", 1,0)</f>
        <v>1</v>
      </c>
      <c r="U1581" t="str">
        <f>_xlfn.IFS(Table1[[#This Row],[Age]]&lt;=25, "Below 25", Table1[[#This Row],[Age]]&lt;=35, "Between 25-35", Table1[[#This Row],[Age]]&lt;=45, "Between 36-45", Table1[[#This Row],[Age]]&gt;45, "45+")</f>
        <v>Between 25-35</v>
      </c>
    </row>
    <row r="1582" spans="1:21" x14ac:dyDescent="0.3">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c r="T1582">
        <f>IF(Table1[[#This Row],[Discount_Applied]]="Yes", 1,0)</f>
        <v>1</v>
      </c>
      <c r="U1582" t="str">
        <f>_xlfn.IFS(Table1[[#This Row],[Age]]&lt;=25, "Below 25", Table1[[#This Row],[Age]]&lt;=35, "Between 25-35", Table1[[#This Row],[Age]]&lt;=45, "Between 36-45", Table1[[#This Row],[Age]]&gt;45, "45+")</f>
        <v>45+</v>
      </c>
    </row>
    <row r="1583" spans="1:21" x14ac:dyDescent="0.3">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c r="T1583">
        <f>IF(Table1[[#This Row],[Discount_Applied]]="Yes", 1,0)</f>
        <v>1</v>
      </c>
      <c r="U1583" t="str">
        <f>_xlfn.IFS(Table1[[#This Row],[Age]]&lt;=25, "Below 25", Table1[[#This Row],[Age]]&lt;=35, "Between 25-35", Table1[[#This Row],[Age]]&lt;=45, "Between 36-45", Table1[[#This Row],[Age]]&gt;45, "45+")</f>
        <v>45+</v>
      </c>
    </row>
    <row r="1584" spans="1:21" x14ac:dyDescent="0.3">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c r="T1584">
        <f>IF(Table1[[#This Row],[Discount_Applied]]="Yes", 1,0)</f>
        <v>1</v>
      </c>
      <c r="U1584" t="str">
        <f>_xlfn.IFS(Table1[[#This Row],[Age]]&lt;=25, "Below 25", Table1[[#This Row],[Age]]&lt;=35, "Between 25-35", Table1[[#This Row],[Age]]&lt;=45, "Between 36-45", Table1[[#This Row],[Age]]&gt;45, "45+")</f>
        <v>Between 25-35</v>
      </c>
    </row>
    <row r="1585" spans="1:21" x14ac:dyDescent="0.3">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c r="T1585">
        <f>IF(Table1[[#This Row],[Discount_Applied]]="Yes", 1,0)</f>
        <v>1</v>
      </c>
      <c r="U1585" t="str">
        <f>_xlfn.IFS(Table1[[#This Row],[Age]]&lt;=25, "Below 25", Table1[[#This Row],[Age]]&lt;=35, "Between 25-35", Table1[[#This Row],[Age]]&lt;=45, "Between 36-45", Table1[[#This Row],[Age]]&gt;45, "45+")</f>
        <v>Between 36-45</v>
      </c>
    </row>
    <row r="1586" spans="1:21" x14ac:dyDescent="0.3">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c r="T1586">
        <f>IF(Table1[[#This Row],[Discount_Applied]]="Yes", 1,0)</f>
        <v>1</v>
      </c>
      <c r="U1586" t="str">
        <f>_xlfn.IFS(Table1[[#This Row],[Age]]&lt;=25, "Below 25", Table1[[#This Row],[Age]]&lt;=35, "Between 25-35", Table1[[#This Row],[Age]]&lt;=45, "Between 36-45", Table1[[#This Row],[Age]]&gt;45, "45+")</f>
        <v>Between 36-45</v>
      </c>
    </row>
    <row r="1587" spans="1:21" x14ac:dyDescent="0.3">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c r="T1587">
        <f>IF(Table1[[#This Row],[Discount_Applied]]="Yes", 1,0)</f>
        <v>1</v>
      </c>
      <c r="U1587" t="str">
        <f>_xlfn.IFS(Table1[[#This Row],[Age]]&lt;=25, "Below 25", Table1[[#This Row],[Age]]&lt;=35, "Between 25-35", Table1[[#This Row],[Age]]&lt;=45, "Between 36-45", Table1[[#This Row],[Age]]&gt;45, "45+")</f>
        <v>Between 36-45</v>
      </c>
    </row>
    <row r="1588" spans="1:21" x14ac:dyDescent="0.3">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c r="T1588">
        <f>IF(Table1[[#This Row],[Discount_Applied]]="Yes", 1,0)</f>
        <v>1</v>
      </c>
      <c r="U1588" t="str">
        <f>_xlfn.IFS(Table1[[#This Row],[Age]]&lt;=25, "Below 25", Table1[[#This Row],[Age]]&lt;=35, "Between 25-35", Table1[[#This Row],[Age]]&lt;=45, "Between 36-45", Table1[[#This Row],[Age]]&gt;45, "45+")</f>
        <v>Below 25</v>
      </c>
    </row>
    <row r="1589" spans="1:21" x14ac:dyDescent="0.3">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c r="T1589">
        <f>IF(Table1[[#This Row],[Discount_Applied]]="Yes", 1,0)</f>
        <v>1</v>
      </c>
      <c r="U1589" t="str">
        <f>_xlfn.IFS(Table1[[#This Row],[Age]]&lt;=25, "Below 25", Table1[[#This Row],[Age]]&lt;=35, "Between 25-35", Table1[[#This Row],[Age]]&lt;=45, "Between 36-45", Table1[[#This Row],[Age]]&gt;45, "45+")</f>
        <v>Between 36-45</v>
      </c>
    </row>
    <row r="1590" spans="1:21" x14ac:dyDescent="0.3">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c r="T1590">
        <f>IF(Table1[[#This Row],[Discount_Applied]]="Yes", 1,0)</f>
        <v>1</v>
      </c>
      <c r="U1590" t="str">
        <f>_xlfn.IFS(Table1[[#This Row],[Age]]&lt;=25, "Below 25", Table1[[#This Row],[Age]]&lt;=35, "Between 25-35", Table1[[#This Row],[Age]]&lt;=45, "Between 36-45", Table1[[#This Row],[Age]]&gt;45, "45+")</f>
        <v>45+</v>
      </c>
    </row>
    <row r="1591" spans="1:21" x14ac:dyDescent="0.3">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c r="T1591">
        <f>IF(Table1[[#This Row],[Discount_Applied]]="Yes", 1,0)</f>
        <v>1</v>
      </c>
      <c r="U1591" t="str">
        <f>_xlfn.IFS(Table1[[#This Row],[Age]]&lt;=25, "Below 25", Table1[[#This Row],[Age]]&lt;=35, "Between 25-35", Table1[[#This Row],[Age]]&lt;=45, "Between 36-45", Table1[[#This Row],[Age]]&gt;45, "45+")</f>
        <v>Between 36-45</v>
      </c>
    </row>
    <row r="1592" spans="1:21" x14ac:dyDescent="0.3">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c r="T1592">
        <f>IF(Table1[[#This Row],[Discount_Applied]]="Yes", 1,0)</f>
        <v>1</v>
      </c>
      <c r="U1592" t="str">
        <f>_xlfn.IFS(Table1[[#This Row],[Age]]&lt;=25, "Below 25", Table1[[#This Row],[Age]]&lt;=35, "Between 25-35", Table1[[#This Row],[Age]]&lt;=45, "Between 36-45", Table1[[#This Row],[Age]]&gt;45, "45+")</f>
        <v>45+</v>
      </c>
    </row>
    <row r="1593" spans="1:21" x14ac:dyDescent="0.3">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c r="T1593">
        <f>IF(Table1[[#This Row],[Discount_Applied]]="Yes", 1,0)</f>
        <v>1</v>
      </c>
      <c r="U1593" t="str">
        <f>_xlfn.IFS(Table1[[#This Row],[Age]]&lt;=25, "Below 25", Table1[[#This Row],[Age]]&lt;=35, "Between 25-35", Table1[[#This Row],[Age]]&lt;=45, "Between 36-45", Table1[[#This Row],[Age]]&gt;45, "45+")</f>
        <v>Below 25</v>
      </c>
    </row>
    <row r="1594" spans="1:21" x14ac:dyDescent="0.3">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c r="T1594">
        <f>IF(Table1[[#This Row],[Discount_Applied]]="Yes", 1,0)</f>
        <v>1</v>
      </c>
      <c r="U1594" t="str">
        <f>_xlfn.IFS(Table1[[#This Row],[Age]]&lt;=25, "Below 25", Table1[[#This Row],[Age]]&lt;=35, "Between 25-35", Table1[[#This Row],[Age]]&lt;=45, "Between 36-45", Table1[[#This Row],[Age]]&gt;45, "45+")</f>
        <v>45+</v>
      </c>
    </row>
    <row r="1595" spans="1:21" x14ac:dyDescent="0.3">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c r="T1595">
        <f>IF(Table1[[#This Row],[Discount_Applied]]="Yes", 1,0)</f>
        <v>1</v>
      </c>
      <c r="U1595" t="str">
        <f>_xlfn.IFS(Table1[[#This Row],[Age]]&lt;=25, "Below 25", Table1[[#This Row],[Age]]&lt;=35, "Between 25-35", Table1[[#This Row],[Age]]&lt;=45, "Between 36-45", Table1[[#This Row],[Age]]&gt;45, "45+")</f>
        <v>45+</v>
      </c>
    </row>
    <row r="1596" spans="1:21" x14ac:dyDescent="0.3">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c r="T1596">
        <f>IF(Table1[[#This Row],[Discount_Applied]]="Yes", 1,0)</f>
        <v>1</v>
      </c>
      <c r="U1596" t="str">
        <f>_xlfn.IFS(Table1[[#This Row],[Age]]&lt;=25, "Below 25", Table1[[#This Row],[Age]]&lt;=35, "Between 25-35", Table1[[#This Row],[Age]]&lt;=45, "Between 36-45", Table1[[#This Row],[Age]]&gt;45, "45+")</f>
        <v>Between 36-45</v>
      </c>
    </row>
    <row r="1597" spans="1:21" x14ac:dyDescent="0.3">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c r="T1597">
        <f>IF(Table1[[#This Row],[Discount_Applied]]="Yes", 1,0)</f>
        <v>1</v>
      </c>
      <c r="U1597" t="str">
        <f>_xlfn.IFS(Table1[[#This Row],[Age]]&lt;=25, "Below 25", Table1[[#This Row],[Age]]&lt;=35, "Between 25-35", Table1[[#This Row],[Age]]&lt;=45, "Between 36-45", Table1[[#This Row],[Age]]&gt;45, "45+")</f>
        <v>Between 25-35</v>
      </c>
    </row>
    <row r="1598" spans="1:21" x14ac:dyDescent="0.3">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c r="T1598">
        <f>IF(Table1[[#This Row],[Discount_Applied]]="Yes", 1,0)</f>
        <v>1</v>
      </c>
      <c r="U1598" t="str">
        <f>_xlfn.IFS(Table1[[#This Row],[Age]]&lt;=25, "Below 25", Table1[[#This Row],[Age]]&lt;=35, "Between 25-35", Table1[[#This Row],[Age]]&lt;=45, "Between 36-45", Table1[[#This Row],[Age]]&gt;45, "45+")</f>
        <v>Between 36-45</v>
      </c>
    </row>
    <row r="1599" spans="1:21" x14ac:dyDescent="0.3">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c r="T1599">
        <f>IF(Table1[[#This Row],[Discount_Applied]]="Yes", 1,0)</f>
        <v>1</v>
      </c>
      <c r="U1599" t="str">
        <f>_xlfn.IFS(Table1[[#This Row],[Age]]&lt;=25, "Below 25", Table1[[#This Row],[Age]]&lt;=35, "Between 25-35", Table1[[#This Row],[Age]]&lt;=45, "Between 36-45", Table1[[#This Row],[Age]]&gt;45, "45+")</f>
        <v>Between 36-45</v>
      </c>
    </row>
    <row r="1600" spans="1:21" x14ac:dyDescent="0.3">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c r="T1600">
        <f>IF(Table1[[#This Row],[Discount_Applied]]="Yes", 1,0)</f>
        <v>1</v>
      </c>
      <c r="U1600" t="str">
        <f>_xlfn.IFS(Table1[[#This Row],[Age]]&lt;=25, "Below 25", Table1[[#This Row],[Age]]&lt;=35, "Between 25-35", Table1[[#This Row],[Age]]&lt;=45, "Between 36-45", Table1[[#This Row],[Age]]&gt;45, "45+")</f>
        <v>45+</v>
      </c>
    </row>
    <row r="1601" spans="1:21" x14ac:dyDescent="0.3">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c r="T1601">
        <f>IF(Table1[[#This Row],[Discount_Applied]]="Yes", 1,0)</f>
        <v>1</v>
      </c>
      <c r="U1601" t="str">
        <f>_xlfn.IFS(Table1[[#This Row],[Age]]&lt;=25, "Below 25", Table1[[#This Row],[Age]]&lt;=35, "Between 25-35", Table1[[#This Row],[Age]]&lt;=45, "Between 36-45", Table1[[#This Row],[Age]]&gt;45, "45+")</f>
        <v>45+</v>
      </c>
    </row>
    <row r="1602" spans="1:21" x14ac:dyDescent="0.3">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c r="T1602">
        <f>IF(Table1[[#This Row],[Discount_Applied]]="Yes", 1,0)</f>
        <v>1</v>
      </c>
      <c r="U1602" t="str">
        <f>_xlfn.IFS(Table1[[#This Row],[Age]]&lt;=25, "Below 25", Table1[[#This Row],[Age]]&lt;=35, "Between 25-35", Table1[[#This Row],[Age]]&lt;=45, "Between 36-45", Table1[[#This Row],[Age]]&gt;45, "45+")</f>
        <v>Below 25</v>
      </c>
    </row>
    <row r="1603" spans="1:21" x14ac:dyDescent="0.3">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c r="T1603">
        <f>IF(Table1[[#This Row],[Discount_Applied]]="Yes", 1,0)</f>
        <v>1</v>
      </c>
      <c r="U1603" t="str">
        <f>_xlfn.IFS(Table1[[#This Row],[Age]]&lt;=25, "Below 25", Table1[[#This Row],[Age]]&lt;=35, "Between 25-35", Table1[[#This Row],[Age]]&lt;=45, "Between 36-45", Table1[[#This Row],[Age]]&gt;45, "45+")</f>
        <v>45+</v>
      </c>
    </row>
    <row r="1604" spans="1:21" x14ac:dyDescent="0.3">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c r="T1604">
        <f>IF(Table1[[#This Row],[Discount_Applied]]="Yes", 1,0)</f>
        <v>1</v>
      </c>
      <c r="U1604" t="str">
        <f>_xlfn.IFS(Table1[[#This Row],[Age]]&lt;=25, "Below 25", Table1[[#This Row],[Age]]&lt;=35, "Between 25-35", Table1[[#This Row],[Age]]&lt;=45, "Between 36-45", Table1[[#This Row],[Age]]&gt;45, "45+")</f>
        <v>45+</v>
      </c>
    </row>
    <row r="1605" spans="1:21" x14ac:dyDescent="0.3">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c r="T1605">
        <f>IF(Table1[[#This Row],[Discount_Applied]]="Yes", 1,0)</f>
        <v>1</v>
      </c>
      <c r="U1605" t="str">
        <f>_xlfn.IFS(Table1[[#This Row],[Age]]&lt;=25, "Below 25", Table1[[#This Row],[Age]]&lt;=35, "Between 25-35", Table1[[#This Row],[Age]]&lt;=45, "Between 36-45", Table1[[#This Row],[Age]]&gt;45, "45+")</f>
        <v>Below 25</v>
      </c>
    </row>
    <row r="1606" spans="1:21" x14ac:dyDescent="0.3">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c r="T1606">
        <f>IF(Table1[[#This Row],[Discount_Applied]]="Yes", 1,0)</f>
        <v>1</v>
      </c>
      <c r="U1606" t="str">
        <f>_xlfn.IFS(Table1[[#This Row],[Age]]&lt;=25, "Below 25", Table1[[#This Row],[Age]]&lt;=35, "Between 25-35", Table1[[#This Row],[Age]]&lt;=45, "Between 36-45", Table1[[#This Row],[Age]]&gt;45, "45+")</f>
        <v>Below 25</v>
      </c>
    </row>
    <row r="1607" spans="1:21" x14ac:dyDescent="0.3">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c r="T1607">
        <f>IF(Table1[[#This Row],[Discount_Applied]]="Yes", 1,0)</f>
        <v>1</v>
      </c>
      <c r="U1607" t="str">
        <f>_xlfn.IFS(Table1[[#This Row],[Age]]&lt;=25, "Below 25", Table1[[#This Row],[Age]]&lt;=35, "Between 25-35", Table1[[#This Row],[Age]]&lt;=45, "Between 36-45", Table1[[#This Row],[Age]]&gt;45, "45+")</f>
        <v>45+</v>
      </c>
    </row>
    <row r="1608" spans="1:21" x14ac:dyDescent="0.3">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c r="T1608">
        <f>IF(Table1[[#This Row],[Discount_Applied]]="Yes", 1,0)</f>
        <v>1</v>
      </c>
      <c r="U1608" t="str">
        <f>_xlfn.IFS(Table1[[#This Row],[Age]]&lt;=25, "Below 25", Table1[[#This Row],[Age]]&lt;=35, "Between 25-35", Table1[[#This Row],[Age]]&lt;=45, "Between 36-45", Table1[[#This Row],[Age]]&gt;45, "45+")</f>
        <v>45+</v>
      </c>
    </row>
    <row r="1609" spans="1:21" x14ac:dyDescent="0.3">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c r="T1609">
        <f>IF(Table1[[#This Row],[Discount_Applied]]="Yes", 1,0)</f>
        <v>1</v>
      </c>
      <c r="U1609" t="str">
        <f>_xlfn.IFS(Table1[[#This Row],[Age]]&lt;=25, "Below 25", Table1[[#This Row],[Age]]&lt;=35, "Between 25-35", Table1[[#This Row],[Age]]&lt;=45, "Between 36-45", Table1[[#This Row],[Age]]&gt;45, "45+")</f>
        <v>45+</v>
      </c>
    </row>
    <row r="1610" spans="1:21" x14ac:dyDescent="0.3">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c r="T1610">
        <f>IF(Table1[[#This Row],[Discount_Applied]]="Yes", 1,0)</f>
        <v>1</v>
      </c>
      <c r="U1610" t="str">
        <f>_xlfn.IFS(Table1[[#This Row],[Age]]&lt;=25, "Below 25", Table1[[#This Row],[Age]]&lt;=35, "Between 25-35", Table1[[#This Row],[Age]]&lt;=45, "Between 36-45", Table1[[#This Row],[Age]]&gt;45, "45+")</f>
        <v>Between 25-35</v>
      </c>
    </row>
    <row r="1611" spans="1:21" x14ac:dyDescent="0.3">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c r="T1611">
        <f>IF(Table1[[#This Row],[Discount_Applied]]="Yes", 1,0)</f>
        <v>1</v>
      </c>
      <c r="U1611" t="str">
        <f>_xlfn.IFS(Table1[[#This Row],[Age]]&lt;=25, "Below 25", Table1[[#This Row],[Age]]&lt;=35, "Between 25-35", Table1[[#This Row],[Age]]&lt;=45, "Between 36-45", Table1[[#This Row],[Age]]&gt;45, "45+")</f>
        <v>Between 25-35</v>
      </c>
    </row>
    <row r="1612" spans="1:21" x14ac:dyDescent="0.3">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c r="T1612">
        <f>IF(Table1[[#This Row],[Discount_Applied]]="Yes", 1,0)</f>
        <v>1</v>
      </c>
      <c r="U1612" t="str">
        <f>_xlfn.IFS(Table1[[#This Row],[Age]]&lt;=25, "Below 25", Table1[[#This Row],[Age]]&lt;=35, "Between 25-35", Table1[[#This Row],[Age]]&lt;=45, "Between 36-45", Table1[[#This Row],[Age]]&gt;45, "45+")</f>
        <v>Below 25</v>
      </c>
    </row>
    <row r="1613" spans="1:21" x14ac:dyDescent="0.3">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c r="T1613">
        <f>IF(Table1[[#This Row],[Discount_Applied]]="Yes", 1,0)</f>
        <v>1</v>
      </c>
      <c r="U1613" t="str">
        <f>_xlfn.IFS(Table1[[#This Row],[Age]]&lt;=25, "Below 25", Table1[[#This Row],[Age]]&lt;=35, "Between 25-35", Table1[[#This Row],[Age]]&lt;=45, "Between 36-45", Table1[[#This Row],[Age]]&gt;45, "45+")</f>
        <v>Between 36-45</v>
      </c>
    </row>
    <row r="1614" spans="1:21" x14ac:dyDescent="0.3">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c r="T1614">
        <f>IF(Table1[[#This Row],[Discount_Applied]]="Yes", 1,0)</f>
        <v>1</v>
      </c>
      <c r="U1614" t="str">
        <f>_xlfn.IFS(Table1[[#This Row],[Age]]&lt;=25, "Below 25", Table1[[#This Row],[Age]]&lt;=35, "Between 25-35", Table1[[#This Row],[Age]]&lt;=45, "Between 36-45", Table1[[#This Row],[Age]]&gt;45, "45+")</f>
        <v>Below 25</v>
      </c>
    </row>
    <row r="1615" spans="1:21" x14ac:dyDescent="0.3">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c r="T1615">
        <f>IF(Table1[[#This Row],[Discount_Applied]]="Yes", 1,0)</f>
        <v>1</v>
      </c>
      <c r="U1615" t="str">
        <f>_xlfn.IFS(Table1[[#This Row],[Age]]&lt;=25, "Below 25", Table1[[#This Row],[Age]]&lt;=35, "Between 25-35", Table1[[#This Row],[Age]]&lt;=45, "Between 36-45", Table1[[#This Row],[Age]]&gt;45, "45+")</f>
        <v>Between 25-35</v>
      </c>
    </row>
    <row r="1616" spans="1:21" x14ac:dyDescent="0.3">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c r="T1616">
        <f>IF(Table1[[#This Row],[Discount_Applied]]="Yes", 1,0)</f>
        <v>1</v>
      </c>
      <c r="U1616" t="str">
        <f>_xlfn.IFS(Table1[[#This Row],[Age]]&lt;=25, "Below 25", Table1[[#This Row],[Age]]&lt;=35, "Between 25-35", Table1[[#This Row],[Age]]&lt;=45, "Between 36-45", Table1[[#This Row],[Age]]&gt;45, "45+")</f>
        <v>Between 25-35</v>
      </c>
    </row>
    <row r="1617" spans="1:21" x14ac:dyDescent="0.3">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c r="T1617">
        <f>IF(Table1[[#This Row],[Discount_Applied]]="Yes", 1,0)</f>
        <v>1</v>
      </c>
      <c r="U1617" t="str">
        <f>_xlfn.IFS(Table1[[#This Row],[Age]]&lt;=25, "Below 25", Table1[[#This Row],[Age]]&lt;=35, "Between 25-35", Table1[[#This Row],[Age]]&lt;=45, "Between 36-45", Table1[[#This Row],[Age]]&gt;45, "45+")</f>
        <v>45+</v>
      </c>
    </row>
    <row r="1618" spans="1:21" x14ac:dyDescent="0.3">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c r="T1618">
        <f>IF(Table1[[#This Row],[Discount_Applied]]="Yes", 1,0)</f>
        <v>1</v>
      </c>
      <c r="U1618" t="str">
        <f>_xlfn.IFS(Table1[[#This Row],[Age]]&lt;=25, "Below 25", Table1[[#This Row],[Age]]&lt;=35, "Between 25-35", Table1[[#This Row],[Age]]&lt;=45, "Between 36-45", Table1[[#This Row],[Age]]&gt;45, "45+")</f>
        <v>Between 25-35</v>
      </c>
    </row>
    <row r="1619" spans="1:21" x14ac:dyDescent="0.3">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c r="T1619">
        <f>IF(Table1[[#This Row],[Discount_Applied]]="Yes", 1,0)</f>
        <v>1</v>
      </c>
      <c r="U1619" t="str">
        <f>_xlfn.IFS(Table1[[#This Row],[Age]]&lt;=25, "Below 25", Table1[[#This Row],[Age]]&lt;=35, "Between 25-35", Table1[[#This Row],[Age]]&lt;=45, "Between 36-45", Table1[[#This Row],[Age]]&gt;45, "45+")</f>
        <v>Between 36-45</v>
      </c>
    </row>
    <row r="1620" spans="1:21" x14ac:dyDescent="0.3">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c r="T1620">
        <f>IF(Table1[[#This Row],[Discount_Applied]]="Yes", 1,0)</f>
        <v>1</v>
      </c>
      <c r="U1620" t="str">
        <f>_xlfn.IFS(Table1[[#This Row],[Age]]&lt;=25, "Below 25", Table1[[#This Row],[Age]]&lt;=35, "Between 25-35", Table1[[#This Row],[Age]]&lt;=45, "Between 36-45", Table1[[#This Row],[Age]]&gt;45, "45+")</f>
        <v>45+</v>
      </c>
    </row>
    <row r="1621" spans="1:21" x14ac:dyDescent="0.3">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c r="T1621">
        <f>IF(Table1[[#This Row],[Discount_Applied]]="Yes", 1,0)</f>
        <v>1</v>
      </c>
      <c r="U1621" t="str">
        <f>_xlfn.IFS(Table1[[#This Row],[Age]]&lt;=25, "Below 25", Table1[[#This Row],[Age]]&lt;=35, "Between 25-35", Table1[[#This Row],[Age]]&lt;=45, "Between 36-45", Table1[[#This Row],[Age]]&gt;45, "45+")</f>
        <v>45+</v>
      </c>
    </row>
    <row r="1622" spans="1:21" x14ac:dyDescent="0.3">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c r="T1622">
        <f>IF(Table1[[#This Row],[Discount_Applied]]="Yes", 1,0)</f>
        <v>1</v>
      </c>
      <c r="U1622" t="str">
        <f>_xlfn.IFS(Table1[[#This Row],[Age]]&lt;=25, "Below 25", Table1[[#This Row],[Age]]&lt;=35, "Between 25-35", Table1[[#This Row],[Age]]&lt;=45, "Between 36-45", Table1[[#This Row],[Age]]&gt;45, "45+")</f>
        <v>Below 25</v>
      </c>
    </row>
    <row r="1623" spans="1:21" x14ac:dyDescent="0.3">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c r="T1623">
        <f>IF(Table1[[#This Row],[Discount_Applied]]="Yes", 1,0)</f>
        <v>1</v>
      </c>
      <c r="U1623" t="str">
        <f>_xlfn.IFS(Table1[[#This Row],[Age]]&lt;=25, "Below 25", Table1[[#This Row],[Age]]&lt;=35, "Between 25-35", Table1[[#This Row],[Age]]&lt;=45, "Between 36-45", Table1[[#This Row],[Age]]&gt;45, "45+")</f>
        <v>45+</v>
      </c>
    </row>
    <row r="1624" spans="1:21" x14ac:dyDescent="0.3">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c r="T1624">
        <f>IF(Table1[[#This Row],[Discount_Applied]]="Yes", 1,0)</f>
        <v>1</v>
      </c>
      <c r="U1624" t="str">
        <f>_xlfn.IFS(Table1[[#This Row],[Age]]&lt;=25, "Below 25", Table1[[#This Row],[Age]]&lt;=35, "Between 25-35", Table1[[#This Row],[Age]]&lt;=45, "Between 36-45", Table1[[#This Row],[Age]]&gt;45, "45+")</f>
        <v>Between 25-35</v>
      </c>
    </row>
    <row r="1625" spans="1:21" x14ac:dyDescent="0.3">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c r="T1625">
        <f>IF(Table1[[#This Row],[Discount_Applied]]="Yes", 1,0)</f>
        <v>1</v>
      </c>
      <c r="U1625" t="str">
        <f>_xlfn.IFS(Table1[[#This Row],[Age]]&lt;=25, "Below 25", Table1[[#This Row],[Age]]&lt;=35, "Between 25-35", Table1[[#This Row],[Age]]&lt;=45, "Between 36-45", Table1[[#This Row],[Age]]&gt;45, "45+")</f>
        <v>45+</v>
      </c>
    </row>
    <row r="1626" spans="1:21" x14ac:dyDescent="0.3">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c r="T1626">
        <f>IF(Table1[[#This Row],[Discount_Applied]]="Yes", 1,0)</f>
        <v>1</v>
      </c>
      <c r="U1626" t="str">
        <f>_xlfn.IFS(Table1[[#This Row],[Age]]&lt;=25, "Below 25", Table1[[#This Row],[Age]]&lt;=35, "Between 25-35", Table1[[#This Row],[Age]]&lt;=45, "Between 36-45", Table1[[#This Row],[Age]]&gt;45, "45+")</f>
        <v>Between 36-45</v>
      </c>
    </row>
    <row r="1627" spans="1:21" x14ac:dyDescent="0.3">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c r="T1627">
        <f>IF(Table1[[#This Row],[Discount_Applied]]="Yes", 1,0)</f>
        <v>1</v>
      </c>
      <c r="U1627" t="str">
        <f>_xlfn.IFS(Table1[[#This Row],[Age]]&lt;=25, "Below 25", Table1[[#This Row],[Age]]&lt;=35, "Between 25-35", Table1[[#This Row],[Age]]&lt;=45, "Between 36-45", Table1[[#This Row],[Age]]&gt;45, "45+")</f>
        <v>Between 25-35</v>
      </c>
    </row>
    <row r="1628" spans="1:21" x14ac:dyDescent="0.3">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c r="T1628">
        <f>IF(Table1[[#This Row],[Discount_Applied]]="Yes", 1,0)</f>
        <v>1</v>
      </c>
      <c r="U1628" t="str">
        <f>_xlfn.IFS(Table1[[#This Row],[Age]]&lt;=25, "Below 25", Table1[[#This Row],[Age]]&lt;=35, "Between 25-35", Table1[[#This Row],[Age]]&lt;=45, "Between 36-45", Table1[[#This Row],[Age]]&gt;45, "45+")</f>
        <v>Between 25-35</v>
      </c>
    </row>
    <row r="1629" spans="1:21" x14ac:dyDescent="0.3">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c r="T1629">
        <f>IF(Table1[[#This Row],[Discount_Applied]]="Yes", 1,0)</f>
        <v>1</v>
      </c>
      <c r="U1629" t="str">
        <f>_xlfn.IFS(Table1[[#This Row],[Age]]&lt;=25, "Below 25", Table1[[#This Row],[Age]]&lt;=35, "Between 25-35", Table1[[#This Row],[Age]]&lt;=45, "Between 36-45", Table1[[#This Row],[Age]]&gt;45, "45+")</f>
        <v>45+</v>
      </c>
    </row>
    <row r="1630" spans="1:21" x14ac:dyDescent="0.3">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c r="T1630">
        <f>IF(Table1[[#This Row],[Discount_Applied]]="Yes", 1,0)</f>
        <v>1</v>
      </c>
      <c r="U1630" t="str">
        <f>_xlfn.IFS(Table1[[#This Row],[Age]]&lt;=25, "Below 25", Table1[[#This Row],[Age]]&lt;=35, "Between 25-35", Table1[[#This Row],[Age]]&lt;=45, "Between 36-45", Table1[[#This Row],[Age]]&gt;45, "45+")</f>
        <v>Between 36-45</v>
      </c>
    </row>
    <row r="1631" spans="1:21" x14ac:dyDescent="0.3">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c r="T1631">
        <f>IF(Table1[[#This Row],[Discount_Applied]]="Yes", 1,0)</f>
        <v>1</v>
      </c>
      <c r="U1631" t="str">
        <f>_xlfn.IFS(Table1[[#This Row],[Age]]&lt;=25, "Below 25", Table1[[#This Row],[Age]]&lt;=35, "Between 25-35", Table1[[#This Row],[Age]]&lt;=45, "Between 36-45", Table1[[#This Row],[Age]]&gt;45, "45+")</f>
        <v>Between 25-35</v>
      </c>
    </row>
    <row r="1632" spans="1:21" x14ac:dyDescent="0.3">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c r="T1632">
        <f>IF(Table1[[#This Row],[Discount_Applied]]="Yes", 1,0)</f>
        <v>1</v>
      </c>
      <c r="U1632" t="str">
        <f>_xlfn.IFS(Table1[[#This Row],[Age]]&lt;=25, "Below 25", Table1[[#This Row],[Age]]&lt;=35, "Between 25-35", Table1[[#This Row],[Age]]&lt;=45, "Between 36-45", Table1[[#This Row],[Age]]&gt;45, "45+")</f>
        <v>45+</v>
      </c>
    </row>
    <row r="1633" spans="1:21" x14ac:dyDescent="0.3">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c r="T1633">
        <f>IF(Table1[[#This Row],[Discount_Applied]]="Yes", 1,0)</f>
        <v>1</v>
      </c>
      <c r="U1633" t="str">
        <f>_xlfn.IFS(Table1[[#This Row],[Age]]&lt;=25, "Below 25", Table1[[#This Row],[Age]]&lt;=35, "Between 25-35", Table1[[#This Row],[Age]]&lt;=45, "Between 36-45", Table1[[#This Row],[Age]]&gt;45, "45+")</f>
        <v>45+</v>
      </c>
    </row>
    <row r="1634" spans="1:21" x14ac:dyDescent="0.3">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c r="T1634">
        <f>IF(Table1[[#This Row],[Discount_Applied]]="Yes", 1,0)</f>
        <v>1</v>
      </c>
      <c r="U1634" t="str">
        <f>_xlfn.IFS(Table1[[#This Row],[Age]]&lt;=25, "Below 25", Table1[[#This Row],[Age]]&lt;=35, "Between 25-35", Table1[[#This Row],[Age]]&lt;=45, "Between 36-45", Table1[[#This Row],[Age]]&gt;45, "45+")</f>
        <v>Between 25-35</v>
      </c>
    </row>
    <row r="1635" spans="1:21" x14ac:dyDescent="0.3">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c r="T1635">
        <f>IF(Table1[[#This Row],[Discount_Applied]]="Yes", 1,0)</f>
        <v>1</v>
      </c>
      <c r="U1635" t="str">
        <f>_xlfn.IFS(Table1[[#This Row],[Age]]&lt;=25, "Below 25", Table1[[#This Row],[Age]]&lt;=35, "Between 25-35", Table1[[#This Row],[Age]]&lt;=45, "Between 36-45", Table1[[#This Row],[Age]]&gt;45, "45+")</f>
        <v>45+</v>
      </c>
    </row>
    <row r="1636" spans="1:21" x14ac:dyDescent="0.3">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c r="T1636">
        <f>IF(Table1[[#This Row],[Discount_Applied]]="Yes", 1,0)</f>
        <v>1</v>
      </c>
      <c r="U1636" t="str">
        <f>_xlfn.IFS(Table1[[#This Row],[Age]]&lt;=25, "Below 25", Table1[[#This Row],[Age]]&lt;=35, "Between 25-35", Table1[[#This Row],[Age]]&lt;=45, "Between 36-45", Table1[[#This Row],[Age]]&gt;45, "45+")</f>
        <v>Between 25-35</v>
      </c>
    </row>
    <row r="1637" spans="1:21" x14ac:dyDescent="0.3">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c r="T1637">
        <f>IF(Table1[[#This Row],[Discount_Applied]]="Yes", 1,0)</f>
        <v>1</v>
      </c>
      <c r="U1637" t="str">
        <f>_xlfn.IFS(Table1[[#This Row],[Age]]&lt;=25, "Below 25", Table1[[#This Row],[Age]]&lt;=35, "Between 25-35", Table1[[#This Row],[Age]]&lt;=45, "Between 36-45", Table1[[#This Row],[Age]]&gt;45, "45+")</f>
        <v>45+</v>
      </c>
    </row>
    <row r="1638" spans="1:21" x14ac:dyDescent="0.3">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c r="T1638">
        <f>IF(Table1[[#This Row],[Discount_Applied]]="Yes", 1,0)</f>
        <v>1</v>
      </c>
      <c r="U1638" t="str">
        <f>_xlfn.IFS(Table1[[#This Row],[Age]]&lt;=25, "Below 25", Table1[[#This Row],[Age]]&lt;=35, "Between 25-35", Table1[[#This Row],[Age]]&lt;=45, "Between 36-45", Table1[[#This Row],[Age]]&gt;45, "45+")</f>
        <v>45+</v>
      </c>
    </row>
    <row r="1639" spans="1:21" x14ac:dyDescent="0.3">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c r="T1639">
        <f>IF(Table1[[#This Row],[Discount_Applied]]="Yes", 1,0)</f>
        <v>1</v>
      </c>
      <c r="U1639" t="str">
        <f>_xlfn.IFS(Table1[[#This Row],[Age]]&lt;=25, "Below 25", Table1[[#This Row],[Age]]&lt;=35, "Between 25-35", Table1[[#This Row],[Age]]&lt;=45, "Between 36-45", Table1[[#This Row],[Age]]&gt;45, "45+")</f>
        <v>Between 25-35</v>
      </c>
    </row>
    <row r="1640" spans="1:21" x14ac:dyDescent="0.3">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c r="T1640">
        <f>IF(Table1[[#This Row],[Discount_Applied]]="Yes", 1,0)</f>
        <v>1</v>
      </c>
      <c r="U1640" t="str">
        <f>_xlfn.IFS(Table1[[#This Row],[Age]]&lt;=25, "Below 25", Table1[[#This Row],[Age]]&lt;=35, "Between 25-35", Table1[[#This Row],[Age]]&lt;=45, "Between 36-45", Table1[[#This Row],[Age]]&gt;45, "45+")</f>
        <v>45+</v>
      </c>
    </row>
    <row r="1641" spans="1:21" x14ac:dyDescent="0.3">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c r="T1641">
        <f>IF(Table1[[#This Row],[Discount_Applied]]="Yes", 1,0)</f>
        <v>1</v>
      </c>
      <c r="U1641" t="str">
        <f>_xlfn.IFS(Table1[[#This Row],[Age]]&lt;=25, "Below 25", Table1[[#This Row],[Age]]&lt;=35, "Between 25-35", Table1[[#This Row],[Age]]&lt;=45, "Between 36-45", Table1[[#This Row],[Age]]&gt;45, "45+")</f>
        <v>Between 36-45</v>
      </c>
    </row>
    <row r="1642" spans="1:21" x14ac:dyDescent="0.3">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c r="T1642">
        <f>IF(Table1[[#This Row],[Discount_Applied]]="Yes", 1,0)</f>
        <v>1</v>
      </c>
      <c r="U1642" t="str">
        <f>_xlfn.IFS(Table1[[#This Row],[Age]]&lt;=25, "Below 25", Table1[[#This Row],[Age]]&lt;=35, "Between 25-35", Table1[[#This Row],[Age]]&lt;=45, "Between 36-45", Table1[[#This Row],[Age]]&gt;45, "45+")</f>
        <v>45+</v>
      </c>
    </row>
    <row r="1643" spans="1:21" x14ac:dyDescent="0.3">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c r="T1643">
        <f>IF(Table1[[#This Row],[Discount_Applied]]="Yes", 1,0)</f>
        <v>1</v>
      </c>
      <c r="U1643" t="str">
        <f>_xlfn.IFS(Table1[[#This Row],[Age]]&lt;=25, "Below 25", Table1[[#This Row],[Age]]&lt;=35, "Between 25-35", Table1[[#This Row],[Age]]&lt;=45, "Between 36-45", Table1[[#This Row],[Age]]&gt;45, "45+")</f>
        <v>45+</v>
      </c>
    </row>
    <row r="1644" spans="1:21" x14ac:dyDescent="0.3">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c r="T1644">
        <f>IF(Table1[[#This Row],[Discount_Applied]]="Yes", 1,0)</f>
        <v>1</v>
      </c>
      <c r="U1644" t="str">
        <f>_xlfn.IFS(Table1[[#This Row],[Age]]&lt;=25, "Below 25", Table1[[#This Row],[Age]]&lt;=35, "Between 25-35", Table1[[#This Row],[Age]]&lt;=45, "Between 36-45", Table1[[#This Row],[Age]]&gt;45, "45+")</f>
        <v>Below 25</v>
      </c>
    </row>
    <row r="1645" spans="1:21" x14ac:dyDescent="0.3">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c r="T1645">
        <f>IF(Table1[[#This Row],[Discount_Applied]]="Yes", 1,0)</f>
        <v>1</v>
      </c>
      <c r="U1645" t="str">
        <f>_xlfn.IFS(Table1[[#This Row],[Age]]&lt;=25, "Below 25", Table1[[#This Row],[Age]]&lt;=35, "Between 25-35", Table1[[#This Row],[Age]]&lt;=45, "Between 36-45", Table1[[#This Row],[Age]]&gt;45, "45+")</f>
        <v>Between 36-45</v>
      </c>
    </row>
    <row r="1646" spans="1:21" x14ac:dyDescent="0.3">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c r="T1646">
        <f>IF(Table1[[#This Row],[Discount_Applied]]="Yes", 1,0)</f>
        <v>1</v>
      </c>
      <c r="U1646" t="str">
        <f>_xlfn.IFS(Table1[[#This Row],[Age]]&lt;=25, "Below 25", Table1[[#This Row],[Age]]&lt;=35, "Between 25-35", Table1[[#This Row],[Age]]&lt;=45, "Between 36-45", Table1[[#This Row],[Age]]&gt;45, "45+")</f>
        <v>45+</v>
      </c>
    </row>
    <row r="1647" spans="1:21" x14ac:dyDescent="0.3">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c r="T1647">
        <f>IF(Table1[[#This Row],[Discount_Applied]]="Yes", 1,0)</f>
        <v>1</v>
      </c>
      <c r="U1647" t="str">
        <f>_xlfn.IFS(Table1[[#This Row],[Age]]&lt;=25, "Below 25", Table1[[#This Row],[Age]]&lt;=35, "Between 25-35", Table1[[#This Row],[Age]]&lt;=45, "Between 36-45", Table1[[#This Row],[Age]]&gt;45, "45+")</f>
        <v>45+</v>
      </c>
    </row>
    <row r="1648" spans="1:21" x14ac:dyDescent="0.3">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c r="T1648">
        <f>IF(Table1[[#This Row],[Discount_Applied]]="Yes", 1,0)</f>
        <v>1</v>
      </c>
      <c r="U1648" t="str">
        <f>_xlfn.IFS(Table1[[#This Row],[Age]]&lt;=25, "Below 25", Table1[[#This Row],[Age]]&lt;=35, "Between 25-35", Table1[[#This Row],[Age]]&lt;=45, "Between 36-45", Table1[[#This Row],[Age]]&gt;45, "45+")</f>
        <v>45+</v>
      </c>
    </row>
    <row r="1649" spans="1:21" x14ac:dyDescent="0.3">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c r="T1649">
        <f>IF(Table1[[#This Row],[Discount_Applied]]="Yes", 1,0)</f>
        <v>1</v>
      </c>
      <c r="U1649" t="str">
        <f>_xlfn.IFS(Table1[[#This Row],[Age]]&lt;=25, "Below 25", Table1[[#This Row],[Age]]&lt;=35, "Between 25-35", Table1[[#This Row],[Age]]&lt;=45, "Between 36-45", Table1[[#This Row],[Age]]&gt;45, "45+")</f>
        <v>Between 25-35</v>
      </c>
    </row>
    <row r="1650" spans="1:21" x14ac:dyDescent="0.3">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c r="T1650">
        <f>IF(Table1[[#This Row],[Discount_Applied]]="Yes", 1,0)</f>
        <v>1</v>
      </c>
      <c r="U1650" t="str">
        <f>_xlfn.IFS(Table1[[#This Row],[Age]]&lt;=25, "Below 25", Table1[[#This Row],[Age]]&lt;=35, "Between 25-35", Table1[[#This Row],[Age]]&lt;=45, "Between 36-45", Table1[[#This Row],[Age]]&gt;45, "45+")</f>
        <v>Between 36-45</v>
      </c>
    </row>
    <row r="1651" spans="1:21" x14ac:dyDescent="0.3">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c r="T1651">
        <f>IF(Table1[[#This Row],[Discount_Applied]]="Yes", 1,0)</f>
        <v>1</v>
      </c>
      <c r="U1651" t="str">
        <f>_xlfn.IFS(Table1[[#This Row],[Age]]&lt;=25, "Below 25", Table1[[#This Row],[Age]]&lt;=35, "Between 25-35", Table1[[#This Row],[Age]]&lt;=45, "Between 36-45", Table1[[#This Row],[Age]]&gt;45, "45+")</f>
        <v>45+</v>
      </c>
    </row>
    <row r="1652" spans="1:21" x14ac:dyDescent="0.3">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c r="T1652">
        <f>IF(Table1[[#This Row],[Discount_Applied]]="Yes", 1,0)</f>
        <v>1</v>
      </c>
      <c r="U1652" t="str">
        <f>_xlfn.IFS(Table1[[#This Row],[Age]]&lt;=25, "Below 25", Table1[[#This Row],[Age]]&lt;=35, "Between 25-35", Table1[[#This Row],[Age]]&lt;=45, "Between 36-45", Table1[[#This Row],[Age]]&gt;45, "45+")</f>
        <v>45+</v>
      </c>
    </row>
    <row r="1653" spans="1:21" x14ac:dyDescent="0.3">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c r="T1653">
        <f>IF(Table1[[#This Row],[Discount_Applied]]="Yes", 1,0)</f>
        <v>1</v>
      </c>
      <c r="U1653" t="str">
        <f>_xlfn.IFS(Table1[[#This Row],[Age]]&lt;=25, "Below 25", Table1[[#This Row],[Age]]&lt;=35, "Between 25-35", Table1[[#This Row],[Age]]&lt;=45, "Between 36-45", Table1[[#This Row],[Age]]&gt;45, "45+")</f>
        <v>45+</v>
      </c>
    </row>
    <row r="1654" spans="1:21" x14ac:dyDescent="0.3">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c r="T1654">
        <f>IF(Table1[[#This Row],[Discount_Applied]]="Yes", 1,0)</f>
        <v>1</v>
      </c>
      <c r="U1654" t="str">
        <f>_xlfn.IFS(Table1[[#This Row],[Age]]&lt;=25, "Below 25", Table1[[#This Row],[Age]]&lt;=35, "Between 25-35", Table1[[#This Row],[Age]]&lt;=45, "Between 36-45", Table1[[#This Row],[Age]]&gt;45, "45+")</f>
        <v>45+</v>
      </c>
    </row>
    <row r="1655" spans="1:21" x14ac:dyDescent="0.3">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c r="T1655">
        <f>IF(Table1[[#This Row],[Discount_Applied]]="Yes", 1,0)</f>
        <v>1</v>
      </c>
      <c r="U1655" t="str">
        <f>_xlfn.IFS(Table1[[#This Row],[Age]]&lt;=25, "Below 25", Table1[[#This Row],[Age]]&lt;=35, "Between 25-35", Table1[[#This Row],[Age]]&lt;=45, "Between 36-45", Table1[[#This Row],[Age]]&gt;45, "45+")</f>
        <v>Between 25-35</v>
      </c>
    </row>
    <row r="1656" spans="1:21" x14ac:dyDescent="0.3">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c r="T1656">
        <f>IF(Table1[[#This Row],[Discount_Applied]]="Yes", 1,0)</f>
        <v>1</v>
      </c>
      <c r="U1656" t="str">
        <f>_xlfn.IFS(Table1[[#This Row],[Age]]&lt;=25, "Below 25", Table1[[#This Row],[Age]]&lt;=35, "Between 25-35", Table1[[#This Row],[Age]]&lt;=45, "Between 36-45", Table1[[#This Row],[Age]]&gt;45, "45+")</f>
        <v>Between 36-45</v>
      </c>
    </row>
    <row r="1657" spans="1:21" x14ac:dyDescent="0.3">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c r="T1657">
        <f>IF(Table1[[#This Row],[Discount_Applied]]="Yes", 1,0)</f>
        <v>1</v>
      </c>
      <c r="U1657" t="str">
        <f>_xlfn.IFS(Table1[[#This Row],[Age]]&lt;=25, "Below 25", Table1[[#This Row],[Age]]&lt;=35, "Between 25-35", Table1[[#This Row],[Age]]&lt;=45, "Between 36-45", Table1[[#This Row],[Age]]&gt;45, "45+")</f>
        <v>Between 36-45</v>
      </c>
    </row>
    <row r="1658" spans="1:21" x14ac:dyDescent="0.3">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c r="T1658">
        <f>IF(Table1[[#This Row],[Discount_Applied]]="Yes", 1,0)</f>
        <v>1</v>
      </c>
      <c r="U1658" t="str">
        <f>_xlfn.IFS(Table1[[#This Row],[Age]]&lt;=25, "Below 25", Table1[[#This Row],[Age]]&lt;=35, "Between 25-35", Table1[[#This Row],[Age]]&lt;=45, "Between 36-45", Table1[[#This Row],[Age]]&gt;45, "45+")</f>
        <v>Below 25</v>
      </c>
    </row>
    <row r="1659" spans="1:21" x14ac:dyDescent="0.3">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c r="T1659">
        <f>IF(Table1[[#This Row],[Discount_Applied]]="Yes", 1,0)</f>
        <v>1</v>
      </c>
      <c r="U1659" t="str">
        <f>_xlfn.IFS(Table1[[#This Row],[Age]]&lt;=25, "Below 25", Table1[[#This Row],[Age]]&lt;=35, "Between 25-35", Table1[[#This Row],[Age]]&lt;=45, "Between 36-45", Table1[[#This Row],[Age]]&gt;45, "45+")</f>
        <v>45+</v>
      </c>
    </row>
    <row r="1660" spans="1:21" x14ac:dyDescent="0.3">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c r="T1660">
        <f>IF(Table1[[#This Row],[Discount_Applied]]="Yes", 1,0)</f>
        <v>1</v>
      </c>
      <c r="U1660" t="str">
        <f>_xlfn.IFS(Table1[[#This Row],[Age]]&lt;=25, "Below 25", Table1[[#This Row],[Age]]&lt;=35, "Between 25-35", Table1[[#This Row],[Age]]&lt;=45, "Between 36-45", Table1[[#This Row],[Age]]&gt;45, "45+")</f>
        <v>Between 25-35</v>
      </c>
    </row>
    <row r="1661" spans="1:21" x14ac:dyDescent="0.3">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c r="T1661">
        <f>IF(Table1[[#This Row],[Discount_Applied]]="Yes", 1,0)</f>
        <v>1</v>
      </c>
      <c r="U1661" t="str">
        <f>_xlfn.IFS(Table1[[#This Row],[Age]]&lt;=25, "Below 25", Table1[[#This Row],[Age]]&lt;=35, "Between 25-35", Table1[[#This Row],[Age]]&lt;=45, "Between 36-45", Table1[[#This Row],[Age]]&gt;45, "45+")</f>
        <v>45+</v>
      </c>
    </row>
    <row r="1662" spans="1:21" x14ac:dyDescent="0.3">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c r="T1662">
        <f>IF(Table1[[#This Row],[Discount_Applied]]="Yes", 1,0)</f>
        <v>1</v>
      </c>
      <c r="U1662" t="str">
        <f>_xlfn.IFS(Table1[[#This Row],[Age]]&lt;=25, "Below 25", Table1[[#This Row],[Age]]&lt;=35, "Between 25-35", Table1[[#This Row],[Age]]&lt;=45, "Between 36-45", Table1[[#This Row],[Age]]&gt;45, "45+")</f>
        <v>45+</v>
      </c>
    </row>
    <row r="1663" spans="1:21" x14ac:dyDescent="0.3">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c r="T1663">
        <f>IF(Table1[[#This Row],[Discount_Applied]]="Yes", 1,0)</f>
        <v>1</v>
      </c>
      <c r="U1663" t="str">
        <f>_xlfn.IFS(Table1[[#This Row],[Age]]&lt;=25, "Below 25", Table1[[#This Row],[Age]]&lt;=35, "Between 25-35", Table1[[#This Row],[Age]]&lt;=45, "Between 36-45", Table1[[#This Row],[Age]]&gt;45, "45+")</f>
        <v>45+</v>
      </c>
    </row>
    <row r="1664" spans="1:21" x14ac:dyDescent="0.3">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c r="T1664">
        <f>IF(Table1[[#This Row],[Discount_Applied]]="Yes", 1,0)</f>
        <v>1</v>
      </c>
      <c r="U1664" t="str">
        <f>_xlfn.IFS(Table1[[#This Row],[Age]]&lt;=25, "Below 25", Table1[[#This Row],[Age]]&lt;=35, "Between 25-35", Table1[[#This Row],[Age]]&lt;=45, "Between 36-45", Table1[[#This Row],[Age]]&gt;45, "45+")</f>
        <v>45+</v>
      </c>
    </row>
    <row r="1665" spans="1:21" x14ac:dyDescent="0.3">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c r="T1665">
        <f>IF(Table1[[#This Row],[Discount_Applied]]="Yes", 1,0)</f>
        <v>1</v>
      </c>
      <c r="U1665" t="str">
        <f>_xlfn.IFS(Table1[[#This Row],[Age]]&lt;=25, "Below 25", Table1[[#This Row],[Age]]&lt;=35, "Between 25-35", Table1[[#This Row],[Age]]&lt;=45, "Between 36-45", Table1[[#This Row],[Age]]&gt;45, "45+")</f>
        <v>Between 36-45</v>
      </c>
    </row>
    <row r="1666" spans="1:21" x14ac:dyDescent="0.3">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c r="T1666">
        <f>IF(Table1[[#This Row],[Discount_Applied]]="Yes", 1,0)</f>
        <v>1</v>
      </c>
      <c r="U1666" t="str">
        <f>_xlfn.IFS(Table1[[#This Row],[Age]]&lt;=25, "Below 25", Table1[[#This Row],[Age]]&lt;=35, "Between 25-35", Table1[[#This Row],[Age]]&lt;=45, "Between 36-45", Table1[[#This Row],[Age]]&gt;45, "45+")</f>
        <v>Below 25</v>
      </c>
    </row>
    <row r="1667" spans="1:21" x14ac:dyDescent="0.3">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c r="T1667">
        <f>IF(Table1[[#This Row],[Discount_Applied]]="Yes", 1,0)</f>
        <v>1</v>
      </c>
      <c r="U1667" t="str">
        <f>_xlfn.IFS(Table1[[#This Row],[Age]]&lt;=25, "Below 25", Table1[[#This Row],[Age]]&lt;=35, "Between 25-35", Table1[[#This Row],[Age]]&lt;=45, "Between 36-45", Table1[[#This Row],[Age]]&gt;45, "45+")</f>
        <v>Between 36-45</v>
      </c>
    </row>
    <row r="1668" spans="1:21" x14ac:dyDescent="0.3">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c r="T1668">
        <f>IF(Table1[[#This Row],[Discount_Applied]]="Yes", 1,0)</f>
        <v>1</v>
      </c>
      <c r="U1668" t="str">
        <f>_xlfn.IFS(Table1[[#This Row],[Age]]&lt;=25, "Below 25", Table1[[#This Row],[Age]]&lt;=35, "Between 25-35", Table1[[#This Row],[Age]]&lt;=45, "Between 36-45", Table1[[#This Row],[Age]]&gt;45, "45+")</f>
        <v>45+</v>
      </c>
    </row>
    <row r="1669" spans="1:21" x14ac:dyDescent="0.3">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c r="T1669">
        <f>IF(Table1[[#This Row],[Discount_Applied]]="Yes", 1,0)</f>
        <v>1</v>
      </c>
      <c r="U1669" t="str">
        <f>_xlfn.IFS(Table1[[#This Row],[Age]]&lt;=25, "Below 25", Table1[[#This Row],[Age]]&lt;=35, "Between 25-35", Table1[[#This Row],[Age]]&lt;=45, "Between 36-45", Table1[[#This Row],[Age]]&gt;45, "45+")</f>
        <v>45+</v>
      </c>
    </row>
    <row r="1670" spans="1:21" x14ac:dyDescent="0.3">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c r="T1670">
        <f>IF(Table1[[#This Row],[Discount_Applied]]="Yes", 1,0)</f>
        <v>1</v>
      </c>
      <c r="U1670" t="str">
        <f>_xlfn.IFS(Table1[[#This Row],[Age]]&lt;=25, "Below 25", Table1[[#This Row],[Age]]&lt;=35, "Between 25-35", Table1[[#This Row],[Age]]&lt;=45, "Between 36-45", Table1[[#This Row],[Age]]&gt;45, "45+")</f>
        <v>45+</v>
      </c>
    </row>
    <row r="1671" spans="1:21" x14ac:dyDescent="0.3">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c r="T1671">
        <f>IF(Table1[[#This Row],[Discount_Applied]]="Yes", 1,0)</f>
        <v>1</v>
      </c>
      <c r="U1671" t="str">
        <f>_xlfn.IFS(Table1[[#This Row],[Age]]&lt;=25, "Below 25", Table1[[#This Row],[Age]]&lt;=35, "Between 25-35", Table1[[#This Row],[Age]]&lt;=45, "Between 36-45", Table1[[#This Row],[Age]]&gt;45, "45+")</f>
        <v>Between 36-45</v>
      </c>
    </row>
    <row r="1672" spans="1:21" x14ac:dyDescent="0.3">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c r="T1672">
        <f>IF(Table1[[#This Row],[Discount_Applied]]="Yes", 1,0)</f>
        <v>1</v>
      </c>
      <c r="U1672" t="str">
        <f>_xlfn.IFS(Table1[[#This Row],[Age]]&lt;=25, "Below 25", Table1[[#This Row],[Age]]&lt;=35, "Between 25-35", Table1[[#This Row],[Age]]&lt;=45, "Between 36-45", Table1[[#This Row],[Age]]&gt;45, "45+")</f>
        <v>Below 25</v>
      </c>
    </row>
    <row r="1673" spans="1:21" x14ac:dyDescent="0.3">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c r="T1673">
        <f>IF(Table1[[#This Row],[Discount_Applied]]="Yes", 1,0)</f>
        <v>1</v>
      </c>
      <c r="U1673" t="str">
        <f>_xlfn.IFS(Table1[[#This Row],[Age]]&lt;=25, "Below 25", Table1[[#This Row],[Age]]&lt;=35, "Between 25-35", Table1[[#This Row],[Age]]&lt;=45, "Between 36-45", Table1[[#This Row],[Age]]&gt;45, "45+")</f>
        <v>Between 25-35</v>
      </c>
    </row>
    <row r="1674" spans="1:21" x14ac:dyDescent="0.3">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c r="T1674">
        <f>IF(Table1[[#This Row],[Discount_Applied]]="Yes", 1,0)</f>
        <v>1</v>
      </c>
      <c r="U1674" t="str">
        <f>_xlfn.IFS(Table1[[#This Row],[Age]]&lt;=25, "Below 25", Table1[[#This Row],[Age]]&lt;=35, "Between 25-35", Table1[[#This Row],[Age]]&lt;=45, "Between 36-45", Table1[[#This Row],[Age]]&gt;45, "45+")</f>
        <v>Below 25</v>
      </c>
    </row>
    <row r="1675" spans="1:21" x14ac:dyDescent="0.3">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c r="T1675">
        <f>IF(Table1[[#This Row],[Discount_Applied]]="Yes", 1,0)</f>
        <v>1</v>
      </c>
      <c r="U1675" t="str">
        <f>_xlfn.IFS(Table1[[#This Row],[Age]]&lt;=25, "Below 25", Table1[[#This Row],[Age]]&lt;=35, "Between 25-35", Table1[[#This Row],[Age]]&lt;=45, "Between 36-45", Table1[[#This Row],[Age]]&gt;45, "45+")</f>
        <v>Below 25</v>
      </c>
    </row>
    <row r="1676" spans="1:21" x14ac:dyDescent="0.3">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c r="T1676">
        <f>IF(Table1[[#This Row],[Discount_Applied]]="Yes", 1,0)</f>
        <v>1</v>
      </c>
      <c r="U1676" t="str">
        <f>_xlfn.IFS(Table1[[#This Row],[Age]]&lt;=25, "Below 25", Table1[[#This Row],[Age]]&lt;=35, "Between 25-35", Table1[[#This Row],[Age]]&lt;=45, "Between 36-45", Table1[[#This Row],[Age]]&gt;45, "45+")</f>
        <v>Between 25-35</v>
      </c>
    </row>
    <row r="1677" spans="1:21" x14ac:dyDescent="0.3">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c r="T1677">
        <f>IF(Table1[[#This Row],[Discount_Applied]]="Yes", 1,0)</f>
        <v>1</v>
      </c>
      <c r="U1677" t="str">
        <f>_xlfn.IFS(Table1[[#This Row],[Age]]&lt;=25, "Below 25", Table1[[#This Row],[Age]]&lt;=35, "Between 25-35", Table1[[#This Row],[Age]]&lt;=45, "Between 36-45", Table1[[#This Row],[Age]]&gt;45, "45+")</f>
        <v>Between 25-35</v>
      </c>
    </row>
    <row r="1678" spans="1:21" x14ac:dyDescent="0.3">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c r="T1678">
        <f>IF(Table1[[#This Row],[Discount_Applied]]="Yes", 1,0)</f>
        <v>1</v>
      </c>
      <c r="U1678" t="str">
        <f>_xlfn.IFS(Table1[[#This Row],[Age]]&lt;=25, "Below 25", Table1[[#This Row],[Age]]&lt;=35, "Between 25-35", Table1[[#This Row],[Age]]&lt;=45, "Between 36-45", Table1[[#This Row],[Age]]&gt;45, "45+")</f>
        <v>Between 25-35</v>
      </c>
    </row>
    <row r="1679" spans="1:21" x14ac:dyDescent="0.3">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c r="T1679">
        <f>IF(Table1[[#This Row],[Discount_Applied]]="Yes", 1,0)</f>
        <v>0</v>
      </c>
      <c r="U1679" t="str">
        <f>_xlfn.IFS(Table1[[#This Row],[Age]]&lt;=25, "Below 25", Table1[[#This Row],[Age]]&lt;=35, "Between 25-35", Table1[[#This Row],[Age]]&lt;=45, "Between 36-45", Table1[[#This Row],[Age]]&gt;45, "45+")</f>
        <v>45+</v>
      </c>
    </row>
    <row r="1680" spans="1:21" x14ac:dyDescent="0.3">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c r="T1680">
        <f>IF(Table1[[#This Row],[Discount_Applied]]="Yes", 1,0)</f>
        <v>0</v>
      </c>
      <c r="U1680" t="str">
        <f>_xlfn.IFS(Table1[[#This Row],[Age]]&lt;=25, "Below 25", Table1[[#This Row],[Age]]&lt;=35, "Between 25-35", Table1[[#This Row],[Age]]&lt;=45, "Between 36-45", Table1[[#This Row],[Age]]&gt;45, "45+")</f>
        <v>Between 36-45</v>
      </c>
    </row>
    <row r="1681" spans="1:21" x14ac:dyDescent="0.3">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c r="T1681">
        <f>IF(Table1[[#This Row],[Discount_Applied]]="Yes", 1,0)</f>
        <v>0</v>
      </c>
      <c r="U1681" t="str">
        <f>_xlfn.IFS(Table1[[#This Row],[Age]]&lt;=25, "Below 25", Table1[[#This Row],[Age]]&lt;=35, "Between 25-35", Table1[[#This Row],[Age]]&lt;=45, "Between 36-45", Table1[[#This Row],[Age]]&gt;45, "45+")</f>
        <v>45+</v>
      </c>
    </row>
    <row r="1682" spans="1:21" x14ac:dyDescent="0.3">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c r="T1682">
        <f>IF(Table1[[#This Row],[Discount_Applied]]="Yes", 1,0)</f>
        <v>0</v>
      </c>
      <c r="U1682" t="str">
        <f>_xlfn.IFS(Table1[[#This Row],[Age]]&lt;=25, "Below 25", Table1[[#This Row],[Age]]&lt;=35, "Between 25-35", Table1[[#This Row],[Age]]&lt;=45, "Between 36-45", Table1[[#This Row],[Age]]&gt;45, "45+")</f>
        <v>45+</v>
      </c>
    </row>
    <row r="1683" spans="1:21" x14ac:dyDescent="0.3">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c r="T1683">
        <f>IF(Table1[[#This Row],[Discount_Applied]]="Yes", 1,0)</f>
        <v>0</v>
      </c>
      <c r="U1683" t="str">
        <f>_xlfn.IFS(Table1[[#This Row],[Age]]&lt;=25, "Below 25", Table1[[#This Row],[Age]]&lt;=35, "Between 25-35", Table1[[#This Row],[Age]]&lt;=45, "Between 36-45", Table1[[#This Row],[Age]]&gt;45, "45+")</f>
        <v>Below 25</v>
      </c>
    </row>
    <row r="1684" spans="1:21" x14ac:dyDescent="0.3">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c r="T1684">
        <f>IF(Table1[[#This Row],[Discount_Applied]]="Yes", 1,0)</f>
        <v>0</v>
      </c>
      <c r="U1684" t="str">
        <f>_xlfn.IFS(Table1[[#This Row],[Age]]&lt;=25, "Below 25", Table1[[#This Row],[Age]]&lt;=35, "Between 25-35", Table1[[#This Row],[Age]]&lt;=45, "Between 36-45", Table1[[#This Row],[Age]]&gt;45, "45+")</f>
        <v>45+</v>
      </c>
    </row>
    <row r="1685" spans="1:21" x14ac:dyDescent="0.3">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c r="T1685">
        <f>IF(Table1[[#This Row],[Discount_Applied]]="Yes", 1,0)</f>
        <v>0</v>
      </c>
      <c r="U1685" t="str">
        <f>_xlfn.IFS(Table1[[#This Row],[Age]]&lt;=25, "Below 25", Table1[[#This Row],[Age]]&lt;=35, "Between 25-35", Table1[[#This Row],[Age]]&lt;=45, "Between 36-45", Table1[[#This Row],[Age]]&gt;45, "45+")</f>
        <v>Below 25</v>
      </c>
    </row>
    <row r="1686" spans="1:21" x14ac:dyDescent="0.3">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c r="T1686">
        <f>IF(Table1[[#This Row],[Discount_Applied]]="Yes", 1,0)</f>
        <v>0</v>
      </c>
      <c r="U1686" t="str">
        <f>_xlfn.IFS(Table1[[#This Row],[Age]]&lt;=25, "Below 25", Table1[[#This Row],[Age]]&lt;=35, "Between 25-35", Table1[[#This Row],[Age]]&lt;=45, "Between 36-45", Table1[[#This Row],[Age]]&gt;45, "45+")</f>
        <v>Between 25-35</v>
      </c>
    </row>
    <row r="1687" spans="1:21" x14ac:dyDescent="0.3">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c r="T1687">
        <f>IF(Table1[[#This Row],[Discount_Applied]]="Yes", 1,0)</f>
        <v>0</v>
      </c>
      <c r="U1687" t="str">
        <f>_xlfn.IFS(Table1[[#This Row],[Age]]&lt;=25, "Below 25", Table1[[#This Row],[Age]]&lt;=35, "Between 25-35", Table1[[#This Row],[Age]]&lt;=45, "Between 36-45", Table1[[#This Row],[Age]]&gt;45, "45+")</f>
        <v>Between 25-35</v>
      </c>
    </row>
    <row r="1688" spans="1:21" x14ac:dyDescent="0.3">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c r="T1688">
        <f>IF(Table1[[#This Row],[Discount_Applied]]="Yes", 1,0)</f>
        <v>0</v>
      </c>
      <c r="U1688" t="str">
        <f>_xlfn.IFS(Table1[[#This Row],[Age]]&lt;=25, "Below 25", Table1[[#This Row],[Age]]&lt;=35, "Between 25-35", Table1[[#This Row],[Age]]&lt;=45, "Between 36-45", Table1[[#This Row],[Age]]&gt;45, "45+")</f>
        <v>Below 25</v>
      </c>
    </row>
    <row r="1689" spans="1:21" x14ac:dyDescent="0.3">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c r="T1689">
        <f>IF(Table1[[#This Row],[Discount_Applied]]="Yes", 1,0)</f>
        <v>0</v>
      </c>
      <c r="U1689" t="str">
        <f>_xlfn.IFS(Table1[[#This Row],[Age]]&lt;=25, "Below 25", Table1[[#This Row],[Age]]&lt;=35, "Between 25-35", Table1[[#This Row],[Age]]&lt;=45, "Between 36-45", Table1[[#This Row],[Age]]&gt;45, "45+")</f>
        <v>45+</v>
      </c>
    </row>
    <row r="1690" spans="1:21" x14ac:dyDescent="0.3">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c r="T1690">
        <f>IF(Table1[[#This Row],[Discount_Applied]]="Yes", 1,0)</f>
        <v>0</v>
      </c>
      <c r="U1690" t="str">
        <f>_xlfn.IFS(Table1[[#This Row],[Age]]&lt;=25, "Below 25", Table1[[#This Row],[Age]]&lt;=35, "Between 25-35", Table1[[#This Row],[Age]]&lt;=45, "Between 36-45", Table1[[#This Row],[Age]]&gt;45, "45+")</f>
        <v>Between 25-35</v>
      </c>
    </row>
    <row r="1691" spans="1:21" x14ac:dyDescent="0.3">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c r="T1691">
        <f>IF(Table1[[#This Row],[Discount_Applied]]="Yes", 1,0)</f>
        <v>0</v>
      </c>
      <c r="U1691" t="str">
        <f>_xlfn.IFS(Table1[[#This Row],[Age]]&lt;=25, "Below 25", Table1[[#This Row],[Age]]&lt;=35, "Between 25-35", Table1[[#This Row],[Age]]&lt;=45, "Between 36-45", Table1[[#This Row],[Age]]&gt;45, "45+")</f>
        <v>Between 25-35</v>
      </c>
    </row>
    <row r="1692" spans="1:21" x14ac:dyDescent="0.3">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c r="T1692">
        <f>IF(Table1[[#This Row],[Discount_Applied]]="Yes", 1,0)</f>
        <v>0</v>
      </c>
      <c r="U1692" t="str">
        <f>_xlfn.IFS(Table1[[#This Row],[Age]]&lt;=25, "Below 25", Table1[[#This Row],[Age]]&lt;=35, "Between 25-35", Table1[[#This Row],[Age]]&lt;=45, "Between 36-45", Table1[[#This Row],[Age]]&gt;45, "45+")</f>
        <v>Between 36-45</v>
      </c>
    </row>
    <row r="1693" spans="1:21" x14ac:dyDescent="0.3">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c r="T1693">
        <f>IF(Table1[[#This Row],[Discount_Applied]]="Yes", 1,0)</f>
        <v>0</v>
      </c>
      <c r="U1693" t="str">
        <f>_xlfn.IFS(Table1[[#This Row],[Age]]&lt;=25, "Below 25", Table1[[#This Row],[Age]]&lt;=35, "Between 25-35", Table1[[#This Row],[Age]]&lt;=45, "Between 36-45", Table1[[#This Row],[Age]]&gt;45, "45+")</f>
        <v>45+</v>
      </c>
    </row>
    <row r="1694" spans="1:21" x14ac:dyDescent="0.3">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c r="T1694">
        <f>IF(Table1[[#This Row],[Discount_Applied]]="Yes", 1,0)</f>
        <v>0</v>
      </c>
      <c r="U1694" t="str">
        <f>_xlfn.IFS(Table1[[#This Row],[Age]]&lt;=25, "Below 25", Table1[[#This Row],[Age]]&lt;=35, "Between 25-35", Table1[[#This Row],[Age]]&lt;=45, "Between 36-45", Table1[[#This Row],[Age]]&gt;45, "45+")</f>
        <v>45+</v>
      </c>
    </row>
    <row r="1695" spans="1:21" x14ac:dyDescent="0.3">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c r="T1695">
        <f>IF(Table1[[#This Row],[Discount_Applied]]="Yes", 1,0)</f>
        <v>0</v>
      </c>
      <c r="U1695" t="str">
        <f>_xlfn.IFS(Table1[[#This Row],[Age]]&lt;=25, "Below 25", Table1[[#This Row],[Age]]&lt;=35, "Between 25-35", Table1[[#This Row],[Age]]&lt;=45, "Between 36-45", Table1[[#This Row],[Age]]&gt;45, "45+")</f>
        <v>45+</v>
      </c>
    </row>
    <row r="1696" spans="1:21" x14ac:dyDescent="0.3">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c r="T1696">
        <f>IF(Table1[[#This Row],[Discount_Applied]]="Yes", 1,0)</f>
        <v>0</v>
      </c>
      <c r="U1696" t="str">
        <f>_xlfn.IFS(Table1[[#This Row],[Age]]&lt;=25, "Below 25", Table1[[#This Row],[Age]]&lt;=35, "Between 25-35", Table1[[#This Row],[Age]]&lt;=45, "Between 36-45", Table1[[#This Row],[Age]]&gt;45, "45+")</f>
        <v>Below 25</v>
      </c>
    </row>
    <row r="1697" spans="1:21" x14ac:dyDescent="0.3">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c r="T1697">
        <f>IF(Table1[[#This Row],[Discount_Applied]]="Yes", 1,0)</f>
        <v>0</v>
      </c>
      <c r="U1697" t="str">
        <f>_xlfn.IFS(Table1[[#This Row],[Age]]&lt;=25, "Below 25", Table1[[#This Row],[Age]]&lt;=35, "Between 25-35", Table1[[#This Row],[Age]]&lt;=45, "Between 36-45", Table1[[#This Row],[Age]]&gt;45, "45+")</f>
        <v>45+</v>
      </c>
    </row>
    <row r="1698" spans="1:21" x14ac:dyDescent="0.3">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c r="T1698">
        <f>IF(Table1[[#This Row],[Discount_Applied]]="Yes", 1,0)</f>
        <v>0</v>
      </c>
      <c r="U1698" t="str">
        <f>_xlfn.IFS(Table1[[#This Row],[Age]]&lt;=25, "Below 25", Table1[[#This Row],[Age]]&lt;=35, "Between 25-35", Table1[[#This Row],[Age]]&lt;=45, "Between 36-45", Table1[[#This Row],[Age]]&gt;45, "45+")</f>
        <v>Between 25-35</v>
      </c>
    </row>
    <row r="1699" spans="1:21" x14ac:dyDescent="0.3">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c r="T1699">
        <f>IF(Table1[[#This Row],[Discount_Applied]]="Yes", 1,0)</f>
        <v>0</v>
      </c>
      <c r="U1699" t="str">
        <f>_xlfn.IFS(Table1[[#This Row],[Age]]&lt;=25, "Below 25", Table1[[#This Row],[Age]]&lt;=35, "Between 25-35", Table1[[#This Row],[Age]]&lt;=45, "Between 36-45", Table1[[#This Row],[Age]]&gt;45, "45+")</f>
        <v>Between 36-45</v>
      </c>
    </row>
    <row r="1700" spans="1:21" x14ac:dyDescent="0.3">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c r="T1700">
        <f>IF(Table1[[#This Row],[Discount_Applied]]="Yes", 1,0)</f>
        <v>0</v>
      </c>
      <c r="U1700" t="str">
        <f>_xlfn.IFS(Table1[[#This Row],[Age]]&lt;=25, "Below 25", Table1[[#This Row],[Age]]&lt;=35, "Between 25-35", Table1[[#This Row],[Age]]&lt;=45, "Between 36-45", Table1[[#This Row],[Age]]&gt;45, "45+")</f>
        <v>Below 25</v>
      </c>
    </row>
    <row r="1701" spans="1:21" x14ac:dyDescent="0.3">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c r="T1701">
        <f>IF(Table1[[#This Row],[Discount_Applied]]="Yes", 1,0)</f>
        <v>0</v>
      </c>
      <c r="U1701" t="str">
        <f>_xlfn.IFS(Table1[[#This Row],[Age]]&lt;=25, "Below 25", Table1[[#This Row],[Age]]&lt;=35, "Between 25-35", Table1[[#This Row],[Age]]&lt;=45, "Between 36-45", Table1[[#This Row],[Age]]&gt;45, "45+")</f>
        <v>Below 25</v>
      </c>
    </row>
    <row r="1702" spans="1:21" x14ac:dyDescent="0.3">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c r="T1702">
        <f>IF(Table1[[#This Row],[Discount_Applied]]="Yes", 1,0)</f>
        <v>0</v>
      </c>
      <c r="U1702" t="str">
        <f>_xlfn.IFS(Table1[[#This Row],[Age]]&lt;=25, "Below 25", Table1[[#This Row],[Age]]&lt;=35, "Between 25-35", Table1[[#This Row],[Age]]&lt;=45, "Between 36-45", Table1[[#This Row],[Age]]&gt;45, "45+")</f>
        <v>45+</v>
      </c>
    </row>
    <row r="1703" spans="1:21" x14ac:dyDescent="0.3">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c r="T1703">
        <f>IF(Table1[[#This Row],[Discount_Applied]]="Yes", 1,0)</f>
        <v>0</v>
      </c>
      <c r="U1703" t="str">
        <f>_xlfn.IFS(Table1[[#This Row],[Age]]&lt;=25, "Below 25", Table1[[#This Row],[Age]]&lt;=35, "Between 25-35", Table1[[#This Row],[Age]]&lt;=45, "Between 36-45", Table1[[#This Row],[Age]]&gt;45, "45+")</f>
        <v>45+</v>
      </c>
    </row>
    <row r="1704" spans="1:21" x14ac:dyDescent="0.3">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c r="T1704">
        <f>IF(Table1[[#This Row],[Discount_Applied]]="Yes", 1,0)</f>
        <v>0</v>
      </c>
      <c r="U1704" t="str">
        <f>_xlfn.IFS(Table1[[#This Row],[Age]]&lt;=25, "Below 25", Table1[[#This Row],[Age]]&lt;=35, "Between 25-35", Table1[[#This Row],[Age]]&lt;=45, "Between 36-45", Table1[[#This Row],[Age]]&gt;45, "45+")</f>
        <v>45+</v>
      </c>
    </row>
    <row r="1705" spans="1:21" x14ac:dyDescent="0.3">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c r="T1705">
        <f>IF(Table1[[#This Row],[Discount_Applied]]="Yes", 1,0)</f>
        <v>0</v>
      </c>
      <c r="U1705" t="str">
        <f>_xlfn.IFS(Table1[[#This Row],[Age]]&lt;=25, "Below 25", Table1[[#This Row],[Age]]&lt;=35, "Between 25-35", Table1[[#This Row],[Age]]&lt;=45, "Between 36-45", Table1[[#This Row],[Age]]&gt;45, "45+")</f>
        <v>Between 36-45</v>
      </c>
    </row>
    <row r="1706" spans="1:21" x14ac:dyDescent="0.3">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c r="T1706">
        <f>IF(Table1[[#This Row],[Discount_Applied]]="Yes", 1,0)</f>
        <v>0</v>
      </c>
      <c r="U1706" t="str">
        <f>_xlfn.IFS(Table1[[#This Row],[Age]]&lt;=25, "Below 25", Table1[[#This Row],[Age]]&lt;=35, "Between 25-35", Table1[[#This Row],[Age]]&lt;=45, "Between 36-45", Table1[[#This Row],[Age]]&gt;45, "45+")</f>
        <v>45+</v>
      </c>
    </row>
    <row r="1707" spans="1:21" x14ac:dyDescent="0.3">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c r="T1707">
        <f>IF(Table1[[#This Row],[Discount_Applied]]="Yes", 1,0)</f>
        <v>0</v>
      </c>
      <c r="U1707" t="str">
        <f>_xlfn.IFS(Table1[[#This Row],[Age]]&lt;=25, "Below 25", Table1[[#This Row],[Age]]&lt;=35, "Between 25-35", Table1[[#This Row],[Age]]&lt;=45, "Between 36-45", Table1[[#This Row],[Age]]&gt;45, "45+")</f>
        <v>Between 36-45</v>
      </c>
    </row>
    <row r="1708" spans="1:21" x14ac:dyDescent="0.3">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c r="T1708">
        <f>IF(Table1[[#This Row],[Discount_Applied]]="Yes", 1,0)</f>
        <v>0</v>
      </c>
      <c r="U1708" t="str">
        <f>_xlfn.IFS(Table1[[#This Row],[Age]]&lt;=25, "Below 25", Table1[[#This Row],[Age]]&lt;=35, "Between 25-35", Table1[[#This Row],[Age]]&lt;=45, "Between 36-45", Table1[[#This Row],[Age]]&gt;45, "45+")</f>
        <v>Between 36-45</v>
      </c>
    </row>
    <row r="1709" spans="1:21" x14ac:dyDescent="0.3">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c r="T1709">
        <f>IF(Table1[[#This Row],[Discount_Applied]]="Yes", 1,0)</f>
        <v>0</v>
      </c>
      <c r="U1709" t="str">
        <f>_xlfn.IFS(Table1[[#This Row],[Age]]&lt;=25, "Below 25", Table1[[#This Row],[Age]]&lt;=35, "Between 25-35", Table1[[#This Row],[Age]]&lt;=45, "Between 36-45", Table1[[#This Row],[Age]]&gt;45, "45+")</f>
        <v>Below 25</v>
      </c>
    </row>
    <row r="1710" spans="1:21" x14ac:dyDescent="0.3">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c r="T1710">
        <f>IF(Table1[[#This Row],[Discount_Applied]]="Yes", 1,0)</f>
        <v>0</v>
      </c>
      <c r="U1710" t="str">
        <f>_xlfn.IFS(Table1[[#This Row],[Age]]&lt;=25, "Below 25", Table1[[#This Row],[Age]]&lt;=35, "Between 25-35", Table1[[#This Row],[Age]]&lt;=45, "Between 36-45", Table1[[#This Row],[Age]]&gt;45, "45+")</f>
        <v>Between 25-35</v>
      </c>
    </row>
    <row r="1711" spans="1:21" x14ac:dyDescent="0.3">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c r="T1711">
        <f>IF(Table1[[#This Row],[Discount_Applied]]="Yes", 1,0)</f>
        <v>0</v>
      </c>
      <c r="U1711" t="str">
        <f>_xlfn.IFS(Table1[[#This Row],[Age]]&lt;=25, "Below 25", Table1[[#This Row],[Age]]&lt;=35, "Between 25-35", Table1[[#This Row],[Age]]&lt;=45, "Between 36-45", Table1[[#This Row],[Age]]&gt;45, "45+")</f>
        <v>Between 36-45</v>
      </c>
    </row>
    <row r="1712" spans="1:21" x14ac:dyDescent="0.3">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c r="T1712">
        <f>IF(Table1[[#This Row],[Discount_Applied]]="Yes", 1,0)</f>
        <v>0</v>
      </c>
      <c r="U1712" t="str">
        <f>_xlfn.IFS(Table1[[#This Row],[Age]]&lt;=25, "Below 25", Table1[[#This Row],[Age]]&lt;=35, "Between 25-35", Table1[[#This Row],[Age]]&lt;=45, "Between 36-45", Table1[[#This Row],[Age]]&gt;45, "45+")</f>
        <v>Below 25</v>
      </c>
    </row>
    <row r="1713" spans="1:21" x14ac:dyDescent="0.3">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c r="T1713">
        <f>IF(Table1[[#This Row],[Discount_Applied]]="Yes", 1,0)</f>
        <v>0</v>
      </c>
      <c r="U1713" t="str">
        <f>_xlfn.IFS(Table1[[#This Row],[Age]]&lt;=25, "Below 25", Table1[[#This Row],[Age]]&lt;=35, "Between 25-35", Table1[[#This Row],[Age]]&lt;=45, "Between 36-45", Table1[[#This Row],[Age]]&gt;45, "45+")</f>
        <v>Below 25</v>
      </c>
    </row>
    <row r="1714" spans="1:21" x14ac:dyDescent="0.3">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c r="T1714">
        <f>IF(Table1[[#This Row],[Discount_Applied]]="Yes", 1,0)</f>
        <v>0</v>
      </c>
      <c r="U1714" t="str">
        <f>_xlfn.IFS(Table1[[#This Row],[Age]]&lt;=25, "Below 25", Table1[[#This Row],[Age]]&lt;=35, "Between 25-35", Table1[[#This Row],[Age]]&lt;=45, "Between 36-45", Table1[[#This Row],[Age]]&gt;45, "45+")</f>
        <v>45+</v>
      </c>
    </row>
    <row r="1715" spans="1:21" x14ac:dyDescent="0.3">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c r="T1715">
        <f>IF(Table1[[#This Row],[Discount_Applied]]="Yes", 1,0)</f>
        <v>0</v>
      </c>
      <c r="U1715" t="str">
        <f>_xlfn.IFS(Table1[[#This Row],[Age]]&lt;=25, "Below 25", Table1[[#This Row],[Age]]&lt;=35, "Between 25-35", Table1[[#This Row],[Age]]&lt;=45, "Between 36-45", Table1[[#This Row],[Age]]&gt;45, "45+")</f>
        <v>45+</v>
      </c>
    </row>
    <row r="1716" spans="1:21" x14ac:dyDescent="0.3">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c r="T1716">
        <f>IF(Table1[[#This Row],[Discount_Applied]]="Yes", 1,0)</f>
        <v>0</v>
      </c>
      <c r="U1716" t="str">
        <f>_xlfn.IFS(Table1[[#This Row],[Age]]&lt;=25, "Below 25", Table1[[#This Row],[Age]]&lt;=35, "Between 25-35", Table1[[#This Row],[Age]]&lt;=45, "Between 36-45", Table1[[#This Row],[Age]]&gt;45, "45+")</f>
        <v>Between 25-35</v>
      </c>
    </row>
    <row r="1717" spans="1:21" x14ac:dyDescent="0.3">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c r="T1717">
        <f>IF(Table1[[#This Row],[Discount_Applied]]="Yes", 1,0)</f>
        <v>0</v>
      </c>
      <c r="U1717" t="str">
        <f>_xlfn.IFS(Table1[[#This Row],[Age]]&lt;=25, "Below 25", Table1[[#This Row],[Age]]&lt;=35, "Between 25-35", Table1[[#This Row],[Age]]&lt;=45, "Between 36-45", Table1[[#This Row],[Age]]&gt;45, "45+")</f>
        <v>Below 25</v>
      </c>
    </row>
    <row r="1718" spans="1:21" x14ac:dyDescent="0.3">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c r="T1718">
        <f>IF(Table1[[#This Row],[Discount_Applied]]="Yes", 1,0)</f>
        <v>0</v>
      </c>
      <c r="U1718" t="str">
        <f>_xlfn.IFS(Table1[[#This Row],[Age]]&lt;=25, "Below 25", Table1[[#This Row],[Age]]&lt;=35, "Between 25-35", Table1[[#This Row],[Age]]&lt;=45, "Between 36-45", Table1[[#This Row],[Age]]&gt;45, "45+")</f>
        <v>45+</v>
      </c>
    </row>
    <row r="1719" spans="1:21" x14ac:dyDescent="0.3">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c r="T1719">
        <f>IF(Table1[[#This Row],[Discount_Applied]]="Yes", 1,0)</f>
        <v>0</v>
      </c>
      <c r="U1719" t="str">
        <f>_xlfn.IFS(Table1[[#This Row],[Age]]&lt;=25, "Below 25", Table1[[#This Row],[Age]]&lt;=35, "Between 25-35", Table1[[#This Row],[Age]]&lt;=45, "Between 36-45", Table1[[#This Row],[Age]]&gt;45, "45+")</f>
        <v>Between 25-35</v>
      </c>
    </row>
    <row r="1720" spans="1:21" x14ac:dyDescent="0.3">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c r="T1720">
        <f>IF(Table1[[#This Row],[Discount_Applied]]="Yes", 1,0)</f>
        <v>0</v>
      </c>
      <c r="U1720" t="str">
        <f>_xlfn.IFS(Table1[[#This Row],[Age]]&lt;=25, "Below 25", Table1[[#This Row],[Age]]&lt;=35, "Between 25-35", Table1[[#This Row],[Age]]&lt;=45, "Between 36-45", Table1[[#This Row],[Age]]&gt;45, "45+")</f>
        <v>45+</v>
      </c>
    </row>
    <row r="1721" spans="1:21" x14ac:dyDescent="0.3">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c r="T1721">
        <f>IF(Table1[[#This Row],[Discount_Applied]]="Yes", 1,0)</f>
        <v>0</v>
      </c>
      <c r="U1721" t="str">
        <f>_xlfn.IFS(Table1[[#This Row],[Age]]&lt;=25, "Below 25", Table1[[#This Row],[Age]]&lt;=35, "Between 25-35", Table1[[#This Row],[Age]]&lt;=45, "Between 36-45", Table1[[#This Row],[Age]]&gt;45, "45+")</f>
        <v>Between 36-45</v>
      </c>
    </row>
    <row r="1722" spans="1:21" x14ac:dyDescent="0.3">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c r="T1722">
        <f>IF(Table1[[#This Row],[Discount_Applied]]="Yes", 1,0)</f>
        <v>0</v>
      </c>
      <c r="U1722" t="str">
        <f>_xlfn.IFS(Table1[[#This Row],[Age]]&lt;=25, "Below 25", Table1[[#This Row],[Age]]&lt;=35, "Between 25-35", Table1[[#This Row],[Age]]&lt;=45, "Between 36-45", Table1[[#This Row],[Age]]&gt;45, "45+")</f>
        <v>Below 25</v>
      </c>
    </row>
    <row r="1723" spans="1:21" x14ac:dyDescent="0.3">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c r="T1723">
        <f>IF(Table1[[#This Row],[Discount_Applied]]="Yes", 1,0)</f>
        <v>0</v>
      </c>
      <c r="U1723" t="str">
        <f>_xlfn.IFS(Table1[[#This Row],[Age]]&lt;=25, "Below 25", Table1[[#This Row],[Age]]&lt;=35, "Between 25-35", Table1[[#This Row],[Age]]&lt;=45, "Between 36-45", Table1[[#This Row],[Age]]&gt;45, "45+")</f>
        <v>Between 25-35</v>
      </c>
    </row>
    <row r="1724" spans="1:21" x14ac:dyDescent="0.3">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c r="T1724">
        <f>IF(Table1[[#This Row],[Discount_Applied]]="Yes", 1,0)</f>
        <v>0</v>
      </c>
      <c r="U1724" t="str">
        <f>_xlfn.IFS(Table1[[#This Row],[Age]]&lt;=25, "Below 25", Table1[[#This Row],[Age]]&lt;=35, "Between 25-35", Table1[[#This Row],[Age]]&lt;=45, "Between 36-45", Table1[[#This Row],[Age]]&gt;45, "45+")</f>
        <v>45+</v>
      </c>
    </row>
    <row r="1725" spans="1:21" x14ac:dyDescent="0.3">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c r="T1725">
        <f>IF(Table1[[#This Row],[Discount_Applied]]="Yes", 1,0)</f>
        <v>0</v>
      </c>
      <c r="U1725" t="str">
        <f>_xlfn.IFS(Table1[[#This Row],[Age]]&lt;=25, "Below 25", Table1[[#This Row],[Age]]&lt;=35, "Between 25-35", Table1[[#This Row],[Age]]&lt;=45, "Between 36-45", Table1[[#This Row],[Age]]&gt;45, "45+")</f>
        <v>45+</v>
      </c>
    </row>
    <row r="1726" spans="1:21" x14ac:dyDescent="0.3">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c r="T1726">
        <f>IF(Table1[[#This Row],[Discount_Applied]]="Yes", 1,0)</f>
        <v>0</v>
      </c>
      <c r="U1726" t="str">
        <f>_xlfn.IFS(Table1[[#This Row],[Age]]&lt;=25, "Below 25", Table1[[#This Row],[Age]]&lt;=35, "Between 25-35", Table1[[#This Row],[Age]]&lt;=45, "Between 36-45", Table1[[#This Row],[Age]]&gt;45, "45+")</f>
        <v>Between 36-45</v>
      </c>
    </row>
    <row r="1727" spans="1:21" x14ac:dyDescent="0.3">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c r="T1727">
        <f>IF(Table1[[#This Row],[Discount_Applied]]="Yes", 1,0)</f>
        <v>0</v>
      </c>
      <c r="U1727" t="str">
        <f>_xlfn.IFS(Table1[[#This Row],[Age]]&lt;=25, "Below 25", Table1[[#This Row],[Age]]&lt;=35, "Between 25-35", Table1[[#This Row],[Age]]&lt;=45, "Between 36-45", Table1[[#This Row],[Age]]&gt;45, "45+")</f>
        <v>Between 36-45</v>
      </c>
    </row>
    <row r="1728" spans="1:21" x14ac:dyDescent="0.3">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c r="T1728">
        <f>IF(Table1[[#This Row],[Discount_Applied]]="Yes", 1,0)</f>
        <v>0</v>
      </c>
      <c r="U1728" t="str">
        <f>_xlfn.IFS(Table1[[#This Row],[Age]]&lt;=25, "Below 25", Table1[[#This Row],[Age]]&lt;=35, "Between 25-35", Table1[[#This Row],[Age]]&lt;=45, "Between 36-45", Table1[[#This Row],[Age]]&gt;45, "45+")</f>
        <v>45+</v>
      </c>
    </row>
    <row r="1729" spans="1:21" x14ac:dyDescent="0.3">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c r="T1729">
        <f>IF(Table1[[#This Row],[Discount_Applied]]="Yes", 1,0)</f>
        <v>0</v>
      </c>
      <c r="U1729" t="str">
        <f>_xlfn.IFS(Table1[[#This Row],[Age]]&lt;=25, "Below 25", Table1[[#This Row],[Age]]&lt;=35, "Between 25-35", Table1[[#This Row],[Age]]&lt;=45, "Between 36-45", Table1[[#This Row],[Age]]&gt;45, "45+")</f>
        <v>45+</v>
      </c>
    </row>
    <row r="1730" spans="1:21" x14ac:dyDescent="0.3">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c r="T1730">
        <f>IF(Table1[[#This Row],[Discount_Applied]]="Yes", 1,0)</f>
        <v>0</v>
      </c>
      <c r="U1730" t="str">
        <f>_xlfn.IFS(Table1[[#This Row],[Age]]&lt;=25, "Below 25", Table1[[#This Row],[Age]]&lt;=35, "Between 25-35", Table1[[#This Row],[Age]]&lt;=45, "Between 36-45", Table1[[#This Row],[Age]]&gt;45, "45+")</f>
        <v>Below 25</v>
      </c>
    </row>
    <row r="1731" spans="1:21" x14ac:dyDescent="0.3">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c r="T1731">
        <f>IF(Table1[[#This Row],[Discount_Applied]]="Yes", 1,0)</f>
        <v>0</v>
      </c>
      <c r="U1731" t="str">
        <f>_xlfn.IFS(Table1[[#This Row],[Age]]&lt;=25, "Below 25", Table1[[#This Row],[Age]]&lt;=35, "Between 25-35", Table1[[#This Row],[Age]]&lt;=45, "Between 36-45", Table1[[#This Row],[Age]]&gt;45, "45+")</f>
        <v>45+</v>
      </c>
    </row>
    <row r="1732" spans="1:21" x14ac:dyDescent="0.3">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c r="T1732">
        <f>IF(Table1[[#This Row],[Discount_Applied]]="Yes", 1,0)</f>
        <v>0</v>
      </c>
      <c r="U1732" t="str">
        <f>_xlfn.IFS(Table1[[#This Row],[Age]]&lt;=25, "Below 25", Table1[[#This Row],[Age]]&lt;=35, "Between 25-35", Table1[[#This Row],[Age]]&lt;=45, "Between 36-45", Table1[[#This Row],[Age]]&gt;45, "45+")</f>
        <v>Below 25</v>
      </c>
    </row>
    <row r="1733" spans="1:21" x14ac:dyDescent="0.3">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c r="T1733">
        <f>IF(Table1[[#This Row],[Discount_Applied]]="Yes", 1,0)</f>
        <v>0</v>
      </c>
      <c r="U1733" t="str">
        <f>_xlfn.IFS(Table1[[#This Row],[Age]]&lt;=25, "Below 25", Table1[[#This Row],[Age]]&lt;=35, "Between 25-35", Table1[[#This Row],[Age]]&lt;=45, "Between 36-45", Table1[[#This Row],[Age]]&gt;45, "45+")</f>
        <v>Below 25</v>
      </c>
    </row>
    <row r="1734" spans="1:21" x14ac:dyDescent="0.3">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c r="T1734">
        <f>IF(Table1[[#This Row],[Discount_Applied]]="Yes", 1,0)</f>
        <v>0</v>
      </c>
      <c r="U1734" t="str">
        <f>_xlfn.IFS(Table1[[#This Row],[Age]]&lt;=25, "Below 25", Table1[[#This Row],[Age]]&lt;=35, "Between 25-35", Table1[[#This Row],[Age]]&lt;=45, "Between 36-45", Table1[[#This Row],[Age]]&gt;45, "45+")</f>
        <v>Between 36-45</v>
      </c>
    </row>
    <row r="1735" spans="1:21" x14ac:dyDescent="0.3">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c r="T1735">
        <f>IF(Table1[[#This Row],[Discount_Applied]]="Yes", 1,0)</f>
        <v>0</v>
      </c>
      <c r="U1735" t="str">
        <f>_xlfn.IFS(Table1[[#This Row],[Age]]&lt;=25, "Below 25", Table1[[#This Row],[Age]]&lt;=35, "Between 25-35", Table1[[#This Row],[Age]]&lt;=45, "Between 36-45", Table1[[#This Row],[Age]]&gt;45, "45+")</f>
        <v>45+</v>
      </c>
    </row>
    <row r="1736" spans="1:21" x14ac:dyDescent="0.3">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c r="T1736">
        <f>IF(Table1[[#This Row],[Discount_Applied]]="Yes", 1,0)</f>
        <v>0</v>
      </c>
      <c r="U1736" t="str">
        <f>_xlfn.IFS(Table1[[#This Row],[Age]]&lt;=25, "Below 25", Table1[[#This Row],[Age]]&lt;=35, "Between 25-35", Table1[[#This Row],[Age]]&lt;=45, "Between 36-45", Table1[[#This Row],[Age]]&gt;45, "45+")</f>
        <v>Between 25-35</v>
      </c>
    </row>
    <row r="1737" spans="1:21" x14ac:dyDescent="0.3">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c r="T1737">
        <f>IF(Table1[[#This Row],[Discount_Applied]]="Yes", 1,0)</f>
        <v>0</v>
      </c>
      <c r="U1737" t="str">
        <f>_xlfn.IFS(Table1[[#This Row],[Age]]&lt;=25, "Below 25", Table1[[#This Row],[Age]]&lt;=35, "Between 25-35", Table1[[#This Row],[Age]]&lt;=45, "Between 36-45", Table1[[#This Row],[Age]]&gt;45, "45+")</f>
        <v>45+</v>
      </c>
    </row>
    <row r="1738" spans="1:21" x14ac:dyDescent="0.3">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c r="T1738">
        <f>IF(Table1[[#This Row],[Discount_Applied]]="Yes", 1,0)</f>
        <v>0</v>
      </c>
      <c r="U1738" t="str">
        <f>_xlfn.IFS(Table1[[#This Row],[Age]]&lt;=25, "Below 25", Table1[[#This Row],[Age]]&lt;=35, "Between 25-35", Table1[[#This Row],[Age]]&lt;=45, "Between 36-45", Table1[[#This Row],[Age]]&gt;45, "45+")</f>
        <v>45+</v>
      </c>
    </row>
    <row r="1739" spans="1:21" x14ac:dyDescent="0.3">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c r="T1739">
        <f>IF(Table1[[#This Row],[Discount_Applied]]="Yes", 1,0)</f>
        <v>0</v>
      </c>
      <c r="U1739" t="str">
        <f>_xlfn.IFS(Table1[[#This Row],[Age]]&lt;=25, "Below 25", Table1[[#This Row],[Age]]&lt;=35, "Between 25-35", Table1[[#This Row],[Age]]&lt;=45, "Between 36-45", Table1[[#This Row],[Age]]&gt;45, "45+")</f>
        <v>Between 36-45</v>
      </c>
    </row>
    <row r="1740" spans="1:21" x14ac:dyDescent="0.3">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c r="T1740">
        <f>IF(Table1[[#This Row],[Discount_Applied]]="Yes", 1,0)</f>
        <v>0</v>
      </c>
      <c r="U1740" t="str">
        <f>_xlfn.IFS(Table1[[#This Row],[Age]]&lt;=25, "Below 25", Table1[[#This Row],[Age]]&lt;=35, "Between 25-35", Table1[[#This Row],[Age]]&lt;=45, "Between 36-45", Table1[[#This Row],[Age]]&gt;45, "45+")</f>
        <v>45+</v>
      </c>
    </row>
    <row r="1741" spans="1:21" x14ac:dyDescent="0.3">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c r="T1741">
        <f>IF(Table1[[#This Row],[Discount_Applied]]="Yes", 1,0)</f>
        <v>0</v>
      </c>
      <c r="U1741" t="str">
        <f>_xlfn.IFS(Table1[[#This Row],[Age]]&lt;=25, "Below 25", Table1[[#This Row],[Age]]&lt;=35, "Between 25-35", Table1[[#This Row],[Age]]&lt;=45, "Between 36-45", Table1[[#This Row],[Age]]&gt;45, "45+")</f>
        <v>Below 25</v>
      </c>
    </row>
    <row r="1742" spans="1:21" x14ac:dyDescent="0.3">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c r="T1742">
        <f>IF(Table1[[#This Row],[Discount_Applied]]="Yes", 1,0)</f>
        <v>0</v>
      </c>
      <c r="U1742" t="str">
        <f>_xlfn.IFS(Table1[[#This Row],[Age]]&lt;=25, "Below 25", Table1[[#This Row],[Age]]&lt;=35, "Between 25-35", Table1[[#This Row],[Age]]&lt;=45, "Between 36-45", Table1[[#This Row],[Age]]&gt;45, "45+")</f>
        <v>45+</v>
      </c>
    </row>
    <row r="1743" spans="1:21" x14ac:dyDescent="0.3">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c r="T1743">
        <f>IF(Table1[[#This Row],[Discount_Applied]]="Yes", 1,0)</f>
        <v>0</v>
      </c>
      <c r="U1743" t="str">
        <f>_xlfn.IFS(Table1[[#This Row],[Age]]&lt;=25, "Below 25", Table1[[#This Row],[Age]]&lt;=35, "Between 25-35", Table1[[#This Row],[Age]]&lt;=45, "Between 36-45", Table1[[#This Row],[Age]]&gt;45, "45+")</f>
        <v>Between 36-45</v>
      </c>
    </row>
    <row r="1744" spans="1:21" x14ac:dyDescent="0.3">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c r="T1744">
        <f>IF(Table1[[#This Row],[Discount_Applied]]="Yes", 1,0)</f>
        <v>0</v>
      </c>
      <c r="U1744" t="str">
        <f>_xlfn.IFS(Table1[[#This Row],[Age]]&lt;=25, "Below 25", Table1[[#This Row],[Age]]&lt;=35, "Between 25-35", Table1[[#This Row],[Age]]&lt;=45, "Between 36-45", Table1[[#This Row],[Age]]&gt;45, "45+")</f>
        <v>45+</v>
      </c>
    </row>
    <row r="1745" spans="1:21" x14ac:dyDescent="0.3">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c r="T1745">
        <f>IF(Table1[[#This Row],[Discount_Applied]]="Yes", 1,0)</f>
        <v>0</v>
      </c>
      <c r="U1745" t="str">
        <f>_xlfn.IFS(Table1[[#This Row],[Age]]&lt;=25, "Below 25", Table1[[#This Row],[Age]]&lt;=35, "Between 25-35", Table1[[#This Row],[Age]]&lt;=45, "Between 36-45", Table1[[#This Row],[Age]]&gt;45, "45+")</f>
        <v>Below 25</v>
      </c>
    </row>
    <row r="1746" spans="1:21" x14ac:dyDescent="0.3">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c r="T1746">
        <f>IF(Table1[[#This Row],[Discount_Applied]]="Yes", 1,0)</f>
        <v>0</v>
      </c>
      <c r="U1746" t="str">
        <f>_xlfn.IFS(Table1[[#This Row],[Age]]&lt;=25, "Below 25", Table1[[#This Row],[Age]]&lt;=35, "Between 25-35", Table1[[#This Row],[Age]]&lt;=45, "Between 36-45", Table1[[#This Row],[Age]]&gt;45, "45+")</f>
        <v>45+</v>
      </c>
    </row>
    <row r="1747" spans="1:21" x14ac:dyDescent="0.3">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c r="T1747">
        <f>IF(Table1[[#This Row],[Discount_Applied]]="Yes", 1,0)</f>
        <v>0</v>
      </c>
      <c r="U1747" t="str">
        <f>_xlfn.IFS(Table1[[#This Row],[Age]]&lt;=25, "Below 25", Table1[[#This Row],[Age]]&lt;=35, "Between 25-35", Table1[[#This Row],[Age]]&lt;=45, "Between 36-45", Table1[[#This Row],[Age]]&gt;45, "45+")</f>
        <v>Between 36-45</v>
      </c>
    </row>
    <row r="1748" spans="1:21" x14ac:dyDescent="0.3">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c r="T1748">
        <f>IF(Table1[[#This Row],[Discount_Applied]]="Yes", 1,0)</f>
        <v>0</v>
      </c>
      <c r="U1748" t="str">
        <f>_xlfn.IFS(Table1[[#This Row],[Age]]&lt;=25, "Below 25", Table1[[#This Row],[Age]]&lt;=35, "Between 25-35", Table1[[#This Row],[Age]]&lt;=45, "Between 36-45", Table1[[#This Row],[Age]]&gt;45, "45+")</f>
        <v>45+</v>
      </c>
    </row>
    <row r="1749" spans="1:21" x14ac:dyDescent="0.3">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c r="T1749">
        <f>IF(Table1[[#This Row],[Discount_Applied]]="Yes", 1,0)</f>
        <v>0</v>
      </c>
      <c r="U1749" t="str">
        <f>_xlfn.IFS(Table1[[#This Row],[Age]]&lt;=25, "Below 25", Table1[[#This Row],[Age]]&lt;=35, "Between 25-35", Table1[[#This Row],[Age]]&lt;=45, "Between 36-45", Table1[[#This Row],[Age]]&gt;45, "45+")</f>
        <v>45+</v>
      </c>
    </row>
    <row r="1750" spans="1:21" x14ac:dyDescent="0.3">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c r="T1750">
        <f>IF(Table1[[#This Row],[Discount_Applied]]="Yes", 1,0)</f>
        <v>0</v>
      </c>
      <c r="U1750" t="str">
        <f>_xlfn.IFS(Table1[[#This Row],[Age]]&lt;=25, "Below 25", Table1[[#This Row],[Age]]&lt;=35, "Between 25-35", Table1[[#This Row],[Age]]&lt;=45, "Between 36-45", Table1[[#This Row],[Age]]&gt;45, "45+")</f>
        <v>Between 25-35</v>
      </c>
    </row>
    <row r="1751" spans="1:21" x14ac:dyDescent="0.3">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c r="T1751">
        <f>IF(Table1[[#This Row],[Discount_Applied]]="Yes", 1,0)</f>
        <v>0</v>
      </c>
      <c r="U1751" t="str">
        <f>_xlfn.IFS(Table1[[#This Row],[Age]]&lt;=25, "Below 25", Table1[[#This Row],[Age]]&lt;=35, "Between 25-35", Table1[[#This Row],[Age]]&lt;=45, "Between 36-45", Table1[[#This Row],[Age]]&gt;45, "45+")</f>
        <v>Between 36-45</v>
      </c>
    </row>
    <row r="1752" spans="1:21" x14ac:dyDescent="0.3">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c r="T1752">
        <f>IF(Table1[[#This Row],[Discount_Applied]]="Yes", 1,0)</f>
        <v>0</v>
      </c>
      <c r="U1752" t="str">
        <f>_xlfn.IFS(Table1[[#This Row],[Age]]&lt;=25, "Below 25", Table1[[#This Row],[Age]]&lt;=35, "Between 25-35", Table1[[#This Row],[Age]]&lt;=45, "Between 36-45", Table1[[#This Row],[Age]]&gt;45, "45+")</f>
        <v>Between 25-35</v>
      </c>
    </row>
    <row r="1753" spans="1:21" x14ac:dyDescent="0.3">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c r="T1753">
        <f>IF(Table1[[#This Row],[Discount_Applied]]="Yes", 1,0)</f>
        <v>0</v>
      </c>
      <c r="U1753" t="str">
        <f>_xlfn.IFS(Table1[[#This Row],[Age]]&lt;=25, "Below 25", Table1[[#This Row],[Age]]&lt;=35, "Between 25-35", Table1[[#This Row],[Age]]&lt;=45, "Between 36-45", Table1[[#This Row],[Age]]&gt;45, "45+")</f>
        <v>45+</v>
      </c>
    </row>
    <row r="1754" spans="1:21" x14ac:dyDescent="0.3">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c r="T1754">
        <f>IF(Table1[[#This Row],[Discount_Applied]]="Yes", 1,0)</f>
        <v>0</v>
      </c>
      <c r="U1754" t="str">
        <f>_xlfn.IFS(Table1[[#This Row],[Age]]&lt;=25, "Below 25", Table1[[#This Row],[Age]]&lt;=35, "Between 25-35", Table1[[#This Row],[Age]]&lt;=45, "Between 36-45", Table1[[#This Row],[Age]]&gt;45, "45+")</f>
        <v>Between 25-35</v>
      </c>
    </row>
    <row r="1755" spans="1:21" x14ac:dyDescent="0.3">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c r="T1755">
        <f>IF(Table1[[#This Row],[Discount_Applied]]="Yes", 1,0)</f>
        <v>0</v>
      </c>
      <c r="U1755" t="str">
        <f>_xlfn.IFS(Table1[[#This Row],[Age]]&lt;=25, "Below 25", Table1[[#This Row],[Age]]&lt;=35, "Between 25-35", Table1[[#This Row],[Age]]&lt;=45, "Between 36-45", Table1[[#This Row],[Age]]&gt;45, "45+")</f>
        <v>Below 25</v>
      </c>
    </row>
    <row r="1756" spans="1:21" x14ac:dyDescent="0.3">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c r="T1756">
        <f>IF(Table1[[#This Row],[Discount_Applied]]="Yes", 1,0)</f>
        <v>0</v>
      </c>
      <c r="U1756" t="str">
        <f>_xlfn.IFS(Table1[[#This Row],[Age]]&lt;=25, "Below 25", Table1[[#This Row],[Age]]&lt;=35, "Between 25-35", Table1[[#This Row],[Age]]&lt;=45, "Between 36-45", Table1[[#This Row],[Age]]&gt;45, "45+")</f>
        <v>45+</v>
      </c>
    </row>
    <row r="1757" spans="1:21" x14ac:dyDescent="0.3">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c r="T1757">
        <f>IF(Table1[[#This Row],[Discount_Applied]]="Yes", 1,0)</f>
        <v>0</v>
      </c>
      <c r="U1757" t="str">
        <f>_xlfn.IFS(Table1[[#This Row],[Age]]&lt;=25, "Below 25", Table1[[#This Row],[Age]]&lt;=35, "Between 25-35", Table1[[#This Row],[Age]]&lt;=45, "Between 36-45", Table1[[#This Row],[Age]]&gt;45, "45+")</f>
        <v>45+</v>
      </c>
    </row>
    <row r="1758" spans="1:21" x14ac:dyDescent="0.3">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c r="T1758">
        <f>IF(Table1[[#This Row],[Discount_Applied]]="Yes", 1,0)</f>
        <v>0</v>
      </c>
      <c r="U1758" t="str">
        <f>_xlfn.IFS(Table1[[#This Row],[Age]]&lt;=25, "Below 25", Table1[[#This Row],[Age]]&lt;=35, "Between 25-35", Table1[[#This Row],[Age]]&lt;=45, "Between 36-45", Table1[[#This Row],[Age]]&gt;45, "45+")</f>
        <v>45+</v>
      </c>
    </row>
    <row r="1759" spans="1:21" x14ac:dyDescent="0.3">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c r="T1759">
        <f>IF(Table1[[#This Row],[Discount_Applied]]="Yes", 1,0)</f>
        <v>0</v>
      </c>
      <c r="U1759" t="str">
        <f>_xlfn.IFS(Table1[[#This Row],[Age]]&lt;=25, "Below 25", Table1[[#This Row],[Age]]&lt;=35, "Between 25-35", Table1[[#This Row],[Age]]&lt;=45, "Between 36-45", Table1[[#This Row],[Age]]&gt;45, "45+")</f>
        <v>Below 25</v>
      </c>
    </row>
    <row r="1760" spans="1:21" x14ac:dyDescent="0.3">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c r="T1760">
        <f>IF(Table1[[#This Row],[Discount_Applied]]="Yes", 1,0)</f>
        <v>0</v>
      </c>
      <c r="U1760" t="str">
        <f>_xlfn.IFS(Table1[[#This Row],[Age]]&lt;=25, "Below 25", Table1[[#This Row],[Age]]&lt;=35, "Between 25-35", Table1[[#This Row],[Age]]&lt;=45, "Between 36-45", Table1[[#This Row],[Age]]&gt;45, "45+")</f>
        <v>Between 25-35</v>
      </c>
    </row>
    <row r="1761" spans="1:21" x14ac:dyDescent="0.3">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c r="T1761">
        <f>IF(Table1[[#This Row],[Discount_Applied]]="Yes", 1,0)</f>
        <v>0</v>
      </c>
      <c r="U1761" t="str">
        <f>_xlfn.IFS(Table1[[#This Row],[Age]]&lt;=25, "Below 25", Table1[[#This Row],[Age]]&lt;=35, "Between 25-35", Table1[[#This Row],[Age]]&lt;=45, "Between 36-45", Table1[[#This Row],[Age]]&gt;45, "45+")</f>
        <v>45+</v>
      </c>
    </row>
    <row r="1762" spans="1:21" x14ac:dyDescent="0.3">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c r="T1762">
        <f>IF(Table1[[#This Row],[Discount_Applied]]="Yes", 1,0)</f>
        <v>0</v>
      </c>
      <c r="U1762" t="str">
        <f>_xlfn.IFS(Table1[[#This Row],[Age]]&lt;=25, "Below 25", Table1[[#This Row],[Age]]&lt;=35, "Between 25-35", Table1[[#This Row],[Age]]&lt;=45, "Between 36-45", Table1[[#This Row],[Age]]&gt;45, "45+")</f>
        <v>Below 25</v>
      </c>
    </row>
    <row r="1763" spans="1:21" x14ac:dyDescent="0.3">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c r="T1763">
        <f>IF(Table1[[#This Row],[Discount_Applied]]="Yes", 1,0)</f>
        <v>0</v>
      </c>
      <c r="U1763" t="str">
        <f>_xlfn.IFS(Table1[[#This Row],[Age]]&lt;=25, "Below 25", Table1[[#This Row],[Age]]&lt;=35, "Between 25-35", Table1[[#This Row],[Age]]&lt;=45, "Between 36-45", Table1[[#This Row],[Age]]&gt;45, "45+")</f>
        <v>Below 25</v>
      </c>
    </row>
    <row r="1764" spans="1:21" x14ac:dyDescent="0.3">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c r="T1764">
        <f>IF(Table1[[#This Row],[Discount_Applied]]="Yes", 1,0)</f>
        <v>0</v>
      </c>
      <c r="U1764" t="str">
        <f>_xlfn.IFS(Table1[[#This Row],[Age]]&lt;=25, "Below 25", Table1[[#This Row],[Age]]&lt;=35, "Between 25-35", Table1[[#This Row],[Age]]&lt;=45, "Between 36-45", Table1[[#This Row],[Age]]&gt;45, "45+")</f>
        <v>Between 36-45</v>
      </c>
    </row>
    <row r="1765" spans="1:21" x14ac:dyDescent="0.3">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c r="T1765">
        <f>IF(Table1[[#This Row],[Discount_Applied]]="Yes", 1,0)</f>
        <v>0</v>
      </c>
      <c r="U1765" t="str">
        <f>_xlfn.IFS(Table1[[#This Row],[Age]]&lt;=25, "Below 25", Table1[[#This Row],[Age]]&lt;=35, "Between 25-35", Table1[[#This Row],[Age]]&lt;=45, "Between 36-45", Table1[[#This Row],[Age]]&gt;45, "45+")</f>
        <v>Between 36-45</v>
      </c>
    </row>
    <row r="1766" spans="1:21" x14ac:dyDescent="0.3">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c r="T1766">
        <f>IF(Table1[[#This Row],[Discount_Applied]]="Yes", 1,0)</f>
        <v>0</v>
      </c>
      <c r="U1766" t="str">
        <f>_xlfn.IFS(Table1[[#This Row],[Age]]&lt;=25, "Below 25", Table1[[#This Row],[Age]]&lt;=35, "Between 25-35", Table1[[#This Row],[Age]]&lt;=45, "Between 36-45", Table1[[#This Row],[Age]]&gt;45, "45+")</f>
        <v>45+</v>
      </c>
    </row>
    <row r="1767" spans="1:21" x14ac:dyDescent="0.3">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c r="T1767">
        <f>IF(Table1[[#This Row],[Discount_Applied]]="Yes", 1,0)</f>
        <v>0</v>
      </c>
      <c r="U1767" t="str">
        <f>_xlfn.IFS(Table1[[#This Row],[Age]]&lt;=25, "Below 25", Table1[[#This Row],[Age]]&lt;=35, "Between 25-35", Table1[[#This Row],[Age]]&lt;=45, "Between 36-45", Table1[[#This Row],[Age]]&gt;45, "45+")</f>
        <v>45+</v>
      </c>
    </row>
    <row r="1768" spans="1:21" x14ac:dyDescent="0.3">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c r="T1768">
        <f>IF(Table1[[#This Row],[Discount_Applied]]="Yes", 1,0)</f>
        <v>0</v>
      </c>
      <c r="U1768" t="str">
        <f>_xlfn.IFS(Table1[[#This Row],[Age]]&lt;=25, "Below 25", Table1[[#This Row],[Age]]&lt;=35, "Between 25-35", Table1[[#This Row],[Age]]&lt;=45, "Between 36-45", Table1[[#This Row],[Age]]&gt;45, "45+")</f>
        <v>45+</v>
      </c>
    </row>
    <row r="1769" spans="1:21" x14ac:dyDescent="0.3">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c r="T1769">
        <f>IF(Table1[[#This Row],[Discount_Applied]]="Yes", 1,0)</f>
        <v>0</v>
      </c>
      <c r="U1769" t="str">
        <f>_xlfn.IFS(Table1[[#This Row],[Age]]&lt;=25, "Below 25", Table1[[#This Row],[Age]]&lt;=35, "Between 25-35", Table1[[#This Row],[Age]]&lt;=45, "Between 36-45", Table1[[#This Row],[Age]]&gt;45, "45+")</f>
        <v>45+</v>
      </c>
    </row>
    <row r="1770" spans="1:21" x14ac:dyDescent="0.3">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c r="T1770">
        <f>IF(Table1[[#This Row],[Discount_Applied]]="Yes", 1,0)</f>
        <v>0</v>
      </c>
      <c r="U1770" t="str">
        <f>_xlfn.IFS(Table1[[#This Row],[Age]]&lt;=25, "Below 25", Table1[[#This Row],[Age]]&lt;=35, "Between 25-35", Table1[[#This Row],[Age]]&lt;=45, "Between 36-45", Table1[[#This Row],[Age]]&gt;45, "45+")</f>
        <v>Below 25</v>
      </c>
    </row>
    <row r="1771" spans="1:21" x14ac:dyDescent="0.3">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c r="T1771">
        <f>IF(Table1[[#This Row],[Discount_Applied]]="Yes", 1,0)</f>
        <v>0</v>
      </c>
      <c r="U1771" t="str">
        <f>_xlfn.IFS(Table1[[#This Row],[Age]]&lt;=25, "Below 25", Table1[[#This Row],[Age]]&lt;=35, "Between 25-35", Table1[[#This Row],[Age]]&lt;=45, "Between 36-45", Table1[[#This Row],[Age]]&gt;45, "45+")</f>
        <v>Between 25-35</v>
      </c>
    </row>
    <row r="1772" spans="1:21" x14ac:dyDescent="0.3">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c r="T1772">
        <f>IF(Table1[[#This Row],[Discount_Applied]]="Yes", 1,0)</f>
        <v>0</v>
      </c>
      <c r="U1772" t="str">
        <f>_xlfn.IFS(Table1[[#This Row],[Age]]&lt;=25, "Below 25", Table1[[#This Row],[Age]]&lt;=35, "Between 25-35", Table1[[#This Row],[Age]]&lt;=45, "Between 36-45", Table1[[#This Row],[Age]]&gt;45, "45+")</f>
        <v>45+</v>
      </c>
    </row>
    <row r="1773" spans="1:21" x14ac:dyDescent="0.3">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c r="T1773">
        <f>IF(Table1[[#This Row],[Discount_Applied]]="Yes", 1,0)</f>
        <v>0</v>
      </c>
      <c r="U1773" t="str">
        <f>_xlfn.IFS(Table1[[#This Row],[Age]]&lt;=25, "Below 25", Table1[[#This Row],[Age]]&lt;=35, "Between 25-35", Table1[[#This Row],[Age]]&lt;=45, "Between 36-45", Table1[[#This Row],[Age]]&gt;45, "45+")</f>
        <v>45+</v>
      </c>
    </row>
    <row r="1774" spans="1:21" x14ac:dyDescent="0.3">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c r="T1774">
        <f>IF(Table1[[#This Row],[Discount_Applied]]="Yes", 1,0)</f>
        <v>0</v>
      </c>
      <c r="U1774" t="str">
        <f>_xlfn.IFS(Table1[[#This Row],[Age]]&lt;=25, "Below 25", Table1[[#This Row],[Age]]&lt;=35, "Between 25-35", Table1[[#This Row],[Age]]&lt;=45, "Between 36-45", Table1[[#This Row],[Age]]&gt;45, "45+")</f>
        <v>45+</v>
      </c>
    </row>
    <row r="1775" spans="1:21" x14ac:dyDescent="0.3">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c r="T1775">
        <f>IF(Table1[[#This Row],[Discount_Applied]]="Yes", 1,0)</f>
        <v>0</v>
      </c>
      <c r="U1775" t="str">
        <f>_xlfn.IFS(Table1[[#This Row],[Age]]&lt;=25, "Below 25", Table1[[#This Row],[Age]]&lt;=35, "Between 25-35", Table1[[#This Row],[Age]]&lt;=45, "Between 36-45", Table1[[#This Row],[Age]]&gt;45, "45+")</f>
        <v>Below 25</v>
      </c>
    </row>
    <row r="1776" spans="1:21" x14ac:dyDescent="0.3">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c r="T1776">
        <f>IF(Table1[[#This Row],[Discount_Applied]]="Yes", 1,0)</f>
        <v>0</v>
      </c>
      <c r="U1776" t="str">
        <f>_xlfn.IFS(Table1[[#This Row],[Age]]&lt;=25, "Below 25", Table1[[#This Row],[Age]]&lt;=35, "Between 25-35", Table1[[#This Row],[Age]]&lt;=45, "Between 36-45", Table1[[#This Row],[Age]]&gt;45, "45+")</f>
        <v>45+</v>
      </c>
    </row>
    <row r="1777" spans="1:21" x14ac:dyDescent="0.3">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c r="T1777">
        <f>IF(Table1[[#This Row],[Discount_Applied]]="Yes", 1,0)</f>
        <v>0</v>
      </c>
      <c r="U1777" t="str">
        <f>_xlfn.IFS(Table1[[#This Row],[Age]]&lt;=25, "Below 25", Table1[[#This Row],[Age]]&lt;=35, "Between 25-35", Table1[[#This Row],[Age]]&lt;=45, "Between 36-45", Table1[[#This Row],[Age]]&gt;45, "45+")</f>
        <v>Below 25</v>
      </c>
    </row>
    <row r="1778" spans="1:21" x14ac:dyDescent="0.3">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c r="T1778">
        <f>IF(Table1[[#This Row],[Discount_Applied]]="Yes", 1,0)</f>
        <v>0</v>
      </c>
      <c r="U1778" t="str">
        <f>_xlfn.IFS(Table1[[#This Row],[Age]]&lt;=25, "Below 25", Table1[[#This Row],[Age]]&lt;=35, "Between 25-35", Table1[[#This Row],[Age]]&lt;=45, "Between 36-45", Table1[[#This Row],[Age]]&gt;45, "45+")</f>
        <v>45+</v>
      </c>
    </row>
    <row r="1779" spans="1:21" x14ac:dyDescent="0.3">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c r="T1779">
        <f>IF(Table1[[#This Row],[Discount_Applied]]="Yes", 1,0)</f>
        <v>0</v>
      </c>
      <c r="U1779" t="str">
        <f>_xlfn.IFS(Table1[[#This Row],[Age]]&lt;=25, "Below 25", Table1[[#This Row],[Age]]&lt;=35, "Between 25-35", Table1[[#This Row],[Age]]&lt;=45, "Between 36-45", Table1[[#This Row],[Age]]&gt;45, "45+")</f>
        <v>Below 25</v>
      </c>
    </row>
    <row r="1780" spans="1:21" x14ac:dyDescent="0.3">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c r="T1780">
        <f>IF(Table1[[#This Row],[Discount_Applied]]="Yes", 1,0)</f>
        <v>0</v>
      </c>
      <c r="U1780" t="str">
        <f>_xlfn.IFS(Table1[[#This Row],[Age]]&lt;=25, "Below 25", Table1[[#This Row],[Age]]&lt;=35, "Between 25-35", Table1[[#This Row],[Age]]&lt;=45, "Between 36-45", Table1[[#This Row],[Age]]&gt;45, "45+")</f>
        <v>45+</v>
      </c>
    </row>
    <row r="1781" spans="1:21" x14ac:dyDescent="0.3">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c r="T1781">
        <f>IF(Table1[[#This Row],[Discount_Applied]]="Yes", 1,0)</f>
        <v>0</v>
      </c>
      <c r="U1781" t="str">
        <f>_xlfn.IFS(Table1[[#This Row],[Age]]&lt;=25, "Below 25", Table1[[#This Row],[Age]]&lt;=35, "Between 25-35", Table1[[#This Row],[Age]]&lt;=45, "Between 36-45", Table1[[#This Row],[Age]]&gt;45, "45+")</f>
        <v>Between 25-35</v>
      </c>
    </row>
    <row r="1782" spans="1:21" x14ac:dyDescent="0.3">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c r="T1782">
        <f>IF(Table1[[#This Row],[Discount_Applied]]="Yes", 1,0)</f>
        <v>0</v>
      </c>
      <c r="U1782" t="str">
        <f>_xlfn.IFS(Table1[[#This Row],[Age]]&lt;=25, "Below 25", Table1[[#This Row],[Age]]&lt;=35, "Between 25-35", Table1[[#This Row],[Age]]&lt;=45, "Between 36-45", Table1[[#This Row],[Age]]&gt;45, "45+")</f>
        <v>45+</v>
      </c>
    </row>
    <row r="1783" spans="1:21" x14ac:dyDescent="0.3">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c r="T1783">
        <f>IF(Table1[[#This Row],[Discount_Applied]]="Yes", 1,0)</f>
        <v>0</v>
      </c>
      <c r="U1783" t="str">
        <f>_xlfn.IFS(Table1[[#This Row],[Age]]&lt;=25, "Below 25", Table1[[#This Row],[Age]]&lt;=35, "Between 25-35", Table1[[#This Row],[Age]]&lt;=45, "Between 36-45", Table1[[#This Row],[Age]]&gt;45, "45+")</f>
        <v>Between 25-35</v>
      </c>
    </row>
    <row r="1784" spans="1:21" x14ac:dyDescent="0.3">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c r="T1784">
        <f>IF(Table1[[#This Row],[Discount_Applied]]="Yes", 1,0)</f>
        <v>0</v>
      </c>
      <c r="U1784" t="str">
        <f>_xlfn.IFS(Table1[[#This Row],[Age]]&lt;=25, "Below 25", Table1[[#This Row],[Age]]&lt;=35, "Between 25-35", Table1[[#This Row],[Age]]&lt;=45, "Between 36-45", Table1[[#This Row],[Age]]&gt;45, "45+")</f>
        <v>45+</v>
      </c>
    </row>
    <row r="1785" spans="1:21" x14ac:dyDescent="0.3">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c r="T1785">
        <f>IF(Table1[[#This Row],[Discount_Applied]]="Yes", 1,0)</f>
        <v>0</v>
      </c>
      <c r="U1785" t="str">
        <f>_xlfn.IFS(Table1[[#This Row],[Age]]&lt;=25, "Below 25", Table1[[#This Row],[Age]]&lt;=35, "Between 25-35", Table1[[#This Row],[Age]]&lt;=45, "Between 36-45", Table1[[#This Row],[Age]]&gt;45, "45+")</f>
        <v>Between 36-45</v>
      </c>
    </row>
    <row r="1786" spans="1:21" x14ac:dyDescent="0.3">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c r="T1786">
        <f>IF(Table1[[#This Row],[Discount_Applied]]="Yes", 1,0)</f>
        <v>0</v>
      </c>
      <c r="U1786" t="str">
        <f>_xlfn.IFS(Table1[[#This Row],[Age]]&lt;=25, "Below 25", Table1[[#This Row],[Age]]&lt;=35, "Between 25-35", Table1[[#This Row],[Age]]&lt;=45, "Between 36-45", Table1[[#This Row],[Age]]&gt;45, "45+")</f>
        <v>Between 25-35</v>
      </c>
    </row>
    <row r="1787" spans="1:21" x14ac:dyDescent="0.3">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c r="T1787">
        <f>IF(Table1[[#This Row],[Discount_Applied]]="Yes", 1,0)</f>
        <v>0</v>
      </c>
      <c r="U1787" t="str">
        <f>_xlfn.IFS(Table1[[#This Row],[Age]]&lt;=25, "Below 25", Table1[[#This Row],[Age]]&lt;=35, "Between 25-35", Table1[[#This Row],[Age]]&lt;=45, "Between 36-45", Table1[[#This Row],[Age]]&gt;45, "45+")</f>
        <v>45+</v>
      </c>
    </row>
    <row r="1788" spans="1:21" x14ac:dyDescent="0.3">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c r="T1788">
        <f>IF(Table1[[#This Row],[Discount_Applied]]="Yes", 1,0)</f>
        <v>0</v>
      </c>
      <c r="U1788" t="str">
        <f>_xlfn.IFS(Table1[[#This Row],[Age]]&lt;=25, "Below 25", Table1[[#This Row],[Age]]&lt;=35, "Between 25-35", Table1[[#This Row],[Age]]&lt;=45, "Between 36-45", Table1[[#This Row],[Age]]&gt;45, "45+")</f>
        <v>Between 36-45</v>
      </c>
    </row>
    <row r="1789" spans="1:21" x14ac:dyDescent="0.3">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c r="T1789">
        <f>IF(Table1[[#This Row],[Discount_Applied]]="Yes", 1,0)</f>
        <v>0</v>
      </c>
      <c r="U1789" t="str">
        <f>_xlfn.IFS(Table1[[#This Row],[Age]]&lt;=25, "Below 25", Table1[[#This Row],[Age]]&lt;=35, "Between 25-35", Table1[[#This Row],[Age]]&lt;=45, "Between 36-45", Table1[[#This Row],[Age]]&gt;45, "45+")</f>
        <v>Below 25</v>
      </c>
    </row>
    <row r="1790" spans="1:21" x14ac:dyDescent="0.3">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c r="T1790">
        <f>IF(Table1[[#This Row],[Discount_Applied]]="Yes", 1,0)</f>
        <v>0</v>
      </c>
      <c r="U1790" t="str">
        <f>_xlfn.IFS(Table1[[#This Row],[Age]]&lt;=25, "Below 25", Table1[[#This Row],[Age]]&lt;=35, "Between 25-35", Table1[[#This Row],[Age]]&lt;=45, "Between 36-45", Table1[[#This Row],[Age]]&gt;45, "45+")</f>
        <v>45+</v>
      </c>
    </row>
    <row r="1791" spans="1:21" x14ac:dyDescent="0.3">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c r="T1791">
        <f>IF(Table1[[#This Row],[Discount_Applied]]="Yes", 1,0)</f>
        <v>0</v>
      </c>
      <c r="U1791" t="str">
        <f>_xlfn.IFS(Table1[[#This Row],[Age]]&lt;=25, "Below 25", Table1[[#This Row],[Age]]&lt;=35, "Between 25-35", Table1[[#This Row],[Age]]&lt;=45, "Between 36-45", Table1[[#This Row],[Age]]&gt;45, "45+")</f>
        <v>45+</v>
      </c>
    </row>
    <row r="1792" spans="1:21" x14ac:dyDescent="0.3">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c r="T1792">
        <f>IF(Table1[[#This Row],[Discount_Applied]]="Yes", 1,0)</f>
        <v>0</v>
      </c>
      <c r="U1792" t="str">
        <f>_xlfn.IFS(Table1[[#This Row],[Age]]&lt;=25, "Below 25", Table1[[#This Row],[Age]]&lt;=35, "Between 25-35", Table1[[#This Row],[Age]]&lt;=45, "Between 36-45", Table1[[#This Row],[Age]]&gt;45, "45+")</f>
        <v>45+</v>
      </c>
    </row>
    <row r="1793" spans="1:21" x14ac:dyDescent="0.3">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c r="T1793">
        <f>IF(Table1[[#This Row],[Discount_Applied]]="Yes", 1,0)</f>
        <v>0</v>
      </c>
      <c r="U1793" t="str">
        <f>_xlfn.IFS(Table1[[#This Row],[Age]]&lt;=25, "Below 25", Table1[[#This Row],[Age]]&lt;=35, "Between 25-35", Table1[[#This Row],[Age]]&lt;=45, "Between 36-45", Table1[[#This Row],[Age]]&gt;45, "45+")</f>
        <v>45+</v>
      </c>
    </row>
    <row r="1794" spans="1:21" x14ac:dyDescent="0.3">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c r="T1794">
        <f>IF(Table1[[#This Row],[Discount_Applied]]="Yes", 1,0)</f>
        <v>0</v>
      </c>
      <c r="U1794" t="str">
        <f>_xlfn.IFS(Table1[[#This Row],[Age]]&lt;=25, "Below 25", Table1[[#This Row],[Age]]&lt;=35, "Between 25-35", Table1[[#This Row],[Age]]&lt;=45, "Between 36-45", Table1[[#This Row],[Age]]&gt;45, "45+")</f>
        <v>Between 36-45</v>
      </c>
    </row>
    <row r="1795" spans="1:21" x14ac:dyDescent="0.3">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c r="T1795">
        <f>IF(Table1[[#This Row],[Discount_Applied]]="Yes", 1,0)</f>
        <v>0</v>
      </c>
      <c r="U1795" t="str">
        <f>_xlfn.IFS(Table1[[#This Row],[Age]]&lt;=25, "Below 25", Table1[[#This Row],[Age]]&lt;=35, "Between 25-35", Table1[[#This Row],[Age]]&lt;=45, "Between 36-45", Table1[[#This Row],[Age]]&gt;45, "45+")</f>
        <v>45+</v>
      </c>
    </row>
    <row r="1796" spans="1:21" x14ac:dyDescent="0.3">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c r="T1796">
        <f>IF(Table1[[#This Row],[Discount_Applied]]="Yes", 1,0)</f>
        <v>0</v>
      </c>
      <c r="U1796" t="str">
        <f>_xlfn.IFS(Table1[[#This Row],[Age]]&lt;=25, "Below 25", Table1[[#This Row],[Age]]&lt;=35, "Between 25-35", Table1[[#This Row],[Age]]&lt;=45, "Between 36-45", Table1[[#This Row],[Age]]&gt;45, "45+")</f>
        <v>45+</v>
      </c>
    </row>
    <row r="1797" spans="1:21" x14ac:dyDescent="0.3">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c r="T1797">
        <f>IF(Table1[[#This Row],[Discount_Applied]]="Yes", 1,0)</f>
        <v>0</v>
      </c>
      <c r="U1797" t="str">
        <f>_xlfn.IFS(Table1[[#This Row],[Age]]&lt;=25, "Below 25", Table1[[#This Row],[Age]]&lt;=35, "Between 25-35", Table1[[#This Row],[Age]]&lt;=45, "Between 36-45", Table1[[#This Row],[Age]]&gt;45, "45+")</f>
        <v>45+</v>
      </c>
    </row>
    <row r="1798" spans="1:21" x14ac:dyDescent="0.3">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c r="T1798">
        <f>IF(Table1[[#This Row],[Discount_Applied]]="Yes", 1,0)</f>
        <v>0</v>
      </c>
      <c r="U1798" t="str">
        <f>_xlfn.IFS(Table1[[#This Row],[Age]]&lt;=25, "Below 25", Table1[[#This Row],[Age]]&lt;=35, "Between 25-35", Table1[[#This Row],[Age]]&lt;=45, "Between 36-45", Table1[[#This Row],[Age]]&gt;45, "45+")</f>
        <v>45+</v>
      </c>
    </row>
    <row r="1799" spans="1:21" x14ac:dyDescent="0.3">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c r="T1799">
        <f>IF(Table1[[#This Row],[Discount_Applied]]="Yes", 1,0)</f>
        <v>0</v>
      </c>
      <c r="U1799" t="str">
        <f>_xlfn.IFS(Table1[[#This Row],[Age]]&lt;=25, "Below 25", Table1[[#This Row],[Age]]&lt;=35, "Between 25-35", Table1[[#This Row],[Age]]&lt;=45, "Between 36-45", Table1[[#This Row],[Age]]&gt;45, "45+")</f>
        <v>45+</v>
      </c>
    </row>
    <row r="1800" spans="1:21" x14ac:dyDescent="0.3">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c r="T1800">
        <f>IF(Table1[[#This Row],[Discount_Applied]]="Yes", 1,0)</f>
        <v>0</v>
      </c>
      <c r="U1800" t="str">
        <f>_xlfn.IFS(Table1[[#This Row],[Age]]&lt;=25, "Below 25", Table1[[#This Row],[Age]]&lt;=35, "Between 25-35", Table1[[#This Row],[Age]]&lt;=45, "Between 36-45", Table1[[#This Row],[Age]]&gt;45, "45+")</f>
        <v>Between 36-45</v>
      </c>
    </row>
    <row r="1801" spans="1:21" x14ac:dyDescent="0.3">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c r="T1801">
        <f>IF(Table1[[#This Row],[Discount_Applied]]="Yes", 1,0)</f>
        <v>0</v>
      </c>
      <c r="U1801" t="str">
        <f>_xlfn.IFS(Table1[[#This Row],[Age]]&lt;=25, "Below 25", Table1[[#This Row],[Age]]&lt;=35, "Between 25-35", Table1[[#This Row],[Age]]&lt;=45, "Between 36-45", Table1[[#This Row],[Age]]&gt;45, "45+")</f>
        <v>Between 25-35</v>
      </c>
    </row>
    <row r="1802" spans="1:21" x14ac:dyDescent="0.3">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c r="T1802">
        <f>IF(Table1[[#This Row],[Discount_Applied]]="Yes", 1,0)</f>
        <v>0</v>
      </c>
      <c r="U1802" t="str">
        <f>_xlfn.IFS(Table1[[#This Row],[Age]]&lt;=25, "Below 25", Table1[[#This Row],[Age]]&lt;=35, "Between 25-35", Table1[[#This Row],[Age]]&lt;=45, "Between 36-45", Table1[[#This Row],[Age]]&gt;45, "45+")</f>
        <v>Below 25</v>
      </c>
    </row>
    <row r="1803" spans="1:21" x14ac:dyDescent="0.3">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c r="T1803">
        <f>IF(Table1[[#This Row],[Discount_Applied]]="Yes", 1,0)</f>
        <v>0</v>
      </c>
      <c r="U1803" t="str">
        <f>_xlfn.IFS(Table1[[#This Row],[Age]]&lt;=25, "Below 25", Table1[[#This Row],[Age]]&lt;=35, "Between 25-35", Table1[[#This Row],[Age]]&lt;=45, "Between 36-45", Table1[[#This Row],[Age]]&gt;45, "45+")</f>
        <v>Between 25-35</v>
      </c>
    </row>
    <row r="1804" spans="1:21" x14ac:dyDescent="0.3">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c r="T1804">
        <f>IF(Table1[[#This Row],[Discount_Applied]]="Yes", 1,0)</f>
        <v>0</v>
      </c>
      <c r="U1804" t="str">
        <f>_xlfn.IFS(Table1[[#This Row],[Age]]&lt;=25, "Below 25", Table1[[#This Row],[Age]]&lt;=35, "Between 25-35", Table1[[#This Row],[Age]]&lt;=45, "Between 36-45", Table1[[#This Row],[Age]]&gt;45, "45+")</f>
        <v>45+</v>
      </c>
    </row>
    <row r="1805" spans="1:21" x14ac:dyDescent="0.3">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c r="T1805">
        <f>IF(Table1[[#This Row],[Discount_Applied]]="Yes", 1,0)</f>
        <v>0</v>
      </c>
      <c r="U1805" t="str">
        <f>_xlfn.IFS(Table1[[#This Row],[Age]]&lt;=25, "Below 25", Table1[[#This Row],[Age]]&lt;=35, "Between 25-35", Table1[[#This Row],[Age]]&lt;=45, "Between 36-45", Table1[[#This Row],[Age]]&gt;45, "45+")</f>
        <v>45+</v>
      </c>
    </row>
    <row r="1806" spans="1:21" x14ac:dyDescent="0.3">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c r="T1806">
        <f>IF(Table1[[#This Row],[Discount_Applied]]="Yes", 1,0)</f>
        <v>0</v>
      </c>
      <c r="U1806" t="str">
        <f>_xlfn.IFS(Table1[[#This Row],[Age]]&lt;=25, "Below 25", Table1[[#This Row],[Age]]&lt;=35, "Between 25-35", Table1[[#This Row],[Age]]&lt;=45, "Between 36-45", Table1[[#This Row],[Age]]&gt;45, "45+")</f>
        <v>Between 25-35</v>
      </c>
    </row>
    <row r="1807" spans="1:21" x14ac:dyDescent="0.3">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c r="T1807">
        <f>IF(Table1[[#This Row],[Discount_Applied]]="Yes", 1,0)</f>
        <v>0</v>
      </c>
      <c r="U1807" t="str">
        <f>_xlfn.IFS(Table1[[#This Row],[Age]]&lt;=25, "Below 25", Table1[[#This Row],[Age]]&lt;=35, "Between 25-35", Table1[[#This Row],[Age]]&lt;=45, "Between 36-45", Table1[[#This Row],[Age]]&gt;45, "45+")</f>
        <v>Between 36-45</v>
      </c>
    </row>
    <row r="1808" spans="1:21" x14ac:dyDescent="0.3">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c r="T1808">
        <f>IF(Table1[[#This Row],[Discount_Applied]]="Yes", 1,0)</f>
        <v>0</v>
      </c>
      <c r="U1808" t="str">
        <f>_xlfn.IFS(Table1[[#This Row],[Age]]&lt;=25, "Below 25", Table1[[#This Row],[Age]]&lt;=35, "Between 25-35", Table1[[#This Row],[Age]]&lt;=45, "Between 36-45", Table1[[#This Row],[Age]]&gt;45, "45+")</f>
        <v>45+</v>
      </c>
    </row>
    <row r="1809" spans="1:21" x14ac:dyDescent="0.3">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c r="T1809">
        <f>IF(Table1[[#This Row],[Discount_Applied]]="Yes", 1,0)</f>
        <v>0</v>
      </c>
      <c r="U1809" t="str">
        <f>_xlfn.IFS(Table1[[#This Row],[Age]]&lt;=25, "Below 25", Table1[[#This Row],[Age]]&lt;=35, "Between 25-35", Table1[[#This Row],[Age]]&lt;=45, "Between 36-45", Table1[[#This Row],[Age]]&gt;45, "45+")</f>
        <v>Between 25-35</v>
      </c>
    </row>
    <row r="1810" spans="1:21" x14ac:dyDescent="0.3">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c r="T1810">
        <f>IF(Table1[[#This Row],[Discount_Applied]]="Yes", 1,0)</f>
        <v>0</v>
      </c>
      <c r="U1810" t="str">
        <f>_xlfn.IFS(Table1[[#This Row],[Age]]&lt;=25, "Below 25", Table1[[#This Row],[Age]]&lt;=35, "Between 25-35", Table1[[#This Row],[Age]]&lt;=45, "Between 36-45", Table1[[#This Row],[Age]]&gt;45, "45+")</f>
        <v>45+</v>
      </c>
    </row>
    <row r="1811" spans="1:21" x14ac:dyDescent="0.3">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c r="T1811">
        <f>IF(Table1[[#This Row],[Discount_Applied]]="Yes", 1,0)</f>
        <v>0</v>
      </c>
      <c r="U1811" t="str">
        <f>_xlfn.IFS(Table1[[#This Row],[Age]]&lt;=25, "Below 25", Table1[[#This Row],[Age]]&lt;=35, "Between 25-35", Table1[[#This Row],[Age]]&lt;=45, "Between 36-45", Table1[[#This Row],[Age]]&gt;45, "45+")</f>
        <v>45+</v>
      </c>
    </row>
    <row r="1812" spans="1:21" x14ac:dyDescent="0.3">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c r="T1812">
        <f>IF(Table1[[#This Row],[Discount_Applied]]="Yes", 1,0)</f>
        <v>0</v>
      </c>
      <c r="U1812" t="str">
        <f>_xlfn.IFS(Table1[[#This Row],[Age]]&lt;=25, "Below 25", Table1[[#This Row],[Age]]&lt;=35, "Between 25-35", Table1[[#This Row],[Age]]&lt;=45, "Between 36-45", Table1[[#This Row],[Age]]&gt;45, "45+")</f>
        <v>Between 36-45</v>
      </c>
    </row>
    <row r="1813" spans="1:21" x14ac:dyDescent="0.3">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c r="T1813">
        <f>IF(Table1[[#This Row],[Discount_Applied]]="Yes", 1,0)</f>
        <v>0</v>
      </c>
      <c r="U1813" t="str">
        <f>_xlfn.IFS(Table1[[#This Row],[Age]]&lt;=25, "Below 25", Table1[[#This Row],[Age]]&lt;=35, "Between 25-35", Table1[[#This Row],[Age]]&lt;=45, "Between 36-45", Table1[[#This Row],[Age]]&gt;45, "45+")</f>
        <v>Between 36-45</v>
      </c>
    </row>
    <row r="1814" spans="1:21" x14ac:dyDescent="0.3">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c r="T1814">
        <f>IF(Table1[[#This Row],[Discount_Applied]]="Yes", 1,0)</f>
        <v>0</v>
      </c>
      <c r="U1814" t="str">
        <f>_xlfn.IFS(Table1[[#This Row],[Age]]&lt;=25, "Below 25", Table1[[#This Row],[Age]]&lt;=35, "Between 25-35", Table1[[#This Row],[Age]]&lt;=45, "Between 36-45", Table1[[#This Row],[Age]]&gt;45, "45+")</f>
        <v>45+</v>
      </c>
    </row>
    <row r="1815" spans="1:21" x14ac:dyDescent="0.3">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c r="T1815">
        <f>IF(Table1[[#This Row],[Discount_Applied]]="Yes", 1,0)</f>
        <v>0</v>
      </c>
      <c r="U1815" t="str">
        <f>_xlfn.IFS(Table1[[#This Row],[Age]]&lt;=25, "Below 25", Table1[[#This Row],[Age]]&lt;=35, "Between 25-35", Table1[[#This Row],[Age]]&lt;=45, "Between 36-45", Table1[[#This Row],[Age]]&gt;45, "45+")</f>
        <v>Between 36-45</v>
      </c>
    </row>
    <row r="1816" spans="1:21" x14ac:dyDescent="0.3">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c r="T1816">
        <f>IF(Table1[[#This Row],[Discount_Applied]]="Yes", 1,0)</f>
        <v>0</v>
      </c>
      <c r="U1816" t="str">
        <f>_xlfn.IFS(Table1[[#This Row],[Age]]&lt;=25, "Below 25", Table1[[#This Row],[Age]]&lt;=35, "Between 25-35", Table1[[#This Row],[Age]]&lt;=45, "Between 36-45", Table1[[#This Row],[Age]]&gt;45, "45+")</f>
        <v>Between 25-35</v>
      </c>
    </row>
    <row r="1817" spans="1:21" x14ac:dyDescent="0.3">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c r="T1817">
        <f>IF(Table1[[#This Row],[Discount_Applied]]="Yes", 1,0)</f>
        <v>0</v>
      </c>
      <c r="U1817" t="str">
        <f>_xlfn.IFS(Table1[[#This Row],[Age]]&lt;=25, "Below 25", Table1[[#This Row],[Age]]&lt;=35, "Between 25-35", Table1[[#This Row],[Age]]&lt;=45, "Between 36-45", Table1[[#This Row],[Age]]&gt;45, "45+")</f>
        <v>45+</v>
      </c>
    </row>
    <row r="1818" spans="1:21" x14ac:dyDescent="0.3">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c r="T1818">
        <f>IF(Table1[[#This Row],[Discount_Applied]]="Yes", 1,0)</f>
        <v>0</v>
      </c>
      <c r="U1818" t="str">
        <f>_xlfn.IFS(Table1[[#This Row],[Age]]&lt;=25, "Below 25", Table1[[#This Row],[Age]]&lt;=35, "Between 25-35", Table1[[#This Row],[Age]]&lt;=45, "Between 36-45", Table1[[#This Row],[Age]]&gt;45, "45+")</f>
        <v>Between 25-35</v>
      </c>
    </row>
    <row r="1819" spans="1:21" x14ac:dyDescent="0.3">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c r="T1819">
        <f>IF(Table1[[#This Row],[Discount_Applied]]="Yes", 1,0)</f>
        <v>0</v>
      </c>
      <c r="U1819" t="str">
        <f>_xlfn.IFS(Table1[[#This Row],[Age]]&lt;=25, "Below 25", Table1[[#This Row],[Age]]&lt;=35, "Between 25-35", Table1[[#This Row],[Age]]&lt;=45, "Between 36-45", Table1[[#This Row],[Age]]&gt;45, "45+")</f>
        <v>Between 25-35</v>
      </c>
    </row>
    <row r="1820" spans="1:21" x14ac:dyDescent="0.3">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c r="T1820">
        <f>IF(Table1[[#This Row],[Discount_Applied]]="Yes", 1,0)</f>
        <v>0</v>
      </c>
      <c r="U1820" t="str">
        <f>_xlfn.IFS(Table1[[#This Row],[Age]]&lt;=25, "Below 25", Table1[[#This Row],[Age]]&lt;=35, "Between 25-35", Table1[[#This Row],[Age]]&lt;=45, "Between 36-45", Table1[[#This Row],[Age]]&gt;45, "45+")</f>
        <v>45+</v>
      </c>
    </row>
    <row r="1821" spans="1:21" x14ac:dyDescent="0.3">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c r="T1821">
        <f>IF(Table1[[#This Row],[Discount_Applied]]="Yes", 1,0)</f>
        <v>0</v>
      </c>
      <c r="U1821" t="str">
        <f>_xlfn.IFS(Table1[[#This Row],[Age]]&lt;=25, "Below 25", Table1[[#This Row],[Age]]&lt;=35, "Between 25-35", Table1[[#This Row],[Age]]&lt;=45, "Between 36-45", Table1[[#This Row],[Age]]&gt;45, "45+")</f>
        <v>45+</v>
      </c>
    </row>
    <row r="1822" spans="1:21" x14ac:dyDescent="0.3">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c r="T1822">
        <f>IF(Table1[[#This Row],[Discount_Applied]]="Yes", 1,0)</f>
        <v>0</v>
      </c>
      <c r="U1822" t="str">
        <f>_xlfn.IFS(Table1[[#This Row],[Age]]&lt;=25, "Below 25", Table1[[#This Row],[Age]]&lt;=35, "Between 25-35", Table1[[#This Row],[Age]]&lt;=45, "Between 36-45", Table1[[#This Row],[Age]]&gt;45, "45+")</f>
        <v>Below 25</v>
      </c>
    </row>
    <row r="1823" spans="1:21" x14ac:dyDescent="0.3">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c r="T1823">
        <f>IF(Table1[[#This Row],[Discount_Applied]]="Yes", 1,0)</f>
        <v>0</v>
      </c>
      <c r="U1823" t="str">
        <f>_xlfn.IFS(Table1[[#This Row],[Age]]&lt;=25, "Below 25", Table1[[#This Row],[Age]]&lt;=35, "Between 25-35", Table1[[#This Row],[Age]]&lt;=45, "Between 36-45", Table1[[#This Row],[Age]]&gt;45, "45+")</f>
        <v>45+</v>
      </c>
    </row>
    <row r="1824" spans="1:21" x14ac:dyDescent="0.3">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c r="T1824">
        <f>IF(Table1[[#This Row],[Discount_Applied]]="Yes", 1,0)</f>
        <v>0</v>
      </c>
      <c r="U1824" t="str">
        <f>_xlfn.IFS(Table1[[#This Row],[Age]]&lt;=25, "Below 25", Table1[[#This Row],[Age]]&lt;=35, "Between 25-35", Table1[[#This Row],[Age]]&lt;=45, "Between 36-45", Table1[[#This Row],[Age]]&gt;45, "45+")</f>
        <v>45+</v>
      </c>
    </row>
    <row r="1825" spans="1:21" x14ac:dyDescent="0.3">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c r="T1825">
        <f>IF(Table1[[#This Row],[Discount_Applied]]="Yes", 1,0)</f>
        <v>0</v>
      </c>
      <c r="U1825" t="str">
        <f>_xlfn.IFS(Table1[[#This Row],[Age]]&lt;=25, "Below 25", Table1[[#This Row],[Age]]&lt;=35, "Between 25-35", Table1[[#This Row],[Age]]&lt;=45, "Between 36-45", Table1[[#This Row],[Age]]&gt;45, "45+")</f>
        <v>45+</v>
      </c>
    </row>
    <row r="1826" spans="1:21" x14ac:dyDescent="0.3">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c r="T1826">
        <f>IF(Table1[[#This Row],[Discount_Applied]]="Yes", 1,0)</f>
        <v>0</v>
      </c>
      <c r="U1826" t="str">
        <f>_xlfn.IFS(Table1[[#This Row],[Age]]&lt;=25, "Below 25", Table1[[#This Row],[Age]]&lt;=35, "Between 25-35", Table1[[#This Row],[Age]]&lt;=45, "Between 36-45", Table1[[#This Row],[Age]]&gt;45, "45+")</f>
        <v>45+</v>
      </c>
    </row>
    <row r="1827" spans="1:21" x14ac:dyDescent="0.3">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c r="T1827">
        <f>IF(Table1[[#This Row],[Discount_Applied]]="Yes", 1,0)</f>
        <v>0</v>
      </c>
      <c r="U1827" t="str">
        <f>_xlfn.IFS(Table1[[#This Row],[Age]]&lt;=25, "Below 25", Table1[[#This Row],[Age]]&lt;=35, "Between 25-35", Table1[[#This Row],[Age]]&lt;=45, "Between 36-45", Table1[[#This Row],[Age]]&gt;45, "45+")</f>
        <v>Below 25</v>
      </c>
    </row>
    <row r="1828" spans="1:21" x14ac:dyDescent="0.3">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c r="T1828">
        <f>IF(Table1[[#This Row],[Discount_Applied]]="Yes", 1,0)</f>
        <v>0</v>
      </c>
      <c r="U1828" t="str">
        <f>_xlfn.IFS(Table1[[#This Row],[Age]]&lt;=25, "Below 25", Table1[[#This Row],[Age]]&lt;=35, "Between 25-35", Table1[[#This Row],[Age]]&lt;=45, "Between 36-45", Table1[[#This Row],[Age]]&gt;45, "45+")</f>
        <v>Between 36-45</v>
      </c>
    </row>
    <row r="1829" spans="1:21" x14ac:dyDescent="0.3">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c r="T1829">
        <f>IF(Table1[[#This Row],[Discount_Applied]]="Yes", 1,0)</f>
        <v>0</v>
      </c>
      <c r="U1829" t="str">
        <f>_xlfn.IFS(Table1[[#This Row],[Age]]&lt;=25, "Below 25", Table1[[#This Row],[Age]]&lt;=35, "Between 25-35", Table1[[#This Row],[Age]]&lt;=45, "Between 36-45", Table1[[#This Row],[Age]]&gt;45, "45+")</f>
        <v>Below 25</v>
      </c>
    </row>
    <row r="1830" spans="1:21" x14ac:dyDescent="0.3">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c r="T1830">
        <f>IF(Table1[[#This Row],[Discount_Applied]]="Yes", 1,0)</f>
        <v>0</v>
      </c>
      <c r="U1830" t="str">
        <f>_xlfn.IFS(Table1[[#This Row],[Age]]&lt;=25, "Below 25", Table1[[#This Row],[Age]]&lt;=35, "Between 25-35", Table1[[#This Row],[Age]]&lt;=45, "Between 36-45", Table1[[#This Row],[Age]]&gt;45, "45+")</f>
        <v>Between 25-35</v>
      </c>
    </row>
    <row r="1831" spans="1:21" x14ac:dyDescent="0.3">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c r="T1831">
        <f>IF(Table1[[#This Row],[Discount_Applied]]="Yes", 1,0)</f>
        <v>0</v>
      </c>
      <c r="U1831" t="str">
        <f>_xlfn.IFS(Table1[[#This Row],[Age]]&lt;=25, "Below 25", Table1[[#This Row],[Age]]&lt;=35, "Between 25-35", Table1[[#This Row],[Age]]&lt;=45, "Between 36-45", Table1[[#This Row],[Age]]&gt;45, "45+")</f>
        <v>Between 25-35</v>
      </c>
    </row>
    <row r="1832" spans="1:21" x14ac:dyDescent="0.3">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c r="T1832">
        <f>IF(Table1[[#This Row],[Discount_Applied]]="Yes", 1,0)</f>
        <v>0</v>
      </c>
      <c r="U1832" t="str">
        <f>_xlfn.IFS(Table1[[#This Row],[Age]]&lt;=25, "Below 25", Table1[[#This Row],[Age]]&lt;=35, "Between 25-35", Table1[[#This Row],[Age]]&lt;=45, "Between 36-45", Table1[[#This Row],[Age]]&gt;45, "45+")</f>
        <v>45+</v>
      </c>
    </row>
    <row r="1833" spans="1:21" x14ac:dyDescent="0.3">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c r="T1833">
        <f>IF(Table1[[#This Row],[Discount_Applied]]="Yes", 1,0)</f>
        <v>0</v>
      </c>
      <c r="U1833" t="str">
        <f>_xlfn.IFS(Table1[[#This Row],[Age]]&lt;=25, "Below 25", Table1[[#This Row],[Age]]&lt;=35, "Between 25-35", Table1[[#This Row],[Age]]&lt;=45, "Between 36-45", Table1[[#This Row],[Age]]&gt;45, "45+")</f>
        <v>45+</v>
      </c>
    </row>
    <row r="1834" spans="1:21" x14ac:dyDescent="0.3">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c r="T1834">
        <f>IF(Table1[[#This Row],[Discount_Applied]]="Yes", 1,0)</f>
        <v>0</v>
      </c>
      <c r="U1834" t="str">
        <f>_xlfn.IFS(Table1[[#This Row],[Age]]&lt;=25, "Below 25", Table1[[#This Row],[Age]]&lt;=35, "Between 25-35", Table1[[#This Row],[Age]]&lt;=45, "Between 36-45", Table1[[#This Row],[Age]]&gt;45, "45+")</f>
        <v>45+</v>
      </c>
    </row>
    <row r="1835" spans="1:21" x14ac:dyDescent="0.3">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c r="T1835">
        <f>IF(Table1[[#This Row],[Discount_Applied]]="Yes", 1,0)</f>
        <v>0</v>
      </c>
      <c r="U1835" t="str">
        <f>_xlfn.IFS(Table1[[#This Row],[Age]]&lt;=25, "Below 25", Table1[[#This Row],[Age]]&lt;=35, "Between 25-35", Table1[[#This Row],[Age]]&lt;=45, "Between 36-45", Table1[[#This Row],[Age]]&gt;45, "45+")</f>
        <v>Between 25-35</v>
      </c>
    </row>
    <row r="1836" spans="1:21" x14ac:dyDescent="0.3">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c r="T1836">
        <f>IF(Table1[[#This Row],[Discount_Applied]]="Yes", 1,0)</f>
        <v>0</v>
      </c>
      <c r="U1836" t="str">
        <f>_xlfn.IFS(Table1[[#This Row],[Age]]&lt;=25, "Below 25", Table1[[#This Row],[Age]]&lt;=35, "Between 25-35", Table1[[#This Row],[Age]]&lt;=45, "Between 36-45", Table1[[#This Row],[Age]]&gt;45, "45+")</f>
        <v>45+</v>
      </c>
    </row>
    <row r="1837" spans="1:21" x14ac:dyDescent="0.3">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c r="T1837">
        <f>IF(Table1[[#This Row],[Discount_Applied]]="Yes", 1,0)</f>
        <v>0</v>
      </c>
      <c r="U1837" t="str">
        <f>_xlfn.IFS(Table1[[#This Row],[Age]]&lt;=25, "Below 25", Table1[[#This Row],[Age]]&lt;=35, "Between 25-35", Table1[[#This Row],[Age]]&lt;=45, "Between 36-45", Table1[[#This Row],[Age]]&gt;45, "45+")</f>
        <v>45+</v>
      </c>
    </row>
    <row r="1838" spans="1:21" x14ac:dyDescent="0.3">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c r="T1838">
        <f>IF(Table1[[#This Row],[Discount_Applied]]="Yes", 1,0)</f>
        <v>0</v>
      </c>
      <c r="U1838" t="str">
        <f>_xlfn.IFS(Table1[[#This Row],[Age]]&lt;=25, "Below 25", Table1[[#This Row],[Age]]&lt;=35, "Between 25-35", Table1[[#This Row],[Age]]&lt;=45, "Between 36-45", Table1[[#This Row],[Age]]&gt;45, "45+")</f>
        <v>45+</v>
      </c>
    </row>
    <row r="1839" spans="1:21" x14ac:dyDescent="0.3">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c r="T1839">
        <f>IF(Table1[[#This Row],[Discount_Applied]]="Yes", 1,0)</f>
        <v>0</v>
      </c>
      <c r="U1839" t="str">
        <f>_xlfn.IFS(Table1[[#This Row],[Age]]&lt;=25, "Below 25", Table1[[#This Row],[Age]]&lt;=35, "Between 25-35", Table1[[#This Row],[Age]]&lt;=45, "Between 36-45", Table1[[#This Row],[Age]]&gt;45, "45+")</f>
        <v>Between 36-45</v>
      </c>
    </row>
    <row r="1840" spans="1:21" x14ac:dyDescent="0.3">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c r="T1840">
        <f>IF(Table1[[#This Row],[Discount_Applied]]="Yes", 1,0)</f>
        <v>0</v>
      </c>
      <c r="U1840" t="str">
        <f>_xlfn.IFS(Table1[[#This Row],[Age]]&lt;=25, "Below 25", Table1[[#This Row],[Age]]&lt;=35, "Between 25-35", Table1[[#This Row],[Age]]&lt;=45, "Between 36-45", Table1[[#This Row],[Age]]&gt;45, "45+")</f>
        <v>Between 36-45</v>
      </c>
    </row>
    <row r="1841" spans="1:21" x14ac:dyDescent="0.3">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c r="T1841">
        <f>IF(Table1[[#This Row],[Discount_Applied]]="Yes", 1,0)</f>
        <v>0</v>
      </c>
      <c r="U1841" t="str">
        <f>_xlfn.IFS(Table1[[#This Row],[Age]]&lt;=25, "Below 25", Table1[[#This Row],[Age]]&lt;=35, "Between 25-35", Table1[[#This Row],[Age]]&lt;=45, "Between 36-45", Table1[[#This Row],[Age]]&gt;45, "45+")</f>
        <v>Between 25-35</v>
      </c>
    </row>
    <row r="1842" spans="1:21" x14ac:dyDescent="0.3">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c r="T1842">
        <f>IF(Table1[[#This Row],[Discount_Applied]]="Yes", 1,0)</f>
        <v>0</v>
      </c>
      <c r="U1842" t="str">
        <f>_xlfn.IFS(Table1[[#This Row],[Age]]&lt;=25, "Below 25", Table1[[#This Row],[Age]]&lt;=35, "Between 25-35", Table1[[#This Row],[Age]]&lt;=45, "Between 36-45", Table1[[#This Row],[Age]]&gt;45, "45+")</f>
        <v>Between 36-45</v>
      </c>
    </row>
    <row r="1843" spans="1:21" x14ac:dyDescent="0.3">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c r="T1843">
        <f>IF(Table1[[#This Row],[Discount_Applied]]="Yes", 1,0)</f>
        <v>0</v>
      </c>
      <c r="U1843" t="str">
        <f>_xlfn.IFS(Table1[[#This Row],[Age]]&lt;=25, "Below 25", Table1[[#This Row],[Age]]&lt;=35, "Between 25-35", Table1[[#This Row],[Age]]&lt;=45, "Between 36-45", Table1[[#This Row],[Age]]&gt;45, "45+")</f>
        <v>Between 25-35</v>
      </c>
    </row>
    <row r="1844" spans="1:21" x14ac:dyDescent="0.3">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c r="T1844">
        <f>IF(Table1[[#This Row],[Discount_Applied]]="Yes", 1,0)</f>
        <v>0</v>
      </c>
      <c r="U1844" t="str">
        <f>_xlfn.IFS(Table1[[#This Row],[Age]]&lt;=25, "Below 25", Table1[[#This Row],[Age]]&lt;=35, "Between 25-35", Table1[[#This Row],[Age]]&lt;=45, "Between 36-45", Table1[[#This Row],[Age]]&gt;45, "45+")</f>
        <v>45+</v>
      </c>
    </row>
    <row r="1845" spans="1:21" x14ac:dyDescent="0.3">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c r="T1845">
        <f>IF(Table1[[#This Row],[Discount_Applied]]="Yes", 1,0)</f>
        <v>0</v>
      </c>
      <c r="U1845" t="str">
        <f>_xlfn.IFS(Table1[[#This Row],[Age]]&lt;=25, "Below 25", Table1[[#This Row],[Age]]&lt;=35, "Between 25-35", Table1[[#This Row],[Age]]&lt;=45, "Between 36-45", Table1[[#This Row],[Age]]&gt;45, "45+")</f>
        <v>Between 36-45</v>
      </c>
    </row>
    <row r="1846" spans="1:21" x14ac:dyDescent="0.3">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c r="T1846">
        <f>IF(Table1[[#This Row],[Discount_Applied]]="Yes", 1,0)</f>
        <v>0</v>
      </c>
      <c r="U1846" t="str">
        <f>_xlfn.IFS(Table1[[#This Row],[Age]]&lt;=25, "Below 25", Table1[[#This Row],[Age]]&lt;=35, "Between 25-35", Table1[[#This Row],[Age]]&lt;=45, "Between 36-45", Table1[[#This Row],[Age]]&gt;45, "45+")</f>
        <v>45+</v>
      </c>
    </row>
    <row r="1847" spans="1:21" x14ac:dyDescent="0.3">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c r="T1847">
        <f>IF(Table1[[#This Row],[Discount_Applied]]="Yes", 1,0)</f>
        <v>0</v>
      </c>
      <c r="U1847" t="str">
        <f>_xlfn.IFS(Table1[[#This Row],[Age]]&lt;=25, "Below 25", Table1[[#This Row],[Age]]&lt;=35, "Between 25-35", Table1[[#This Row],[Age]]&lt;=45, "Between 36-45", Table1[[#This Row],[Age]]&gt;45, "45+")</f>
        <v>45+</v>
      </c>
    </row>
    <row r="1848" spans="1:21" x14ac:dyDescent="0.3">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c r="T1848">
        <f>IF(Table1[[#This Row],[Discount_Applied]]="Yes", 1,0)</f>
        <v>0</v>
      </c>
      <c r="U1848" t="str">
        <f>_xlfn.IFS(Table1[[#This Row],[Age]]&lt;=25, "Below 25", Table1[[#This Row],[Age]]&lt;=35, "Between 25-35", Table1[[#This Row],[Age]]&lt;=45, "Between 36-45", Table1[[#This Row],[Age]]&gt;45, "45+")</f>
        <v>45+</v>
      </c>
    </row>
    <row r="1849" spans="1:21" x14ac:dyDescent="0.3">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c r="T1849">
        <f>IF(Table1[[#This Row],[Discount_Applied]]="Yes", 1,0)</f>
        <v>0</v>
      </c>
      <c r="U1849" t="str">
        <f>_xlfn.IFS(Table1[[#This Row],[Age]]&lt;=25, "Below 25", Table1[[#This Row],[Age]]&lt;=35, "Between 25-35", Table1[[#This Row],[Age]]&lt;=45, "Between 36-45", Table1[[#This Row],[Age]]&gt;45, "45+")</f>
        <v>45+</v>
      </c>
    </row>
    <row r="1850" spans="1:21" x14ac:dyDescent="0.3">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c r="T1850">
        <f>IF(Table1[[#This Row],[Discount_Applied]]="Yes", 1,0)</f>
        <v>0</v>
      </c>
      <c r="U1850" t="str">
        <f>_xlfn.IFS(Table1[[#This Row],[Age]]&lt;=25, "Below 25", Table1[[#This Row],[Age]]&lt;=35, "Between 25-35", Table1[[#This Row],[Age]]&lt;=45, "Between 36-45", Table1[[#This Row],[Age]]&gt;45, "45+")</f>
        <v>Below 25</v>
      </c>
    </row>
    <row r="1851" spans="1:21" x14ac:dyDescent="0.3">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c r="T1851">
        <f>IF(Table1[[#This Row],[Discount_Applied]]="Yes", 1,0)</f>
        <v>0</v>
      </c>
      <c r="U1851" t="str">
        <f>_xlfn.IFS(Table1[[#This Row],[Age]]&lt;=25, "Below 25", Table1[[#This Row],[Age]]&lt;=35, "Between 25-35", Table1[[#This Row],[Age]]&lt;=45, "Between 36-45", Table1[[#This Row],[Age]]&gt;45, "45+")</f>
        <v>Between 25-35</v>
      </c>
    </row>
    <row r="1852" spans="1:21" x14ac:dyDescent="0.3">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c r="T1852">
        <f>IF(Table1[[#This Row],[Discount_Applied]]="Yes", 1,0)</f>
        <v>0</v>
      </c>
      <c r="U1852" t="str">
        <f>_xlfn.IFS(Table1[[#This Row],[Age]]&lt;=25, "Below 25", Table1[[#This Row],[Age]]&lt;=35, "Between 25-35", Table1[[#This Row],[Age]]&lt;=45, "Between 36-45", Table1[[#This Row],[Age]]&gt;45, "45+")</f>
        <v>45+</v>
      </c>
    </row>
    <row r="1853" spans="1:21" x14ac:dyDescent="0.3">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c r="T1853">
        <f>IF(Table1[[#This Row],[Discount_Applied]]="Yes", 1,0)</f>
        <v>0</v>
      </c>
      <c r="U1853" t="str">
        <f>_xlfn.IFS(Table1[[#This Row],[Age]]&lt;=25, "Below 25", Table1[[#This Row],[Age]]&lt;=35, "Between 25-35", Table1[[#This Row],[Age]]&lt;=45, "Between 36-45", Table1[[#This Row],[Age]]&gt;45, "45+")</f>
        <v>Between 25-35</v>
      </c>
    </row>
    <row r="1854" spans="1:21" x14ac:dyDescent="0.3">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c r="T1854">
        <f>IF(Table1[[#This Row],[Discount_Applied]]="Yes", 1,0)</f>
        <v>0</v>
      </c>
      <c r="U1854" t="str">
        <f>_xlfn.IFS(Table1[[#This Row],[Age]]&lt;=25, "Below 25", Table1[[#This Row],[Age]]&lt;=35, "Between 25-35", Table1[[#This Row],[Age]]&lt;=45, "Between 36-45", Table1[[#This Row],[Age]]&gt;45, "45+")</f>
        <v>Between 36-45</v>
      </c>
    </row>
    <row r="1855" spans="1:21" x14ac:dyDescent="0.3">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c r="T1855">
        <f>IF(Table1[[#This Row],[Discount_Applied]]="Yes", 1,0)</f>
        <v>0</v>
      </c>
      <c r="U1855" t="str">
        <f>_xlfn.IFS(Table1[[#This Row],[Age]]&lt;=25, "Below 25", Table1[[#This Row],[Age]]&lt;=35, "Between 25-35", Table1[[#This Row],[Age]]&lt;=45, "Between 36-45", Table1[[#This Row],[Age]]&gt;45, "45+")</f>
        <v>Between 25-35</v>
      </c>
    </row>
    <row r="1856" spans="1:21" x14ac:dyDescent="0.3">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c r="T1856">
        <f>IF(Table1[[#This Row],[Discount_Applied]]="Yes", 1,0)</f>
        <v>0</v>
      </c>
      <c r="U1856" t="str">
        <f>_xlfn.IFS(Table1[[#This Row],[Age]]&lt;=25, "Below 25", Table1[[#This Row],[Age]]&lt;=35, "Between 25-35", Table1[[#This Row],[Age]]&lt;=45, "Between 36-45", Table1[[#This Row],[Age]]&gt;45, "45+")</f>
        <v>Below 25</v>
      </c>
    </row>
    <row r="1857" spans="1:21" x14ac:dyDescent="0.3">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c r="T1857">
        <f>IF(Table1[[#This Row],[Discount_Applied]]="Yes", 1,0)</f>
        <v>0</v>
      </c>
      <c r="U1857" t="str">
        <f>_xlfn.IFS(Table1[[#This Row],[Age]]&lt;=25, "Below 25", Table1[[#This Row],[Age]]&lt;=35, "Between 25-35", Table1[[#This Row],[Age]]&lt;=45, "Between 36-45", Table1[[#This Row],[Age]]&gt;45, "45+")</f>
        <v>45+</v>
      </c>
    </row>
    <row r="1858" spans="1:21" x14ac:dyDescent="0.3">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c r="T1858">
        <f>IF(Table1[[#This Row],[Discount_Applied]]="Yes", 1,0)</f>
        <v>0</v>
      </c>
      <c r="U1858" t="str">
        <f>_xlfn.IFS(Table1[[#This Row],[Age]]&lt;=25, "Below 25", Table1[[#This Row],[Age]]&lt;=35, "Between 25-35", Table1[[#This Row],[Age]]&lt;=45, "Between 36-45", Table1[[#This Row],[Age]]&gt;45, "45+")</f>
        <v>45+</v>
      </c>
    </row>
    <row r="1859" spans="1:21" x14ac:dyDescent="0.3">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c r="T1859">
        <f>IF(Table1[[#This Row],[Discount_Applied]]="Yes", 1,0)</f>
        <v>0</v>
      </c>
      <c r="U1859" t="str">
        <f>_xlfn.IFS(Table1[[#This Row],[Age]]&lt;=25, "Below 25", Table1[[#This Row],[Age]]&lt;=35, "Between 25-35", Table1[[#This Row],[Age]]&lt;=45, "Between 36-45", Table1[[#This Row],[Age]]&gt;45, "45+")</f>
        <v>45+</v>
      </c>
    </row>
    <row r="1860" spans="1:21" x14ac:dyDescent="0.3">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c r="T1860">
        <f>IF(Table1[[#This Row],[Discount_Applied]]="Yes", 1,0)</f>
        <v>0</v>
      </c>
      <c r="U1860" t="str">
        <f>_xlfn.IFS(Table1[[#This Row],[Age]]&lt;=25, "Below 25", Table1[[#This Row],[Age]]&lt;=35, "Between 25-35", Table1[[#This Row],[Age]]&lt;=45, "Between 36-45", Table1[[#This Row],[Age]]&gt;45, "45+")</f>
        <v>Below 25</v>
      </c>
    </row>
    <row r="1861" spans="1:21" x14ac:dyDescent="0.3">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c r="T1861">
        <f>IF(Table1[[#This Row],[Discount_Applied]]="Yes", 1,0)</f>
        <v>0</v>
      </c>
      <c r="U1861" t="str">
        <f>_xlfn.IFS(Table1[[#This Row],[Age]]&lt;=25, "Below 25", Table1[[#This Row],[Age]]&lt;=35, "Between 25-35", Table1[[#This Row],[Age]]&lt;=45, "Between 36-45", Table1[[#This Row],[Age]]&gt;45, "45+")</f>
        <v>45+</v>
      </c>
    </row>
    <row r="1862" spans="1:21" x14ac:dyDescent="0.3">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c r="T1862">
        <f>IF(Table1[[#This Row],[Discount_Applied]]="Yes", 1,0)</f>
        <v>0</v>
      </c>
      <c r="U1862" t="str">
        <f>_xlfn.IFS(Table1[[#This Row],[Age]]&lt;=25, "Below 25", Table1[[#This Row],[Age]]&lt;=35, "Between 25-35", Table1[[#This Row],[Age]]&lt;=45, "Between 36-45", Table1[[#This Row],[Age]]&gt;45, "45+")</f>
        <v>Below 25</v>
      </c>
    </row>
    <row r="1863" spans="1:21" x14ac:dyDescent="0.3">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c r="T1863">
        <f>IF(Table1[[#This Row],[Discount_Applied]]="Yes", 1,0)</f>
        <v>0</v>
      </c>
      <c r="U1863" t="str">
        <f>_xlfn.IFS(Table1[[#This Row],[Age]]&lt;=25, "Below 25", Table1[[#This Row],[Age]]&lt;=35, "Between 25-35", Table1[[#This Row],[Age]]&lt;=45, "Between 36-45", Table1[[#This Row],[Age]]&gt;45, "45+")</f>
        <v>Between 25-35</v>
      </c>
    </row>
    <row r="1864" spans="1:21" x14ac:dyDescent="0.3">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c r="T1864">
        <f>IF(Table1[[#This Row],[Discount_Applied]]="Yes", 1,0)</f>
        <v>0</v>
      </c>
      <c r="U1864" t="str">
        <f>_xlfn.IFS(Table1[[#This Row],[Age]]&lt;=25, "Below 25", Table1[[#This Row],[Age]]&lt;=35, "Between 25-35", Table1[[#This Row],[Age]]&lt;=45, "Between 36-45", Table1[[#This Row],[Age]]&gt;45, "45+")</f>
        <v>45+</v>
      </c>
    </row>
    <row r="1865" spans="1:21" x14ac:dyDescent="0.3">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c r="T1865">
        <f>IF(Table1[[#This Row],[Discount_Applied]]="Yes", 1,0)</f>
        <v>0</v>
      </c>
      <c r="U1865" t="str">
        <f>_xlfn.IFS(Table1[[#This Row],[Age]]&lt;=25, "Below 25", Table1[[#This Row],[Age]]&lt;=35, "Between 25-35", Table1[[#This Row],[Age]]&lt;=45, "Between 36-45", Table1[[#This Row],[Age]]&gt;45, "45+")</f>
        <v>Below 25</v>
      </c>
    </row>
    <row r="1866" spans="1:21" x14ac:dyDescent="0.3">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c r="T1866">
        <f>IF(Table1[[#This Row],[Discount_Applied]]="Yes", 1,0)</f>
        <v>0</v>
      </c>
      <c r="U1866" t="str">
        <f>_xlfn.IFS(Table1[[#This Row],[Age]]&lt;=25, "Below 25", Table1[[#This Row],[Age]]&lt;=35, "Between 25-35", Table1[[#This Row],[Age]]&lt;=45, "Between 36-45", Table1[[#This Row],[Age]]&gt;45, "45+")</f>
        <v>Below 25</v>
      </c>
    </row>
    <row r="1867" spans="1:21" x14ac:dyDescent="0.3">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c r="T1867">
        <f>IF(Table1[[#This Row],[Discount_Applied]]="Yes", 1,0)</f>
        <v>0</v>
      </c>
      <c r="U1867" t="str">
        <f>_xlfn.IFS(Table1[[#This Row],[Age]]&lt;=25, "Below 25", Table1[[#This Row],[Age]]&lt;=35, "Between 25-35", Table1[[#This Row],[Age]]&lt;=45, "Between 36-45", Table1[[#This Row],[Age]]&gt;45, "45+")</f>
        <v>45+</v>
      </c>
    </row>
    <row r="1868" spans="1:21" x14ac:dyDescent="0.3">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c r="T1868">
        <f>IF(Table1[[#This Row],[Discount_Applied]]="Yes", 1,0)</f>
        <v>0</v>
      </c>
      <c r="U1868" t="str">
        <f>_xlfn.IFS(Table1[[#This Row],[Age]]&lt;=25, "Below 25", Table1[[#This Row],[Age]]&lt;=35, "Between 25-35", Table1[[#This Row],[Age]]&lt;=45, "Between 36-45", Table1[[#This Row],[Age]]&gt;45, "45+")</f>
        <v>Between 25-35</v>
      </c>
    </row>
    <row r="1869" spans="1:21" x14ac:dyDescent="0.3">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c r="T1869">
        <f>IF(Table1[[#This Row],[Discount_Applied]]="Yes", 1,0)</f>
        <v>0</v>
      </c>
      <c r="U1869" t="str">
        <f>_xlfn.IFS(Table1[[#This Row],[Age]]&lt;=25, "Below 25", Table1[[#This Row],[Age]]&lt;=35, "Between 25-35", Table1[[#This Row],[Age]]&lt;=45, "Between 36-45", Table1[[#This Row],[Age]]&gt;45, "45+")</f>
        <v>Between 36-45</v>
      </c>
    </row>
    <row r="1870" spans="1:21" x14ac:dyDescent="0.3">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c r="T1870">
        <f>IF(Table1[[#This Row],[Discount_Applied]]="Yes", 1,0)</f>
        <v>0</v>
      </c>
      <c r="U1870" t="str">
        <f>_xlfn.IFS(Table1[[#This Row],[Age]]&lt;=25, "Below 25", Table1[[#This Row],[Age]]&lt;=35, "Between 25-35", Table1[[#This Row],[Age]]&lt;=45, "Between 36-45", Table1[[#This Row],[Age]]&gt;45, "45+")</f>
        <v>Below 25</v>
      </c>
    </row>
    <row r="1871" spans="1:21" x14ac:dyDescent="0.3">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c r="T1871">
        <f>IF(Table1[[#This Row],[Discount_Applied]]="Yes", 1,0)</f>
        <v>0</v>
      </c>
      <c r="U1871" t="str">
        <f>_xlfn.IFS(Table1[[#This Row],[Age]]&lt;=25, "Below 25", Table1[[#This Row],[Age]]&lt;=35, "Between 25-35", Table1[[#This Row],[Age]]&lt;=45, "Between 36-45", Table1[[#This Row],[Age]]&gt;45, "45+")</f>
        <v>Below 25</v>
      </c>
    </row>
    <row r="1872" spans="1:21" x14ac:dyDescent="0.3">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c r="T1872">
        <f>IF(Table1[[#This Row],[Discount_Applied]]="Yes", 1,0)</f>
        <v>0</v>
      </c>
      <c r="U1872" t="str">
        <f>_xlfn.IFS(Table1[[#This Row],[Age]]&lt;=25, "Below 25", Table1[[#This Row],[Age]]&lt;=35, "Between 25-35", Table1[[#This Row],[Age]]&lt;=45, "Between 36-45", Table1[[#This Row],[Age]]&gt;45, "45+")</f>
        <v>Between 36-45</v>
      </c>
    </row>
    <row r="1873" spans="1:21" x14ac:dyDescent="0.3">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c r="T1873">
        <f>IF(Table1[[#This Row],[Discount_Applied]]="Yes", 1,0)</f>
        <v>0</v>
      </c>
      <c r="U1873" t="str">
        <f>_xlfn.IFS(Table1[[#This Row],[Age]]&lt;=25, "Below 25", Table1[[#This Row],[Age]]&lt;=35, "Between 25-35", Table1[[#This Row],[Age]]&lt;=45, "Between 36-45", Table1[[#This Row],[Age]]&gt;45, "45+")</f>
        <v>45+</v>
      </c>
    </row>
    <row r="1874" spans="1:21" x14ac:dyDescent="0.3">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c r="T1874">
        <f>IF(Table1[[#This Row],[Discount_Applied]]="Yes", 1,0)</f>
        <v>0</v>
      </c>
      <c r="U1874" t="str">
        <f>_xlfn.IFS(Table1[[#This Row],[Age]]&lt;=25, "Below 25", Table1[[#This Row],[Age]]&lt;=35, "Between 25-35", Table1[[#This Row],[Age]]&lt;=45, "Between 36-45", Table1[[#This Row],[Age]]&gt;45, "45+")</f>
        <v>Between 36-45</v>
      </c>
    </row>
    <row r="1875" spans="1:21" x14ac:dyDescent="0.3">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c r="T1875">
        <f>IF(Table1[[#This Row],[Discount_Applied]]="Yes", 1,0)</f>
        <v>0</v>
      </c>
      <c r="U1875" t="str">
        <f>_xlfn.IFS(Table1[[#This Row],[Age]]&lt;=25, "Below 25", Table1[[#This Row],[Age]]&lt;=35, "Between 25-35", Table1[[#This Row],[Age]]&lt;=45, "Between 36-45", Table1[[#This Row],[Age]]&gt;45, "45+")</f>
        <v>45+</v>
      </c>
    </row>
    <row r="1876" spans="1:21" x14ac:dyDescent="0.3">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c r="T1876">
        <f>IF(Table1[[#This Row],[Discount_Applied]]="Yes", 1,0)</f>
        <v>0</v>
      </c>
      <c r="U1876" t="str">
        <f>_xlfn.IFS(Table1[[#This Row],[Age]]&lt;=25, "Below 25", Table1[[#This Row],[Age]]&lt;=35, "Between 25-35", Table1[[#This Row],[Age]]&lt;=45, "Between 36-45", Table1[[#This Row],[Age]]&gt;45, "45+")</f>
        <v>45+</v>
      </c>
    </row>
    <row r="1877" spans="1:21" x14ac:dyDescent="0.3">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c r="T1877">
        <f>IF(Table1[[#This Row],[Discount_Applied]]="Yes", 1,0)</f>
        <v>0</v>
      </c>
      <c r="U1877" t="str">
        <f>_xlfn.IFS(Table1[[#This Row],[Age]]&lt;=25, "Below 25", Table1[[#This Row],[Age]]&lt;=35, "Between 25-35", Table1[[#This Row],[Age]]&lt;=45, "Between 36-45", Table1[[#This Row],[Age]]&gt;45, "45+")</f>
        <v>45+</v>
      </c>
    </row>
    <row r="1878" spans="1:21" x14ac:dyDescent="0.3">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c r="T1878">
        <f>IF(Table1[[#This Row],[Discount_Applied]]="Yes", 1,0)</f>
        <v>0</v>
      </c>
      <c r="U1878" t="str">
        <f>_xlfn.IFS(Table1[[#This Row],[Age]]&lt;=25, "Below 25", Table1[[#This Row],[Age]]&lt;=35, "Between 25-35", Table1[[#This Row],[Age]]&lt;=45, "Between 36-45", Table1[[#This Row],[Age]]&gt;45, "45+")</f>
        <v>45+</v>
      </c>
    </row>
    <row r="1879" spans="1:21" x14ac:dyDescent="0.3">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c r="T1879">
        <f>IF(Table1[[#This Row],[Discount_Applied]]="Yes", 1,0)</f>
        <v>0</v>
      </c>
      <c r="U1879" t="str">
        <f>_xlfn.IFS(Table1[[#This Row],[Age]]&lt;=25, "Below 25", Table1[[#This Row],[Age]]&lt;=35, "Between 25-35", Table1[[#This Row],[Age]]&lt;=45, "Between 36-45", Table1[[#This Row],[Age]]&gt;45, "45+")</f>
        <v>45+</v>
      </c>
    </row>
    <row r="1880" spans="1:21" x14ac:dyDescent="0.3">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c r="T1880">
        <f>IF(Table1[[#This Row],[Discount_Applied]]="Yes", 1,0)</f>
        <v>0</v>
      </c>
      <c r="U1880" t="str">
        <f>_xlfn.IFS(Table1[[#This Row],[Age]]&lt;=25, "Below 25", Table1[[#This Row],[Age]]&lt;=35, "Between 25-35", Table1[[#This Row],[Age]]&lt;=45, "Between 36-45", Table1[[#This Row],[Age]]&gt;45, "45+")</f>
        <v>Between 25-35</v>
      </c>
    </row>
    <row r="1881" spans="1:21" x14ac:dyDescent="0.3">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c r="T1881">
        <f>IF(Table1[[#This Row],[Discount_Applied]]="Yes", 1,0)</f>
        <v>0</v>
      </c>
      <c r="U1881" t="str">
        <f>_xlfn.IFS(Table1[[#This Row],[Age]]&lt;=25, "Below 25", Table1[[#This Row],[Age]]&lt;=35, "Between 25-35", Table1[[#This Row],[Age]]&lt;=45, "Between 36-45", Table1[[#This Row],[Age]]&gt;45, "45+")</f>
        <v>45+</v>
      </c>
    </row>
    <row r="1882" spans="1:21" x14ac:dyDescent="0.3">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c r="T1882">
        <f>IF(Table1[[#This Row],[Discount_Applied]]="Yes", 1,0)</f>
        <v>0</v>
      </c>
      <c r="U1882" t="str">
        <f>_xlfn.IFS(Table1[[#This Row],[Age]]&lt;=25, "Below 25", Table1[[#This Row],[Age]]&lt;=35, "Between 25-35", Table1[[#This Row],[Age]]&lt;=45, "Between 36-45", Table1[[#This Row],[Age]]&gt;45, "45+")</f>
        <v>Between 25-35</v>
      </c>
    </row>
    <row r="1883" spans="1:21" x14ac:dyDescent="0.3">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c r="T1883">
        <f>IF(Table1[[#This Row],[Discount_Applied]]="Yes", 1,0)</f>
        <v>0</v>
      </c>
      <c r="U1883" t="str">
        <f>_xlfn.IFS(Table1[[#This Row],[Age]]&lt;=25, "Below 25", Table1[[#This Row],[Age]]&lt;=35, "Between 25-35", Table1[[#This Row],[Age]]&lt;=45, "Between 36-45", Table1[[#This Row],[Age]]&gt;45, "45+")</f>
        <v>45+</v>
      </c>
    </row>
    <row r="1884" spans="1:21" x14ac:dyDescent="0.3">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c r="T1884">
        <f>IF(Table1[[#This Row],[Discount_Applied]]="Yes", 1,0)</f>
        <v>0</v>
      </c>
      <c r="U1884" t="str">
        <f>_xlfn.IFS(Table1[[#This Row],[Age]]&lt;=25, "Below 25", Table1[[#This Row],[Age]]&lt;=35, "Between 25-35", Table1[[#This Row],[Age]]&lt;=45, "Between 36-45", Table1[[#This Row],[Age]]&gt;45, "45+")</f>
        <v>Between 36-45</v>
      </c>
    </row>
    <row r="1885" spans="1:21" x14ac:dyDescent="0.3">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c r="T1885">
        <f>IF(Table1[[#This Row],[Discount_Applied]]="Yes", 1,0)</f>
        <v>0</v>
      </c>
      <c r="U1885" t="str">
        <f>_xlfn.IFS(Table1[[#This Row],[Age]]&lt;=25, "Below 25", Table1[[#This Row],[Age]]&lt;=35, "Between 25-35", Table1[[#This Row],[Age]]&lt;=45, "Between 36-45", Table1[[#This Row],[Age]]&gt;45, "45+")</f>
        <v>Below 25</v>
      </c>
    </row>
    <row r="1886" spans="1:21" x14ac:dyDescent="0.3">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c r="T1886">
        <f>IF(Table1[[#This Row],[Discount_Applied]]="Yes", 1,0)</f>
        <v>0</v>
      </c>
      <c r="U1886" t="str">
        <f>_xlfn.IFS(Table1[[#This Row],[Age]]&lt;=25, "Below 25", Table1[[#This Row],[Age]]&lt;=35, "Between 25-35", Table1[[#This Row],[Age]]&lt;=45, "Between 36-45", Table1[[#This Row],[Age]]&gt;45, "45+")</f>
        <v>Between 25-35</v>
      </c>
    </row>
    <row r="1887" spans="1:21" x14ac:dyDescent="0.3">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c r="T1887">
        <f>IF(Table1[[#This Row],[Discount_Applied]]="Yes", 1,0)</f>
        <v>0</v>
      </c>
      <c r="U1887" t="str">
        <f>_xlfn.IFS(Table1[[#This Row],[Age]]&lt;=25, "Below 25", Table1[[#This Row],[Age]]&lt;=35, "Between 25-35", Table1[[#This Row],[Age]]&lt;=45, "Between 36-45", Table1[[#This Row],[Age]]&gt;45, "45+")</f>
        <v>Between 25-35</v>
      </c>
    </row>
    <row r="1888" spans="1:21" x14ac:dyDescent="0.3">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c r="T1888">
        <f>IF(Table1[[#This Row],[Discount_Applied]]="Yes", 1,0)</f>
        <v>0</v>
      </c>
      <c r="U1888" t="str">
        <f>_xlfn.IFS(Table1[[#This Row],[Age]]&lt;=25, "Below 25", Table1[[#This Row],[Age]]&lt;=35, "Between 25-35", Table1[[#This Row],[Age]]&lt;=45, "Between 36-45", Table1[[#This Row],[Age]]&gt;45, "45+")</f>
        <v>Below 25</v>
      </c>
    </row>
    <row r="1889" spans="1:21" x14ac:dyDescent="0.3">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c r="T1889">
        <f>IF(Table1[[#This Row],[Discount_Applied]]="Yes", 1,0)</f>
        <v>0</v>
      </c>
      <c r="U1889" t="str">
        <f>_xlfn.IFS(Table1[[#This Row],[Age]]&lt;=25, "Below 25", Table1[[#This Row],[Age]]&lt;=35, "Between 25-35", Table1[[#This Row],[Age]]&lt;=45, "Between 36-45", Table1[[#This Row],[Age]]&gt;45, "45+")</f>
        <v>45+</v>
      </c>
    </row>
    <row r="1890" spans="1:21" x14ac:dyDescent="0.3">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c r="T1890">
        <f>IF(Table1[[#This Row],[Discount_Applied]]="Yes", 1,0)</f>
        <v>0</v>
      </c>
      <c r="U1890" t="str">
        <f>_xlfn.IFS(Table1[[#This Row],[Age]]&lt;=25, "Below 25", Table1[[#This Row],[Age]]&lt;=35, "Between 25-35", Table1[[#This Row],[Age]]&lt;=45, "Between 36-45", Table1[[#This Row],[Age]]&gt;45, "45+")</f>
        <v>45+</v>
      </c>
    </row>
    <row r="1891" spans="1:21" x14ac:dyDescent="0.3">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c r="T1891">
        <f>IF(Table1[[#This Row],[Discount_Applied]]="Yes", 1,0)</f>
        <v>0</v>
      </c>
      <c r="U1891" t="str">
        <f>_xlfn.IFS(Table1[[#This Row],[Age]]&lt;=25, "Below 25", Table1[[#This Row],[Age]]&lt;=35, "Between 25-35", Table1[[#This Row],[Age]]&lt;=45, "Between 36-45", Table1[[#This Row],[Age]]&gt;45, "45+")</f>
        <v>45+</v>
      </c>
    </row>
    <row r="1892" spans="1:21" x14ac:dyDescent="0.3">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c r="T1892">
        <f>IF(Table1[[#This Row],[Discount_Applied]]="Yes", 1,0)</f>
        <v>0</v>
      </c>
      <c r="U1892" t="str">
        <f>_xlfn.IFS(Table1[[#This Row],[Age]]&lt;=25, "Below 25", Table1[[#This Row],[Age]]&lt;=35, "Between 25-35", Table1[[#This Row],[Age]]&lt;=45, "Between 36-45", Table1[[#This Row],[Age]]&gt;45, "45+")</f>
        <v>Between 36-45</v>
      </c>
    </row>
    <row r="1893" spans="1:21" x14ac:dyDescent="0.3">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c r="T1893">
        <f>IF(Table1[[#This Row],[Discount_Applied]]="Yes", 1,0)</f>
        <v>0</v>
      </c>
      <c r="U1893" t="str">
        <f>_xlfn.IFS(Table1[[#This Row],[Age]]&lt;=25, "Below 25", Table1[[#This Row],[Age]]&lt;=35, "Between 25-35", Table1[[#This Row],[Age]]&lt;=45, "Between 36-45", Table1[[#This Row],[Age]]&gt;45, "45+")</f>
        <v>45+</v>
      </c>
    </row>
    <row r="1894" spans="1:21" x14ac:dyDescent="0.3">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c r="T1894">
        <f>IF(Table1[[#This Row],[Discount_Applied]]="Yes", 1,0)</f>
        <v>0</v>
      </c>
      <c r="U1894" t="str">
        <f>_xlfn.IFS(Table1[[#This Row],[Age]]&lt;=25, "Below 25", Table1[[#This Row],[Age]]&lt;=35, "Between 25-35", Table1[[#This Row],[Age]]&lt;=45, "Between 36-45", Table1[[#This Row],[Age]]&gt;45, "45+")</f>
        <v>Between 36-45</v>
      </c>
    </row>
    <row r="1895" spans="1:21" x14ac:dyDescent="0.3">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c r="T1895">
        <f>IF(Table1[[#This Row],[Discount_Applied]]="Yes", 1,0)</f>
        <v>0</v>
      </c>
      <c r="U1895" t="str">
        <f>_xlfn.IFS(Table1[[#This Row],[Age]]&lt;=25, "Below 25", Table1[[#This Row],[Age]]&lt;=35, "Between 25-35", Table1[[#This Row],[Age]]&lt;=45, "Between 36-45", Table1[[#This Row],[Age]]&gt;45, "45+")</f>
        <v>Between 25-35</v>
      </c>
    </row>
    <row r="1896" spans="1:21" x14ac:dyDescent="0.3">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c r="T1896">
        <f>IF(Table1[[#This Row],[Discount_Applied]]="Yes", 1,0)</f>
        <v>0</v>
      </c>
      <c r="U1896" t="str">
        <f>_xlfn.IFS(Table1[[#This Row],[Age]]&lt;=25, "Below 25", Table1[[#This Row],[Age]]&lt;=35, "Between 25-35", Table1[[#This Row],[Age]]&lt;=45, "Between 36-45", Table1[[#This Row],[Age]]&gt;45, "45+")</f>
        <v>Between 36-45</v>
      </c>
    </row>
    <row r="1897" spans="1:21" x14ac:dyDescent="0.3">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c r="T1897">
        <f>IF(Table1[[#This Row],[Discount_Applied]]="Yes", 1,0)</f>
        <v>0</v>
      </c>
      <c r="U1897" t="str">
        <f>_xlfn.IFS(Table1[[#This Row],[Age]]&lt;=25, "Below 25", Table1[[#This Row],[Age]]&lt;=35, "Between 25-35", Table1[[#This Row],[Age]]&lt;=45, "Between 36-45", Table1[[#This Row],[Age]]&gt;45, "45+")</f>
        <v>Between 25-35</v>
      </c>
    </row>
    <row r="1898" spans="1:21" x14ac:dyDescent="0.3">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c r="T1898">
        <f>IF(Table1[[#This Row],[Discount_Applied]]="Yes", 1,0)</f>
        <v>0</v>
      </c>
      <c r="U1898" t="str">
        <f>_xlfn.IFS(Table1[[#This Row],[Age]]&lt;=25, "Below 25", Table1[[#This Row],[Age]]&lt;=35, "Between 25-35", Table1[[#This Row],[Age]]&lt;=45, "Between 36-45", Table1[[#This Row],[Age]]&gt;45, "45+")</f>
        <v>45+</v>
      </c>
    </row>
    <row r="1899" spans="1:21" x14ac:dyDescent="0.3">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c r="T1899">
        <f>IF(Table1[[#This Row],[Discount_Applied]]="Yes", 1,0)</f>
        <v>0</v>
      </c>
      <c r="U1899" t="str">
        <f>_xlfn.IFS(Table1[[#This Row],[Age]]&lt;=25, "Below 25", Table1[[#This Row],[Age]]&lt;=35, "Between 25-35", Table1[[#This Row],[Age]]&lt;=45, "Between 36-45", Table1[[#This Row],[Age]]&gt;45, "45+")</f>
        <v>45+</v>
      </c>
    </row>
    <row r="1900" spans="1:21" x14ac:dyDescent="0.3">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c r="T1900">
        <f>IF(Table1[[#This Row],[Discount_Applied]]="Yes", 1,0)</f>
        <v>0</v>
      </c>
      <c r="U1900" t="str">
        <f>_xlfn.IFS(Table1[[#This Row],[Age]]&lt;=25, "Below 25", Table1[[#This Row],[Age]]&lt;=35, "Between 25-35", Table1[[#This Row],[Age]]&lt;=45, "Between 36-45", Table1[[#This Row],[Age]]&gt;45, "45+")</f>
        <v>45+</v>
      </c>
    </row>
    <row r="1901" spans="1:21" x14ac:dyDescent="0.3">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c r="T1901">
        <f>IF(Table1[[#This Row],[Discount_Applied]]="Yes", 1,0)</f>
        <v>0</v>
      </c>
      <c r="U1901" t="str">
        <f>_xlfn.IFS(Table1[[#This Row],[Age]]&lt;=25, "Below 25", Table1[[#This Row],[Age]]&lt;=35, "Between 25-35", Table1[[#This Row],[Age]]&lt;=45, "Between 36-45", Table1[[#This Row],[Age]]&gt;45, "45+")</f>
        <v>Between 25-35</v>
      </c>
    </row>
    <row r="1902" spans="1:21" x14ac:dyDescent="0.3">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c r="T1902">
        <f>IF(Table1[[#This Row],[Discount_Applied]]="Yes", 1,0)</f>
        <v>0</v>
      </c>
      <c r="U1902" t="str">
        <f>_xlfn.IFS(Table1[[#This Row],[Age]]&lt;=25, "Below 25", Table1[[#This Row],[Age]]&lt;=35, "Between 25-35", Table1[[#This Row],[Age]]&lt;=45, "Between 36-45", Table1[[#This Row],[Age]]&gt;45, "45+")</f>
        <v>45+</v>
      </c>
    </row>
    <row r="1903" spans="1:21" x14ac:dyDescent="0.3">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c r="T1903">
        <f>IF(Table1[[#This Row],[Discount_Applied]]="Yes", 1,0)</f>
        <v>0</v>
      </c>
      <c r="U1903" t="str">
        <f>_xlfn.IFS(Table1[[#This Row],[Age]]&lt;=25, "Below 25", Table1[[#This Row],[Age]]&lt;=35, "Between 25-35", Table1[[#This Row],[Age]]&lt;=45, "Between 36-45", Table1[[#This Row],[Age]]&gt;45, "45+")</f>
        <v>45+</v>
      </c>
    </row>
    <row r="1904" spans="1:21" x14ac:dyDescent="0.3">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c r="T1904">
        <f>IF(Table1[[#This Row],[Discount_Applied]]="Yes", 1,0)</f>
        <v>0</v>
      </c>
      <c r="U1904" t="str">
        <f>_xlfn.IFS(Table1[[#This Row],[Age]]&lt;=25, "Below 25", Table1[[#This Row],[Age]]&lt;=35, "Between 25-35", Table1[[#This Row],[Age]]&lt;=45, "Between 36-45", Table1[[#This Row],[Age]]&gt;45, "45+")</f>
        <v>Between 25-35</v>
      </c>
    </row>
    <row r="1905" spans="1:21" x14ac:dyDescent="0.3">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c r="T1905">
        <f>IF(Table1[[#This Row],[Discount_Applied]]="Yes", 1,0)</f>
        <v>0</v>
      </c>
      <c r="U1905" t="str">
        <f>_xlfn.IFS(Table1[[#This Row],[Age]]&lt;=25, "Below 25", Table1[[#This Row],[Age]]&lt;=35, "Between 25-35", Table1[[#This Row],[Age]]&lt;=45, "Between 36-45", Table1[[#This Row],[Age]]&gt;45, "45+")</f>
        <v>45+</v>
      </c>
    </row>
    <row r="1906" spans="1:21" x14ac:dyDescent="0.3">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c r="T1906">
        <f>IF(Table1[[#This Row],[Discount_Applied]]="Yes", 1,0)</f>
        <v>0</v>
      </c>
      <c r="U1906" t="str">
        <f>_xlfn.IFS(Table1[[#This Row],[Age]]&lt;=25, "Below 25", Table1[[#This Row],[Age]]&lt;=35, "Between 25-35", Table1[[#This Row],[Age]]&lt;=45, "Between 36-45", Table1[[#This Row],[Age]]&gt;45, "45+")</f>
        <v>Below 25</v>
      </c>
    </row>
    <row r="1907" spans="1:21" x14ac:dyDescent="0.3">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c r="T1907">
        <f>IF(Table1[[#This Row],[Discount_Applied]]="Yes", 1,0)</f>
        <v>0</v>
      </c>
      <c r="U1907" t="str">
        <f>_xlfn.IFS(Table1[[#This Row],[Age]]&lt;=25, "Below 25", Table1[[#This Row],[Age]]&lt;=35, "Between 25-35", Table1[[#This Row],[Age]]&lt;=45, "Between 36-45", Table1[[#This Row],[Age]]&gt;45, "45+")</f>
        <v>45+</v>
      </c>
    </row>
    <row r="1908" spans="1:21" x14ac:dyDescent="0.3">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c r="T1908">
        <f>IF(Table1[[#This Row],[Discount_Applied]]="Yes", 1,0)</f>
        <v>0</v>
      </c>
      <c r="U1908" t="str">
        <f>_xlfn.IFS(Table1[[#This Row],[Age]]&lt;=25, "Below 25", Table1[[#This Row],[Age]]&lt;=35, "Between 25-35", Table1[[#This Row],[Age]]&lt;=45, "Between 36-45", Table1[[#This Row],[Age]]&gt;45, "45+")</f>
        <v>Below 25</v>
      </c>
    </row>
    <row r="1909" spans="1:21" x14ac:dyDescent="0.3">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c r="T1909">
        <f>IF(Table1[[#This Row],[Discount_Applied]]="Yes", 1,0)</f>
        <v>0</v>
      </c>
      <c r="U1909" t="str">
        <f>_xlfn.IFS(Table1[[#This Row],[Age]]&lt;=25, "Below 25", Table1[[#This Row],[Age]]&lt;=35, "Between 25-35", Table1[[#This Row],[Age]]&lt;=45, "Between 36-45", Table1[[#This Row],[Age]]&gt;45, "45+")</f>
        <v>45+</v>
      </c>
    </row>
    <row r="1910" spans="1:21" x14ac:dyDescent="0.3">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c r="T1910">
        <f>IF(Table1[[#This Row],[Discount_Applied]]="Yes", 1,0)</f>
        <v>0</v>
      </c>
      <c r="U1910" t="str">
        <f>_xlfn.IFS(Table1[[#This Row],[Age]]&lt;=25, "Below 25", Table1[[#This Row],[Age]]&lt;=35, "Between 25-35", Table1[[#This Row],[Age]]&lt;=45, "Between 36-45", Table1[[#This Row],[Age]]&gt;45, "45+")</f>
        <v>Below 25</v>
      </c>
    </row>
    <row r="1911" spans="1:21" x14ac:dyDescent="0.3">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c r="T1911">
        <f>IF(Table1[[#This Row],[Discount_Applied]]="Yes", 1,0)</f>
        <v>0</v>
      </c>
      <c r="U1911" t="str">
        <f>_xlfn.IFS(Table1[[#This Row],[Age]]&lt;=25, "Below 25", Table1[[#This Row],[Age]]&lt;=35, "Between 25-35", Table1[[#This Row],[Age]]&lt;=45, "Between 36-45", Table1[[#This Row],[Age]]&gt;45, "45+")</f>
        <v>45+</v>
      </c>
    </row>
    <row r="1912" spans="1:21" x14ac:dyDescent="0.3">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c r="T1912">
        <f>IF(Table1[[#This Row],[Discount_Applied]]="Yes", 1,0)</f>
        <v>0</v>
      </c>
      <c r="U1912" t="str">
        <f>_xlfn.IFS(Table1[[#This Row],[Age]]&lt;=25, "Below 25", Table1[[#This Row],[Age]]&lt;=35, "Between 25-35", Table1[[#This Row],[Age]]&lt;=45, "Between 36-45", Table1[[#This Row],[Age]]&gt;45, "45+")</f>
        <v>Between 25-35</v>
      </c>
    </row>
    <row r="1913" spans="1:21" x14ac:dyDescent="0.3">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c r="T1913">
        <f>IF(Table1[[#This Row],[Discount_Applied]]="Yes", 1,0)</f>
        <v>0</v>
      </c>
      <c r="U1913" t="str">
        <f>_xlfn.IFS(Table1[[#This Row],[Age]]&lt;=25, "Below 25", Table1[[#This Row],[Age]]&lt;=35, "Between 25-35", Table1[[#This Row],[Age]]&lt;=45, "Between 36-45", Table1[[#This Row],[Age]]&gt;45, "45+")</f>
        <v>45+</v>
      </c>
    </row>
    <row r="1914" spans="1:21" x14ac:dyDescent="0.3">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c r="T1914">
        <f>IF(Table1[[#This Row],[Discount_Applied]]="Yes", 1,0)</f>
        <v>0</v>
      </c>
      <c r="U1914" t="str">
        <f>_xlfn.IFS(Table1[[#This Row],[Age]]&lt;=25, "Below 25", Table1[[#This Row],[Age]]&lt;=35, "Between 25-35", Table1[[#This Row],[Age]]&lt;=45, "Between 36-45", Table1[[#This Row],[Age]]&gt;45, "45+")</f>
        <v>Between 25-35</v>
      </c>
    </row>
    <row r="1915" spans="1:21" x14ac:dyDescent="0.3">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c r="T1915">
        <f>IF(Table1[[#This Row],[Discount_Applied]]="Yes", 1,0)</f>
        <v>0</v>
      </c>
      <c r="U1915" t="str">
        <f>_xlfn.IFS(Table1[[#This Row],[Age]]&lt;=25, "Below 25", Table1[[#This Row],[Age]]&lt;=35, "Between 25-35", Table1[[#This Row],[Age]]&lt;=45, "Between 36-45", Table1[[#This Row],[Age]]&gt;45, "45+")</f>
        <v>45+</v>
      </c>
    </row>
    <row r="1916" spans="1:21" x14ac:dyDescent="0.3">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c r="T1916">
        <f>IF(Table1[[#This Row],[Discount_Applied]]="Yes", 1,0)</f>
        <v>0</v>
      </c>
      <c r="U1916" t="str">
        <f>_xlfn.IFS(Table1[[#This Row],[Age]]&lt;=25, "Below 25", Table1[[#This Row],[Age]]&lt;=35, "Between 25-35", Table1[[#This Row],[Age]]&lt;=45, "Between 36-45", Table1[[#This Row],[Age]]&gt;45, "45+")</f>
        <v>Between 25-35</v>
      </c>
    </row>
    <row r="1917" spans="1:21" x14ac:dyDescent="0.3">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c r="T1917">
        <f>IF(Table1[[#This Row],[Discount_Applied]]="Yes", 1,0)</f>
        <v>0</v>
      </c>
      <c r="U1917" t="str">
        <f>_xlfn.IFS(Table1[[#This Row],[Age]]&lt;=25, "Below 25", Table1[[#This Row],[Age]]&lt;=35, "Between 25-35", Table1[[#This Row],[Age]]&lt;=45, "Between 36-45", Table1[[#This Row],[Age]]&gt;45, "45+")</f>
        <v>45+</v>
      </c>
    </row>
    <row r="1918" spans="1:21" x14ac:dyDescent="0.3">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c r="T1918">
        <f>IF(Table1[[#This Row],[Discount_Applied]]="Yes", 1,0)</f>
        <v>0</v>
      </c>
      <c r="U1918" t="str">
        <f>_xlfn.IFS(Table1[[#This Row],[Age]]&lt;=25, "Below 25", Table1[[#This Row],[Age]]&lt;=35, "Between 25-35", Table1[[#This Row],[Age]]&lt;=45, "Between 36-45", Table1[[#This Row],[Age]]&gt;45, "45+")</f>
        <v>Between 25-35</v>
      </c>
    </row>
    <row r="1919" spans="1:21" x14ac:dyDescent="0.3">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c r="T1919">
        <f>IF(Table1[[#This Row],[Discount_Applied]]="Yes", 1,0)</f>
        <v>0</v>
      </c>
      <c r="U1919" t="str">
        <f>_xlfn.IFS(Table1[[#This Row],[Age]]&lt;=25, "Below 25", Table1[[#This Row],[Age]]&lt;=35, "Between 25-35", Table1[[#This Row],[Age]]&lt;=45, "Between 36-45", Table1[[#This Row],[Age]]&gt;45, "45+")</f>
        <v>Between 36-45</v>
      </c>
    </row>
    <row r="1920" spans="1:21" x14ac:dyDescent="0.3">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c r="T1920">
        <f>IF(Table1[[#This Row],[Discount_Applied]]="Yes", 1,0)</f>
        <v>0</v>
      </c>
      <c r="U1920" t="str">
        <f>_xlfn.IFS(Table1[[#This Row],[Age]]&lt;=25, "Below 25", Table1[[#This Row],[Age]]&lt;=35, "Between 25-35", Table1[[#This Row],[Age]]&lt;=45, "Between 36-45", Table1[[#This Row],[Age]]&gt;45, "45+")</f>
        <v>Between 25-35</v>
      </c>
    </row>
    <row r="1921" spans="1:21" x14ac:dyDescent="0.3">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c r="T1921">
        <f>IF(Table1[[#This Row],[Discount_Applied]]="Yes", 1,0)</f>
        <v>0</v>
      </c>
      <c r="U1921" t="str">
        <f>_xlfn.IFS(Table1[[#This Row],[Age]]&lt;=25, "Below 25", Table1[[#This Row],[Age]]&lt;=35, "Between 25-35", Table1[[#This Row],[Age]]&lt;=45, "Between 36-45", Table1[[#This Row],[Age]]&gt;45, "45+")</f>
        <v>Between 25-35</v>
      </c>
    </row>
    <row r="1922" spans="1:21" x14ac:dyDescent="0.3">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c r="T1922">
        <f>IF(Table1[[#This Row],[Discount_Applied]]="Yes", 1,0)</f>
        <v>0</v>
      </c>
      <c r="U1922" t="str">
        <f>_xlfn.IFS(Table1[[#This Row],[Age]]&lt;=25, "Below 25", Table1[[#This Row],[Age]]&lt;=35, "Between 25-35", Table1[[#This Row],[Age]]&lt;=45, "Between 36-45", Table1[[#This Row],[Age]]&gt;45, "45+")</f>
        <v>45+</v>
      </c>
    </row>
    <row r="1923" spans="1:21" x14ac:dyDescent="0.3">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c r="T1923">
        <f>IF(Table1[[#This Row],[Discount_Applied]]="Yes", 1,0)</f>
        <v>0</v>
      </c>
      <c r="U1923" t="str">
        <f>_xlfn.IFS(Table1[[#This Row],[Age]]&lt;=25, "Below 25", Table1[[#This Row],[Age]]&lt;=35, "Between 25-35", Table1[[#This Row],[Age]]&lt;=45, "Between 36-45", Table1[[#This Row],[Age]]&gt;45, "45+")</f>
        <v>45+</v>
      </c>
    </row>
    <row r="1924" spans="1:21" x14ac:dyDescent="0.3">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c r="T1924">
        <f>IF(Table1[[#This Row],[Discount_Applied]]="Yes", 1,0)</f>
        <v>0</v>
      </c>
      <c r="U1924" t="str">
        <f>_xlfn.IFS(Table1[[#This Row],[Age]]&lt;=25, "Below 25", Table1[[#This Row],[Age]]&lt;=35, "Between 25-35", Table1[[#This Row],[Age]]&lt;=45, "Between 36-45", Table1[[#This Row],[Age]]&gt;45, "45+")</f>
        <v>Below 25</v>
      </c>
    </row>
    <row r="1925" spans="1:21" x14ac:dyDescent="0.3">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c r="T1925">
        <f>IF(Table1[[#This Row],[Discount_Applied]]="Yes", 1,0)</f>
        <v>0</v>
      </c>
      <c r="U1925" t="str">
        <f>_xlfn.IFS(Table1[[#This Row],[Age]]&lt;=25, "Below 25", Table1[[#This Row],[Age]]&lt;=35, "Between 25-35", Table1[[#This Row],[Age]]&lt;=45, "Between 36-45", Table1[[#This Row],[Age]]&gt;45, "45+")</f>
        <v>45+</v>
      </c>
    </row>
    <row r="1926" spans="1:21" x14ac:dyDescent="0.3">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c r="T1926">
        <f>IF(Table1[[#This Row],[Discount_Applied]]="Yes", 1,0)</f>
        <v>0</v>
      </c>
      <c r="U1926" t="str">
        <f>_xlfn.IFS(Table1[[#This Row],[Age]]&lt;=25, "Below 25", Table1[[#This Row],[Age]]&lt;=35, "Between 25-35", Table1[[#This Row],[Age]]&lt;=45, "Between 36-45", Table1[[#This Row],[Age]]&gt;45, "45+")</f>
        <v>Between 25-35</v>
      </c>
    </row>
    <row r="1927" spans="1:21" x14ac:dyDescent="0.3">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c r="T1927">
        <f>IF(Table1[[#This Row],[Discount_Applied]]="Yes", 1,0)</f>
        <v>0</v>
      </c>
      <c r="U1927" t="str">
        <f>_xlfn.IFS(Table1[[#This Row],[Age]]&lt;=25, "Below 25", Table1[[#This Row],[Age]]&lt;=35, "Between 25-35", Table1[[#This Row],[Age]]&lt;=45, "Between 36-45", Table1[[#This Row],[Age]]&gt;45, "45+")</f>
        <v>45+</v>
      </c>
    </row>
    <row r="1928" spans="1:21" x14ac:dyDescent="0.3">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c r="T1928">
        <f>IF(Table1[[#This Row],[Discount_Applied]]="Yes", 1,0)</f>
        <v>0</v>
      </c>
      <c r="U1928" t="str">
        <f>_xlfn.IFS(Table1[[#This Row],[Age]]&lt;=25, "Below 25", Table1[[#This Row],[Age]]&lt;=35, "Between 25-35", Table1[[#This Row],[Age]]&lt;=45, "Between 36-45", Table1[[#This Row],[Age]]&gt;45, "45+")</f>
        <v>45+</v>
      </c>
    </row>
    <row r="1929" spans="1:21" x14ac:dyDescent="0.3">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c r="T1929">
        <f>IF(Table1[[#This Row],[Discount_Applied]]="Yes", 1,0)</f>
        <v>0</v>
      </c>
      <c r="U1929" t="str">
        <f>_xlfn.IFS(Table1[[#This Row],[Age]]&lt;=25, "Below 25", Table1[[#This Row],[Age]]&lt;=35, "Between 25-35", Table1[[#This Row],[Age]]&lt;=45, "Between 36-45", Table1[[#This Row],[Age]]&gt;45, "45+")</f>
        <v>Between 36-45</v>
      </c>
    </row>
    <row r="1930" spans="1:21" x14ac:dyDescent="0.3">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c r="T1930">
        <f>IF(Table1[[#This Row],[Discount_Applied]]="Yes", 1,0)</f>
        <v>0</v>
      </c>
      <c r="U1930" t="str">
        <f>_xlfn.IFS(Table1[[#This Row],[Age]]&lt;=25, "Below 25", Table1[[#This Row],[Age]]&lt;=35, "Between 25-35", Table1[[#This Row],[Age]]&lt;=45, "Between 36-45", Table1[[#This Row],[Age]]&gt;45, "45+")</f>
        <v>Below 25</v>
      </c>
    </row>
    <row r="1931" spans="1:21" x14ac:dyDescent="0.3">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c r="T1931">
        <f>IF(Table1[[#This Row],[Discount_Applied]]="Yes", 1,0)</f>
        <v>0</v>
      </c>
      <c r="U1931" t="str">
        <f>_xlfn.IFS(Table1[[#This Row],[Age]]&lt;=25, "Below 25", Table1[[#This Row],[Age]]&lt;=35, "Between 25-35", Table1[[#This Row],[Age]]&lt;=45, "Between 36-45", Table1[[#This Row],[Age]]&gt;45, "45+")</f>
        <v>45+</v>
      </c>
    </row>
    <row r="1932" spans="1:21" x14ac:dyDescent="0.3">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c r="T1932">
        <f>IF(Table1[[#This Row],[Discount_Applied]]="Yes", 1,0)</f>
        <v>0</v>
      </c>
      <c r="U1932" t="str">
        <f>_xlfn.IFS(Table1[[#This Row],[Age]]&lt;=25, "Below 25", Table1[[#This Row],[Age]]&lt;=35, "Between 25-35", Table1[[#This Row],[Age]]&lt;=45, "Between 36-45", Table1[[#This Row],[Age]]&gt;45, "45+")</f>
        <v>45+</v>
      </c>
    </row>
    <row r="1933" spans="1:21" x14ac:dyDescent="0.3">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c r="T1933">
        <f>IF(Table1[[#This Row],[Discount_Applied]]="Yes", 1,0)</f>
        <v>0</v>
      </c>
      <c r="U1933" t="str">
        <f>_xlfn.IFS(Table1[[#This Row],[Age]]&lt;=25, "Below 25", Table1[[#This Row],[Age]]&lt;=35, "Between 25-35", Table1[[#This Row],[Age]]&lt;=45, "Between 36-45", Table1[[#This Row],[Age]]&gt;45, "45+")</f>
        <v>45+</v>
      </c>
    </row>
    <row r="1934" spans="1:21" x14ac:dyDescent="0.3">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c r="T1934">
        <f>IF(Table1[[#This Row],[Discount_Applied]]="Yes", 1,0)</f>
        <v>0</v>
      </c>
      <c r="U1934" t="str">
        <f>_xlfn.IFS(Table1[[#This Row],[Age]]&lt;=25, "Below 25", Table1[[#This Row],[Age]]&lt;=35, "Between 25-35", Table1[[#This Row],[Age]]&lt;=45, "Between 36-45", Table1[[#This Row],[Age]]&gt;45, "45+")</f>
        <v>Between 36-45</v>
      </c>
    </row>
    <row r="1935" spans="1:21" x14ac:dyDescent="0.3">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c r="T1935">
        <f>IF(Table1[[#This Row],[Discount_Applied]]="Yes", 1,0)</f>
        <v>0</v>
      </c>
      <c r="U1935" t="str">
        <f>_xlfn.IFS(Table1[[#This Row],[Age]]&lt;=25, "Below 25", Table1[[#This Row],[Age]]&lt;=35, "Between 25-35", Table1[[#This Row],[Age]]&lt;=45, "Between 36-45", Table1[[#This Row],[Age]]&gt;45, "45+")</f>
        <v>45+</v>
      </c>
    </row>
    <row r="1936" spans="1:21" x14ac:dyDescent="0.3">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c r="T1936">
        <f>IF(Table1[[#This Row],[Discount_Applied]]="Yes", 1,0)</f>
        <v>0</v>
      </c>
      <c r="U1936" t="str">
        <f>_xlfn.IFS(Table1[[#This Row],[Age]]&lt;=25, "Below 25", Table1[[#This Row],[Age]]&lt;=35, "Between 25-35", Table1[[#This Row],[Age]]&lt;=45, "Between 36-45", Table1[[#This Row],[Age]]&gt;45, "45+")</f>
        <v>Between 25-35</v>
      </c>
    </row>
    <row r="1937" spans="1:21" x14ac:dyDescent="0.3">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c r="T1937">
        <f>IF(Table1[[#This Row],[Discount_Applied]]="Yes", 1,0)</f>
        <v>0</v>
      </c>
      <c r="U1937" t="str">
        <f>_xlfn.IFS(Table1[[#This Row],[Age]]&lt;=25, "Below 25", Table1[[#This Row],[Age]]&lt;=35, "Between 25-35", Table1[[#This Row],[Age]]&lt;=45, "Between 36-45", Table1[[#This Row],[Age]]&gt;45, "45+")</f>
        <v>Below 25</v>
      </c>
    </row>
    <row r="1938" spans="1:21" x14ac:dyDescent="0.3">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c r="T1938">
        <f>IF(Table1[[#This Row],[Discount_Applied]]="Yes", 1,0)</f>
        <v>0</v>
      </c>
      <c r="U1938" t="str">
        <f>_xlfn.IFS(Table1[[#This Row],[Age]]&lt;=25, "Below 25", Table1[[#This Row],[Age]]&lt;=35, "Between 25-35", Table1[[#This Row],[Age]]&lt;=45, "Between 36-45", Table1[[#This Row],[Age]]&gt;45, "45+")</f>
        <v>45+</v>
      </c>
    </row>
    <row r="1939" spans="1:21" x14ac:dyDescent="0.3">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c r="T1939">
        <f>IF(Table1[[#This Row],[Discount_Applied]]="Yes", 1,0)</f>
        <v>0</v>
      </c>
      <c r="U1939" t="str">
        <f>_xlfn.IFS(Table1[[#This Row],[Age]]&lt;=25, "Below 25", Table1[[#This Row],[Age]]&lt;=35, "Between 25-35", Table1[[#This Row],[Age]]&lt;=45, "Between 36-45", Table1[[#This Row],[Age]]&gt;45, "45+")</f>
        <v>Between 36-45</v>
      </c>
    </row>
    <row r="1940" spans="1:21" x14ac:dyDescent="0.3">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c r="T1940">
        <f>IF(Table1[[#This Row],[Discount_Applied]]="Yes", 1,0)</f>
        <v>0</v>
      </c>
      <c r="U1940" t="str">
        <f>_xlfn.IFS(Table1[[#This Row],[Age]]&lt;=25, "Below 25", Table1[[#This Row],[Age]]&lt;=35, "Between 25-35", Table1[[#This Row],[Age]]&lt;=45, "Between 36-45", Table1[[#This Row],[Age]]&gt;45, "45+")</f>
        <v>45+</v>
      </c>
    </row>
    <row r="1941" spans="1:21" x14ac:dyDescent="0.3">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c r="T1941">
        <f>IF(Table1[[#This Row],[Discount_Applied]]="Yes", 1,0)</f>
        <v>0</v>
      </c>
      <c r="U1941" t="str">
        <f>_xlfn.IFS(Table1[[#This Row],[Age]]&lt;=25, "Below 25", Table1[[#This Row],[Age]]&lt;=35, "Between 25-35", Table1[[#This Row],[Age]]&lt;=45, "Between 36-45", Table1[[#This Row],[Age]]&gt;45, "45+")</f>
        <v>45+</v>
      </c>
    </row>
    <row r="1942" spans="1:21" x14ac:dyDescent="0.3">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c r="T1942">
        <f>IF(Table1[[#This Row],[Discount_Applied]]="Yes", 1,0)</f>
        <v>0</v>
      </c>
      <c r="U1942" t="str">
        <f>_xlfn.IFS(Table1[[#This Row],[Age]]&lt;=25, "Below 25", Table1[[#This Row],[Age]]&lt;=35, "Between 25-35", Table1[[#This Row],[Age]]&lt;=45, "Between 36-45", Table1[[#This Row],[Age]]&gt;45, "45+")</f>
        <v>45+</v>
      </c>
    </row>
    <row r="1943" spans="1:21" x14ac:dyDescent="0.3">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c r="T1943">
        <f>IF(Table1[[#This Row],[Discount_Applied]]="Yes", 1,0)</f>
        <v>0</v>
      </c>
      <c r="U1943" t="str">
        <f>_xlfn.IFS(Table1[[#This Row],[Age]]&lt;=25, "Below 25", Table1[[#This Row],[Age]]&lt;=35, "Between 25-35", Table1[[#This Row],[Age]]&lt;=45, "Between 36-45", Table1[[#This Row],[Age]]&gt;45, "45+")</f>
        <v>45+</v>
      </c>
    </row>
    <row r="1944" spans="1:21" x14ac:dyDescent="0.3">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c r="T1944">
        <f>IF(Table1[[#This Row],[Discount_Applied]]="Yes", 1,0)</f>
        <v>0</v>
      </c>
      <c r="U1944" t="str">
        <f>_xlfn.IFS(Table1[[#This Row],[Age]]&lt;=25, "Below 25", Table1[[#This Row],[Age]]&lt;=35, "Between 25-35", Table1[[#This Row],[Age]]&lt;=45, "Between 36-45", Table1[[#This Row],[Age]]&gt;45, "45+")</f>
        <v>45+</v>
      </c>
    </row>
    <row r="1945" spans="1:21" x14ac:dyDescent="0.3">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c r="T1945">
        <f>IF(Table1[[#This Row],[Discount_Applied]]="Yes", 1,0)</f>
        <v>0</v>
      </c>
      <c r="U1945" t="str">
        <f>_xlfn.IFS(Table1[[#This Row],[Age]]&lt;=25, "Below 25", Table1[[#This Row],[Age]]&lt;=35, "Between 25-35", Table1[[#This Row],[Age]]&lt;=45, "Between 36-45", Table1[[#This Row],[Age]]&gt;45, "45+")</f>
        <v>Between 25-35</v>
      </c>
    </row>
    <row r="1946" spans="1:21" x14ac:dyDescent="0.3">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c r="T1946">
        <f>IF(Table1[[#This Row],[Discount_Applied]]="Yes", 1,0)</f>
        <v>0</v>
      </c>
      <c r="U1946" t="str">
        <f>_xlfn.IFS(Table1[[#This Row],[Age]]&lt;=25, "Below 25", Table1[[#This Row],[Age]]&lt;=35, "Between 25-35", Table1[[#This Row],[Age]]&lt;=45, "Between 36-45", Table1[[#This Row],[Age]]&gt;45, "45+")</f>
        <v>Between 25-35</v>
      </c>
    </row>
    <row r="1947" spans="1:21" x14ac:dyDescent="0.3">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c r="T1947">
        <f>IF(Table1[[#This Row],[Discount_Applied]]="Yes", 1,0)</f>
        <v>0</v>
      </c>
      <c r="U1947" t="str">
        <f>_xlfn.IFS(Table1[[#This Row],[Age]]&lt;=25, "Below 25", Table1[[#This Row],[Age]]&lt;=35, "Between 25-35", Table1[[#This Row],[Age]]&lt;=45, "Between 36-45", Table1[[#This Row],[Age]]&gt;45, "45+")</f>
        <v>Between 25-35</v>
      </c>
    </row>
    <row r="1948" spans="1:21" x14ac:dyDescent="0.3">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c r="T1948">
        <f>IF(Table1[[#This Row],[Discount_Applied]]="Yes", 1,0)</f>
        <v>0</v>
      </c>
      <c r="U1948" t="str">
        <f>_xlfn.IFS(Table1[[#This Row],[Age]]&lt;=25, "Below 25", Table1[[#This Row],[Age]]&lt;=35, "Between 25-35", Table1[[#This Row],[Age]]&lt;=45, "Between 36-45", Table1[[#This Row],[Age]]&gt;45, "45+")</f>
        <v>45+</v>
      </c>
    </row>
    <row r="1949" spans="1:21" x14ac:dyDescent="0.3">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c r="T1949">
        <f>IF(Table1[[#This Row],[Discount_Applied]]="Yes", 1,0)</f>
        <v>0</v>
      </c>
      <c r="U1949" t="str">
        <f>_xlfn.IFS(Table1[[#This Row],[Age]]&lt;=25, "Below 25", Table1[[#This Row],[Age]]&lt;=35, "Between 25-35", Table1[[#This Row],[Age]]&lt;=45, "Between 36-45", Table1[[#This Row],[Age]]&gt;45, "45+")</f>
        <v>45+</v>
      </c>
    </row>
    <row r="1950" spans="1:21" x14ac:dyDescent="0.3">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c r="T1950">
        <f>IF(Table1[[#This Row],[Discount_Applied]]="Yes", 1,0)</f>
        <v>0</v>
      </c>
      <c r="U1950" t="str">
        <f>_xlfn.IFS(Table1[[#This Row],[Age]]&lt;=25, "Below 25", Table1[[#This Row],[Age]]&lt;=35, "Between 25-35", Table1[[#This Row],[Age]]&lt;=45, "Between 36-45", Table1[[#This Row],[Age]]&gt;45, "45+")</f>
        <v>45+</v>
      </c>
    </row>
    <row r="1951" spans="1:21" x14ac:dyDescent="0.3">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c r="T1951">
        <f>IF(Table1[[#This Row],[Discount_Applied]]="Yes", 1,0)</f>
        <v>0</v>
      </c>
      <c r="U1951" t="str">
        <f>_xlfn.IFS(Table1[[#This Row],[Age]]&lt;=25, "Below 25", Table1[[#This Row],[Age]]&lt;=35, "Between 25-35", Table1[[#This Row],[Age]]&lt;=45, "Between 36-45", Table1[[#This Row],[Age]]&gt;45, "45+")</f>
        <v>45+</v>
      </c>
    </row>
    <row r="1952" spans="1:21" x14ac:dyDescent="0.3">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c r="T1952">
        <f>IF(Table1[[#This Row],[Discount_Applied]]="Yes", 1,0)</f>
        <v>0</v>
      </c>
      <c r="U1952" t="str">
        <f>_xlfn.IFS(Table1[[#This Row],[Age]]&lt;=25, "Below 25", Table1[[#This Row],[Age]]&lt;=35, "Between 25-35", Table1[[#This Row],[Age]]&lt;=45, "Between 36-45", Table1[[#This Row],[Age]]&gt;45, "45+")</f>
        <v>Between 36-45</v>
      </c>
    </row>
    <row r="1953" spans="1:21" x14ac:dyDescent="0.3">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c r="T1953">
        <f>IF(Table1[[#This Row],[Discount_Applied]]="Yes", 1,0)</f>
        <v>0</v>
      </c>
      <c r="U1953" t="str">
        <f>_xlfn.IFS(Table1[[#This Row],[Age]]&lt;=25, "Below 25", Table1[[#This Row],[Age]]&lt;=35, "Between 25-35", Table1[[#This Row],[Age]]&lt;=45, "Between 36-45", Table1[[#This Row],[Age]]&gt;45, "45+")</f>
        <v>Between 25-35</v>
      </c>
    </row>
    <row r="1954" spans="1:21" x14ac:dyDescent="0.3">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c r="T1954">
        <f>IF(Table1[[#This Row],[Discount_Applied]]="Yes", 1,0)</f>
        <v>0</v>
      </c>
      <c r="U1954" t="str">
        <f>_xlfn.IFS(Table1[[#This Row],[Age]]&lt;=25, "Below 25", Table1[[#This Row],[Age]]&lt;=35, "Between 25-35", Table1[[#This Row],[Age]]&lt;=45, "Between 36-45", Table1[[#This Row],[Age]]&gt;45, "45+")</f>
        <v>45+</v>
      </c>
    </row>
    <row r="1955" spans="1:21" x14ac:dyDescent="0.3">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c r="T1955">
        <f>IF(Table1[[#This Row],[Discount_Applied]]="Yes", 1,0)</f>
        <v>0</v>
      </c>
      <c r="U1955" t="str">
        <f>_xlfn.IFS(Table1[[#This Row],[Age]]&lt;=25, "Below 25", Table1[[#This Row],[Age]]&lt;=35, "Between 25-35", Table1[[#This Row],[Age]]&lt;=45, "Between 36-45", Table1[[#This Row],[Age]]&gt;45, "45+")</f>
        <v>Below 25</v>
      </c>
    </row>
    <row r="1956" spans="1:21" x14ac:dyDescent="0.3">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c r="T1956">
        <f>IF(Table1[[#This Row],[Discount_Applied]]="Yes", 1,0)</f>
        <v>0</v>
      </c>
      <c r="U1956" t="str">
        <f>_xlfn.IFS(Table1[[#This Row],[Age]]&lt;=25, "Below 25", Table1[[#This Row],[Age]]&lt;=35, "Between 25-35", Table1[[#This Row],[Age]]&lt;=45, "Between 36-45", Table1[[#This Row],[Age]]&gt;45, "45+")</f>
        <v>Between 25-35</v>
      </c>
    </row>
    <row r="1957" spans="1:21" x14ac:dyDescent="0.3">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c r="T1957">
        <f>IF(Table1[[#This Row],[Discount_Applied]]="Yes", 1,0)</f>
        <v>0</v>
      </c>
      <c r="U1957" t="str">
        <f>_xlfn.IFS(Table1[[#This Row],[Age]]&lt;=25, "Below 25", Table1[[#This Row],[Age]]&lt;=35, "Between 25-35", Table1[[#This Row],[Age]]&lt;=45, "Between 36-45", Table1[[#This Row],[Age]]&gt;45, "45+")</f>
        <v>45+</v>
      </c>
    </row>
    <row r="1958" spans="1:21" x14ac:dyDescent="0.3">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c r="T1958">
        <f>IF(Table1[[#This Row],[Discount_Applied]]="Yes", 1,0)</f>
        <v>0</v>
      </c>
      <c r="U1958" t="str">
        <f>_xlfn.IFS(Table1[[#This Row],[Age]]&lt;=25, "Below 25", Table1[[#This Row],[Age]]&lt;=35, "Between 25-35", Table1[[#This Row],[Age]]&lt;=45, "Between 36-45", Table1[[#This Row],[Age]]&gt;45, "45+")</f>
        <v>45+</v>
      </c>
    </row>
    <row r="1959" spans="1:21" x14ac:dyDescent="0.3">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c r="T1959">
        <f>IF(Table1[[#This Row],[Discount_Applied]]="Yes", 1,0)</f>
        <v>0</v>
      </c>
      <c r="U1959" t="str">
        <f>_xlfn.IFS(Table1[[#This Row],[Age]]&lt;=25, "Below 25", Table1[[#This Row],[Age]]&lt;=35, "Between 25-35", Table1[[#This Row],[Age]]&lt;=45, "Between 36-45", Table1[[#This Row],[Age]]&gt;45, "45+")</f>
        <v>45+</v>
      </c>
    </row>
    <row r="1960" spans="1:21" x14ac:dyDescent="0.3">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c r="T1960">
        <f>IF(Table1[[#This Row],[Discount_Applied]]="Yes", 1,0)</f>
        <v>0</v>
      </c>
      <c r="U1960" t="str">
        <f>_xlfn.IFS(Table1[[#This Row],[Age]]&lt;=25, "Below 25", Table1[[#This Row],[Age]]&lt;=35, "Between 25-35", Table1[[#This Row],[Age]]&lt;=45, "Between 36-45", Table1[[#This Row],[Age]]&gt;45, "45+")</f>
        <v>Between 36-45</v>
      </c>
    </row>
    <row r="1961" spans="1:21" x14ac:dyDescent="0.3">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c r="T1961">
        <f>IF(Table1[[#This Row],[Discount_Applied]]="Yes", 1,0)</f>
        <v>0</v>
      </c>
      <c r="U1961" t="str">
        <f>_xlfn.IFS(Table1[[#This Row],[Age]]&lt;=25, "Below 25", Table1[[#This Row],[Age]]&lt;=35, "Between 25-35", Table1[[#This Row],[Age]]&lt;=45, "Between 36-45", Table1[[#This Row],[Age]]&gt;45, "45+")</f>
        <v>45+</v>
      </c>
    </row>
    <row r="1962" spans="1:21" x14ac:dyDescent="0.3">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c r="T1962">
        <f>IF(Table1[[#This Row],[Discount_Applied]]="Yes", 1,0)</f>
        <v>0</v>
      </c>
      <c r="U1962" t="str">
        <f>_xlfn.IFS(Table1[[#This Row],[Age]]&lt;=25, "Below 25", Table1[[#This Row],[Age]]&lt;=35, "Between 25-35", Table1[[#This Row],[Age]]&lt;=45, "Between 36-45", Table1[[#This Row],[Age]]&gt;45, "45+")</f>
        <v>45+</v>
      </c>
    </row>
    <row r="1963" spans="1:21" x14ac:dyDescent="0.3">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c r="T1963">
        <f>IF(Table1[[#This Row],[Discount_Applied]]="Yes", 1,0)</f>
        <v>0</v>
      </c>
      <c r="U1963" t="str">
        <f>_xlfn.IFS(Table1[[#This Row],[Age]]&lt;=25, "Below 25", Table1[[#This Row],[Age]]&lt;=35, "Between 25-35", Table1[[#This Row],[Age]]&lt;=45, "Between 36-45", Table1[[#This Row],[Age]]&gt;45, "45+")</f>
        <v>45+</v>
      </c>
    </row>
    <row r="1964" spans="1:21" x14ac:dyDescent="0.3">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c r="T1964">
        <f>IF(Table1[[#This Row],[Discount_Applied]]="Yes", 1,0)</f>
        <v>0</v>
      </c>
      <c r="U1964" t="str">
        <f>_xlfn.IFS(Table1[[#This Row],[Age]]&lt;=25, "Below 25", Table1[[#This Row],[Age]]&lt;=35, "Between 25-35", Table1[[#This Row],[Age]]&lt;=45, "Between 36-45", Table1[[#This Row],[Age]]&gt;45, "45+")</f>
        <v>Between 36-45</v>
      </c>
    </row>
    <row r="1965" spans="1:21" x14ac:dyDescent="0.3">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c r="T1965">
        <f>IF(Table1[[#This Row],[Discount_Applied]]="Yes", 1,0)</f>
        <v>0</v>
      </c>
      <c r="U1965" t="str">
        <f>_xlfn.IFS(Table1[[#This Row],[Age]]&lt;=25, "Below 25", Table1[[#This Row],[Age]]&lt;=35, "Between 25-35", Table1[[#This Row],[Age]]&lt;=45, "Between 36-45", Table1[[#This Row],[Age]]&gt;45, "45+")</f>
        <v>45+</v>
      </c>
    </row>
    <row r="1966" spans="1:21" x14ac:dyDescent="0.3">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c r="T1966">
        <f>IF(Table1[[#This Row],[Discount_Applied]]="Yes", 1,0)</f>
        <v>0</v>
      </c>
      <c r="U1966" t="str">
        <f>_xlfn.IFS(Table1[[#This Row],[Age]]&lt;=25, "Below 25", Table1[[#This Row],[Age]]&lt;=35, "Between 25-35", Table1[[#This Row],[Age]]&lt;=45, "Between 36-45", Table1[[#This Row],[Age]]&gt;45, "45+")</f>
        <v>Between 36-45</v>
      </c>
    </row>
    <row r="1967" spans="1:21" x14ac:dyDescent="0.3">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c r="T1967">
        <f>IF(Table1[[#This Row],[Discount_Applied]]="Yes", 1,0)</f>
        <v>0</v>
      </c>
      <c r="U1967" t="str">
        <f>_xlfn.IFS(Table1[[#This Row],[Age]]&lt;=25, "Below 25", Table1[[#This Row],[Age]]&lt;=35, "Between 25-35", Table1[[#This Row],[Age]]&lt;=45, "Between 36-45", Table1[[#This Row],[Age]]&gt;45, "45+")</f>
        <v>45+</v>
      </c>
    </row>
    <row r="1968" spans="1:21" x14ac:dyDescent="0.3">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c r="T1968">
        <f>IF(Table1[[#This Row],[Discount_Applied]]="Yes", 1,0)</f>
        <v>0</v>
      </c>
      <c r="U1968" t="str">
        <f>_xlfn.IFS(Table1[[#This Row],[Age]]&lt;=25, "Below 25", Table1[[#This Row],[Age]]&lt;=35, "Between 25-35", Table1[[#This Row],[Age]]&lt;=45, "Between 36-45", Table1[[#This Row],[Age]]&gt;45, "45+")</f>
        <v>45+</v>
      </c>
    </row>
    <row r="1969" spans="1:21" x14ac:dyDescent="0.3">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c r="T1969">
        <f>IF(Table1[[#This Row],[Discount_Applied]]="Yes", 1,0)</f>
        <v>0</v>
      </c>
      <c r="U1969" t="str">
        <f>_xlfn.IFS(Table1[[#This Row],[Age]]&lt;=25, "Below 25", Table1[[#This Row],[Age]]&lt;=35, "Between 25-35", Table1[[#This Row],[Age]]&lt;=45, "Between 36-45", Table1[[#This Row],[Age]]&gt;45, "45+")</f>
        <v>Between 36-45</v>
      </c>
    </row>
    <row r="1970" spans="1:21" x14ac:dyDescent="0.3">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c r="T1970">
        <f>IF(Table1[[#This Row],[Discount_Applied]]="Yes", 1,0)</f>
        <v>0</v>
      </c>
      <c r="U1970" t="str">
        <f>_xlfn.IFS(Table1[[#This Row],[Age]]&lt;=25, "Below 25", Table1[[#This Row],[Age]]&lt;=35, "Between 25-35", Table1[[#This Row],[Age]]&lt;=45, "Between 36-45", Table1[[#This Row],[Age]]&gt;45, "45+")</f>
        <v>45+</v>
      </c>
    </row>
    <row r="1971" spans="1:21" x14ac:dyDescent="0.3">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c r="T1971">
        <f>IF(Table1[[#This Row],[Discount_Applied]]="Yes", 1,0)</f>
        <v>0</v>
      </c>
      <c r="U1971" t="str">
        <f>_xlfn.IFS(Table1[[#This Row],[Age]]&lt;=25, "Below 25", Table1[[#This Row],[Age]]&lt;=35, "Between 25-35", Table1[[#This Row],[Age]]&lt;=45, "Between 36-45", Table1[[#This Row],[Age]]&gt;45, "45+")</f>
        <v>45+</v>
      </c>
    </row>
    <row r="1972" spans="1:21" x14ac:dyDescent="0.3">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c r="T1972">
        <f>IF(Table1[[#This Row],[Discount_Applied]]="Yes", 1,0)</f>
        <v>0</v>
      </c>
      <c r="U1972" t="str">
        <f>_xlfn.IFS(Table1[[#This Row],[Age]]&lt;=25, "Below 25", Table1[[#This Row],[Age]]&lt;=35, "Between 25-35", Table1[[#This Row],[Age]]&lt;=45, "Between 36-45", Table1[[#This Row],[Age]]&gt;45, "45+")</f>
        <v>Between 25-35</v>
      </c>
    </row>
    <row r="1973" spans="1:21" x14ac:dyDescent="0.3">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c r="T1973">
        <f>IF(Table1[[#This Row],[Discount_Applied]]="Yes", 1,0)</f>
        <v>0</v>
      </c>
      <c r="U1973" t="str">
        <f>_xlfn.IFS(Table1[[#This Row],[Age]]&lt;=25, "Below 25", Table1[[#This Row],[Age]]&lt;=35, "Between 25-35", Table1[[#This Row],[Age]]&lt;=45, "Between 36-45", Table1[[#This Row],[Age]]&gt;45, "45+")</f>
        <v>45+</v>
      </c>
    </row>
    <row r="1974" spans="1:21" x14ac:dyDescent="0.3">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c r="T1974">
        <f>IF(Table1[[#This Row],[Discount_Applied]]="Yes", 1,0)</f>
        <v>0</v>
      </c>
      <c r="U1974" t="str">
        <f>_xlfn.IFS(Table1[[#This Row],[Age]]&lt;=25, "Below 25", Table1[[#This Row],[Age]]&lt;=35, "Between 25-35", Table1[[#This Row],[Age]]&lt;=45, "Between 36-45", Table1[[#This Row],[Age]]&gt;45, "45+")</f>
        <v>45+</v>
      </c>
    </row>
    <row r="1975" spans="1:21" x14ac:dyDescent="0.3">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c r="T1975">
        <f>IF(Table1[[#This Row],[Discount_Applied]]="Yes", 1,0)</f>
        <v>0</v>
      </c>
      <c r="U1975" t="str">
        <f>_xlfn.IFS(Table1[[#This Row],[Age]]&lt;=25, "Below 25", Table1[[#This Row],[Age]]&lt;=35, "Between 25-35", Table1[[#This Row],[Age]]&lt;=45, "Between 36-45", Table1[[#This Row],[Age]]&gt;45, "45+")</f>
        <v>Below 25</v>
      </c>
    </row>
    <row r="1976" spans="1:21" x14ac:dyDescent="0.3">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c r="T1976">
        <f>IF(Table1[[#This Row],[Discount_Applied]]="Yes", 1,0)</f>
        <v>0</v>
      </c>
      <c r="U1976" t="str">
        <f>_xlfn.IFS(Table1[[#This Row],[Age]]&lt;=25, "Below 25", Table1[[#This Row],[Age]]&lt;=35, "Between 25-35", Table1[[#This Row],[Age]]&lt;=45, "Between 36-45", Table1[[#This Row],[Age]]&gt;45, "45+")</f>
        <v>Between 25-35</v>
      </c>
    </row>
    <row r="1977" spans="1:21" x14ac:dyDescent="0.3">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c r="T1977">
        <f>IF(Table1[[#This Row],[Discount_Applied]]="Yes", 1,0)</f>
        <v>0</v>
      </c>
      <c r="U1977" t="str">
        <f>_xlfn.IFS(Table1[[#This Row],[Age]]&lt;=25, "Below 25", Table1[[#This Row],[Age]]&lt;=35, "Between 25-35", Table1[[#This Row],[Age]]&lt;=45, "Between 36-45", Table1[[#This Row],[Age]]&gt;45, "45+")</f>
        <v>45+</v>
      </c>
    </row>
    <row r="1978" spans="1:21" x14ac:dyDescent="0.3">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c r="T1978">
        <f>IF(Table1[[#This Row],[Discount_Applied]]="Yes", 1,0)</f>
        <v>0</v>
      </c>
      <c r="U1978" t="str">
        <f>_xlfn.IFS(Table1[[#This Row],[Age]]&lt;=25, "Below 25", Table1[[#This Row],[Age]]&lt;=35, "Between 25-35", Table1[[#This Row],[Age]]&lt;=45, "Between 36-45", Table1[[#This Row],[Age]]&gt;45, "45+")</f>
        <v>Between 25-35</v>
      </c>
    </row>
    <row r="1979" spans="1:21" x14ac:dyDescent="0.3">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c r="T1979">
        <f>IF(Table1[[#This Row],[Discount_Applied]]="Yes", 1,0)</f>
        <v>0</v>
      </c>
      <c r="U1979" t="str">
        <f>_xlfn.IFS(Table1[[#This Row],[Age]]&lt;=25, "Below 25", Table1[[#This Row],[Age]]&lt;=35, "Between 25-35", Table1[[#This Row],[Age]]&lt;=45, "Between 36-45", Table1[[#This Row],[Age]]&gt;45, "45+")</f>
        <v>Below 25</v>
      </c>
    </row>
    <row r="1980" spans="1:21" x14ac:dyDescent="0.3">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c r="T1980">
        <f>IF(Table1[[#This Row],[Discount_Applied]]="Yes", 1,0)</f>
        <v>0</v>
      </c>
      <c r="U1980" t="str">
        <f>_xlfn.IFS(Table1[[#This Row],[Age]]&lt;=25, "Below 25", Table1[[#This Row],[Age]]&lt;=35, "Between 25-35", Table1[[#This Row],[Age]]&lt;=45, "Between 36-45", Table1[[#This Row],[Age]]&gt;45, "45+")</f>
        <v>Between 36-45</v>
      </c>
    </row>
    <row r="1981" spans="1:21" x14ac:dyDescent="0.3">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c r="T1981">
        <f>IF(Table1[[#This Row],[Discount_Applied]]="Yes", 1,0)</f>
        <v>0</v>
      </c>
      <c r="U1981" t="str">
        <f>_xlfn.IFS(Table1[[#This Row],[Age]]&lt;=25, "Below 25", Table1[[#This Row],[Age]]&lt;=35, "Between 25-35", Table1[[#This Row],[Age]]&lt;=45, "Between 36-45", Table1[[#This Row],[Age]]&gt;45, "45+")</f>
        <v>45+</v>
      </c>
    </row>
    <row r="1982" spans="1:21" x14ac:dyDescent="0.3">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c r="T1982">
        <f>IF(Table1[[#This Row],[Discount_Applied]]="Yes", 1,0)</f>
        <v>0</v>
      </c>
      <c r="U1982" t="str">
        <f>_xlfn.IFS(Table1[[#This Row],[Age]]&lt;=25, "Below 25", Table1[[#This Row],[Age]]&lt;=35, "Between 25-35", Table1[[#This Row],[Age]]&lt;=45, "Between 36-45", Table1[[#This Row],[Age]]&gt;45, "45+")</f>
        <v>45+</v>
      </c>
    </row>
    <row r="1983" spans="1:21" x14ac:dyDescent="0.3">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c r="T1983">
        <f>IF(Table1[[#This Row],[Discount_Applied]]="Yes", 1,0)</f>
        <v>0</v>
      </c>
      <c r="U1983" t="str">
        <f>_xlfn.IFS(Table1[[#This Row],[Age]]&lt;=25, "Below 25", Table1[[#This Row],[Age]]&lt;=35, "Between 25-35", Table1[[#This Row],[Age]]&lt;=45, "Between 36-45", Table1[[#This Row],[Age]]&gt;45, "45+")</f>
        <v>45+</v>
      </c>
    </row>
    <row r="1984" spans="1:21" x14ac:dyDescent="0.3">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c r="T1984">
        <f>IF(Table1[[#This Row],[Discount_Applied]]="Yes", 1,0)</f>
        <v>0</v>
      </c>
      <c r="U1984" t="str">
        <f>_xlfn.IFS(Table1[[#This Row],[Age]]&lt;=25, "Below 25", Table1[[#This Row],[Age]]&lt;=35, "Between 25-35", Table1[[#This Row],[Age]]&lt;=45, "Between 36-45", Table1[[#This Row],[Age]]&gt;45, "45+")</f>
        <v>Between 36-45</v>
      </c>
    </row>
    <row r="1985" spans="1:21" x14ac:dyDescent="0.3">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c r="T1985">
        <f>IF(Table1[[#This Row],[Discount_Applied]]="Yes", 1,0)</f>
        <v>0</v>
      </c>
      <c r="U1985" t="str">
        <f>_xlfn.IFS(Table1[[#This Row],[Age]]&lt;=25, "Below 25", Table1[[#This Row],[Age]]&lt;=35, "Between 25-35", Table1[[#This Row],[Age]]&lt;=45, "Between 36-45", Table1[[#This Row],[Age]]&gt;45, "45+")</f>
        <v>45+</v>
      </c>
    </row>
    <row r="1986" spans="1:21" x14ac:dyDescent="0.3">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c r="T1986">
        <f>IF(Table1[[#This Row],[Discount_Applied]]="Yes", 1,0)</f>
        <v>0</v>
      </c>
      <c r="U1986" t="str">
        <f>_xlfn.IFS(Table1[[#This Row],[Age]]&lt;=25, "Below 25", Table1[[#This Row],[Age]]&lt;=35, "Between 25-35", Table1[[#This Row],[Age]]&lt;=45, "Between 36-45", Table1[[#This Row],[Age]]&gt;45, "45+")</f>
        <v>Between 25-35</v>
      </c>
    </row>
    <row r="1987" spans="1:21" x14ac:dyDescent="0.3">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c r="T1987">
        <f>IF(Table1[[#This Row],[Discount_Applied]]="Yes", 1,0)</f>
        <v>0</v>
      </c>
      <c r="U1987" t="str">
        <f>_xlfn.IFS(Table1[[#This Row],[Age]]&lt;=25, "Below 25", Table1[[#This Row],[Age]]&lt;=35, "Between 25-35", Table1[[#This Row],[Age]]&lt;=45, "Between 36-45", Table1[[#This Row],[Age]]&gt;45, "45+")</f>
        <v>Below 25</v>
      </c>
    </row>
    <row r="1988" spans="1:21" x14ac:dyDescent="0.3">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c r="T1988">
        <f>IF(Table1[[#This Row],[Discount_Applied]]="Yes", 1,0)</f>
        <v>0</v>
      </c>
      <c r="U1988" t="str">
        <f>_xlfn.IFS(Table1[[#This Row],[Age]]&lt;=25, "Below 25", Table1[[#This Row],[Age]]&lt;=35, "Between 25-35", Table1[[#This Row],[Age]]&lt;=45, "Between 36-45", Table1[[#This Row],[Age]]&gt;45, "45+")</f>
        <v>45+</v>
      </c>
    </row>
    <row r="1989" spans="1:21" x14ac:dyDescent="0.3">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c r="T1989">
        <f>IF(Table1[[#This Row],[Discount_Applied]]="Yes", 1,0)</f>
        <v>0</v>
      </c>
      <c r="U1989" t="str">
        <f>_xlfn.IFS(Table1[[#This Row],[Age]]&lt;=25, "Below 25", Table1[[#This Row],[Age]]&lt;=35, "Between 25-35", Table1[[#This Row],[Age]]&lt;=45, "Between 36-45", Table1[[#This Row],[Age]]&gt;45, "45+")</f>
        <v>45+</v>
      </c>
    </row>
    <row r="1990" spans="1:21" x14ac:dyDescent="0.3">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c r="T1990">
        <f>IF(Table1[[#This Row],[Discount_Applied]]="Yes", 1,0)</f>
        <v>0</v>
      </c>
      <c r="U1990" t="str">
        <f>_xlfn.IFS(Table1[[#This Row],[Age]]&lt;=25, "Below 25", Table1[[#This Row],[Age]]&lt;=35, "Between 25-35", Table1[[#This Row],[Age]]&lt;=45, "Between 36-45", Table1[[#This Row],[Age]]&gt;45, "45+")</f>
        <v>45+</v>
      </c>
    </row>
    <row r="1991" spans="1:21" x14ac:dyDescent="0.3">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c r="T1991">
        <f>IF(Table1[[#This Row],[Discount_Applied]]="Yes", 1,0)</f>
        <v>0</v>
      </c>
      <c r="U1991" t="str">
        <f>_xlfn.IFS(Table1[[#This Row],[Age]]&lt;=25, "Below 25", Table1[[#This Row],[Age]]&lt;=35, "Between 25-35", Table1[[#This Row],[Age]]&lt;=45, "Between 36-45", Table1[[#This Row],[Age]]&gt;45, "45+")</f>
        <v>Between 25-35</v>
      </c>
    </row>
    <row r="1992" spans="1:21" x14ac:dyDescent="0.3">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c r="T1992">
        <f>IF(Table1[[#This Row],[Discount_Applied]]="Yes", 1,0)</f>
        <v>0</v>
      </c>
      <c r="U1992" t="str">
        <f>_xlfn.IFS(Table1[[#This Row],[Age]]&lt;=25, "Below 25", Table1[[#This Row],[Age]]&lt;=35, "Between 25-35", Table1[[#This Row],[Age]]&lt;=45, "Between 36-45", Table1[[#This Row],[Age]]&gt;45, "45+")</f>
        <v>Between 25-35</v>
      </c>
    </row>
    <row r="1993" spans="1:21" x14ac:dyDescent="0.3">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c r="T1993">
        <f>IF(Table1[[#This Row],[Discount_Applied]]="Yes", 1,0)</f>
        <v>0</v>
      </c>
      <c r="U1993" t="str">
        <f>_xlfn.IFS(Table1[[#This Row],[Age]]&lt;=25, "Below 25", Table1[[#This Row],[Age]]&lt;=35, "Between 25-35", Table1[[#This Row],[Age]]&lt;=45, "Between 36-45", Table1[[#This Row],[Age]]&gt;45, "45+")</f>
        <v>45+</v>
      </c>
    </row>
    <row r="1994" spans="1:21" x14ac:dyDescent="0.3">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c r="T1994">
        <f>IF(Table1[[#This Row],[Discount_Applied]]="Yes", 1,0)</f>
        <v>0</v>
      </c>
      <c r="U1994" t="str">
        <f>_xlfn.IFS(Table1[[#This Row],[Age]]&lt;=25, "Below 25", Table1[[#This Row],[Age]]&lt;=35, "Between 25-35", Table1[[#This Row],[Age]]&lt;=45, "Between 36-45", Table1[[#This Row],[Age]]&gt;45, "45+")</f>
        <v>Between 25-35</v>
      </c>
    </row>
    <row r="1995" spans="1:21" x14ac:dyDescent="0.3">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c r="T1995">
        <f>IF(Table1[[#This Row],[Discount_Applied]]="Yes", 1,0)</f>
        <v>0</v>
      </c>
      <c r="U1995" t="str">
        <f>_xlfn.IFS(Table1[[#This Row],[Age]]&lt;=25, "Below 25", Table1[[#This Row],[Age]]&lt;=35, "Between 25-35", Table1[[#This Row],[Age]]&lt;=45, "Between 36-45", Table1[[#This Row],[Age]]&gt;45, "45+")</f>
        <v>Between 25-35</v>
      </c>
    </row>
    <row r="1996" spans="1:21" x14ac:dyDescent="0.3">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c r="T1996">
        <f>IF(Table1[[#This Row],[Discount_Applied]]="Yes", 1,0)</f>
        <v>0</v>
      </c>
      <c r="U1996" t="str">
        <f>_xlfn.IFS(Table1[[#This Row],[Age]]&lt;=25, "Below 25", Table1[[#This Row],[Age]]&lt;=35, "Between 25-35", Table1[[#This Row],[Age]]&lt;=45, "Between 36-45", Table1[[#This Row],[Age]]&gt;45, "45+")</f>
        <v>Between 25-35</v>
      </c>
    </row>
    <row r="1997" spans="1:21" x14ac:dyDescent="0.3">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c r="T1997">
        <f>IF(Table1[[#This Row],[Discount_Applied]]="Yes", 1,0)</f>
        <v>0</v>
      </c>
      <c r="U1997" t="str">
        <f>_xlfn.IFS(Table1[[#This Row],[Age]]&lt;=25, "Below 25", Table1[[#This Row],[Age]]&lt;=35, "Between 25-35", Table1[[#This Row],[Age]]&lt;=45, "Between 36-45", Table1[[#This Row],[Age]]&gt;45, "45+")</f>
        <v>45+</v>
      </c>
    </row>
    <row r="1998" spans="1:21" x14ac:dyDescent="0.3">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c r="T1998">
        <f>IF(Table1[[#This Row],[Discount_Applied]]="Yes", 1,0)</f>
        <v>0</v>
      </c>
      <c r="U1998" t="str">
        <f>_xlfn.IFS(Table1[[#This Row],[Age]]&lt;=25, "Below 25", Table1[[#This Row],[Age]]&lt;=35, "Between 25-35", Table1[[#This Row],[Age]]&lt;=45, "Between 36-45", Table1[[#This Row],[Age]]&gt;45, "45+")</f>
        <v>45+</v>
      </c>
    </row>
    <row r="1999" spans="1:21" x14ac:dyDescent="0.3">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c r="T1999">
        <f>IF(Table1[[#This Row],[Discount_Applied]]="Yes", 1,0)</f>
        <v>0</v>
      </c>
      <c r="U1999" t="str">
        <f>_xlfn.IFS(Table1[[#This Row],[Age]]&lt;=25, "Below 25", Table1[[#This Row],[Age]]&lt;=35, "Between 25-35", Table1[[#This Row],[Age]]&lt;=45, "Between 36-45", Table1[[#This Row],[Age]]&gt;45, "45+")</f>
        <v>Between 36-45</v>
      </c>
    </row>
    <row r="2000" spans="1:21" x14ac:dyDescent="0.3">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c r="T2000">
        <f>IF(Table1[[#This Row],[Discount_Applied]]="Yes", 1,0)</f>
        <v>0</v>
      </c>
      <c r="U2000" t="str">
        <f>_xlfn.IFS(Table1[[#This Row],[Age]]&lt;=25, "Below 25", Table1[[#This Row],[Age]]&lt;=35, "Between 25-35", Table1[[#This Row],[Age]]&lt;=45, "Between 36-45", Table1[[#This Row],[Age]]&gt;45, "45+")</f>
        <v>Below 25</v>
      </c>
    </row>
    <row r="2001" spans="1:21" x14ac:dyDescent="0.3">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c r="T2001">
        <f>IF(Table1[[#This Row],[Discount_Applied]]="Yes", 1,0)</f>
        <v>0</v>
      </c>
      <c r="U2001" t="str">
        <f>_xlfn.IFS(Table1[[#This Row],[Age]]&lt;=25, "Below 25", Table1[[#This Row],[Age]]&lt;=35, "Between 25-35", Table1[[#This Row],[Age]]&lt;=45, "Between 36-45", Table1[[#This Row],[Age]]&gt;45, "45+")</f>
        <v>Between 36-45</v>
      </c>
    </row>
    <row r="2002" spans="1:21" x14ac:dyDescent="0.3">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c r="T2002">
        <f>IF(Table1[[#This Row],[Discount_Applied]]="Yes", 1,0)</f>
        <v>0</v>
      </c>
      <c r="U2002" t="str">
        <f>_xlfn.IFS(Table1[[#This Row],[Age]]&lt;=25, "Below 25", Table1[[#This Row],[Age]]&lt;=35, "Between 25-35", Table1[[#This Row],[Age]]&lt;=45, "Between 36-45", Table1[[#This Row],[Age]]&gt;45, "45+")</f>
        <v>Between 25-35</v>
      </c>
    </row>
    <row r="2003" spans="1:21" x14ac:dyDescent="0.3">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c r="T2003">
        <f>IF(Table1[[#This Row],[Discount_Applied]]="Yes", 1,0)</f>
        <v>0</v>
      </c>
      <c r="U2003" t="str">
        <f>_xlfn.IFS(Table1[[#This Row],[Age]]&lt;=25, "Below 25", Table1[[#This Row],[Age]]&lt;=35, "Between 25-35", Table1[[#This Row],[Age]]&lt;=45, "Between 36-45", Table1[[#This Row],[Age]]&gt;45, "45+")</f>
        <v>45+</v>
      </c>
    </row>
    <row r="2004" spans="1:21" x14ac:dyDescent="0.3">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c r="T2004">
        <f>IF(Table1[[#This Row],[Discount_Applied]]="Yes", 1,0)</f>
        <v>0</v>
      </c>
      <c r="U2004" t="str">
        <f>_xlfn.IFS(Table1[[#This Row],[Age]]&lt;=25, "Below 25", Table1[[#This Row],[Age]]&lt;=35, "Between 25-35", Table1[[#This Row],[Age]]&lt;=45, "Between 36-45", Table1[[#This Row],[Age]]&gt;45, "45+")</f>
        <v>Between 25-35</v>
      </c>
    </row>
    <row r="2005" spans="1:21" x14ac:dyDescent="0.3">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c r="T2005">
        <f>IF(Table1[[#This Row],[Discount_Applied]]="Yes", 1,0)</f>
        <v>0</v>
      </c>
      <c r="U2005" t="str">
        <f>_xlfn.IFS(Table1[[#This Row],[Age]]&lt;=25, "Below 25", Table1[[#This Row],[Age]]&lt;=35, "Between 25-35", Table1[[#This Row],[Age]]&lt;=45, "Between 36-45", Table1[[#This Row],[Age]]&gt;45, "45+")</f>
        <v>45+</v>
      </c>
    </row>
    <row r="2006" spans="1:21" x14ac:dyDescent="0.3">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c r="T2006">
        <f>IF(Table1[[#This Row],[Discount_Applied]]="Yes", 1,0)</f>
        <v>0</v>
      </c>
      <c r="U2006" t="str">
        <f>_xlfn.IFS(Table1[[#This Row],[Age]]&lt;=25, "Below 25", Table1[[#This Row],[Age]]&lt;=35, "Between 25-35", Table1[[#This Row],[Age]]&lt;=45, "Between 36-45", Table1[[#This Row],[Age]]&gt;45, "45+")</f>
        <v>Between 36-45</v>
      </c>
    </row>
    <row r="2007" spans="1:21" x14ac:dyDescent="0.3">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c r="T2007">
        <f>IF(Table1[[#This Row],[Discount_Applied]]="Yes", 1,0)</f>
        <v>0</v>
      </c>
      <c r="U2007" t="str">
        <f>_xlfn.IFS(Table1[[#This Row],[Age]]&lt;=25, "Below 25", Table1[[#This Row],[Age]]&lt;=35, "Between 25-35", Table1[[#This Row],[Age]]&lt;=45, "Between 36-45", Table1[[#This Row],[Age]]&gt;45, "45+")</f>
        <v>Below 25</v>
      </c>
    </row>
    <row r="2008" spans="1:21" x14ac:dyDescent="0.3">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c r="T2008">
        <f>IF(Table1[[#This Row],[Discount_Applied]]="Yes", 1,0)</f>
        <v>0</v>
      </c>
      <c r="U2008" t="str">
        <f>_xlfn.IFS(Table1[[#This Row],[Age]]&lt;=25, "Below 25", Table1[[#This Row],[Age]]&lt;=35, "Between 25-35", Table1[[#This Row],[Age]]&lt;=45, "Between 36-45", Table1[[#This Row],[Age]]&gt;45, "45+")</f>
        <v>45+</v>
      </c>
    </row>
    <row r="2009" spans="1:21" x14ac:dyDescent="0.3">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c r="T2009">
        <f>IF(Table1[[#This Row],[Discount_Applied]]="Yes", 1,0)</f>
        <v>0</v>
      </c>
      <c r="U2009" t="str">
        <f>_xlfn.IFS(Table1[[#This Row],[Age]]&lt;=25, "Below 25", Table1[[#This Row],[Age]]&lt;=35, "Between 25-35", Table1[[#This Row],[Age]]&lt;=45, "Between 36-45", Table1[[#This Row],[Age]]&gt;45, "45+")</f>
        <v>Between 25-35</v>
      </c>
    </row>
    <row r="2010" spans="1:21" x14ac:dyDescent="0.3">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c r="T2010">
        <f>IF(Table1[[#This Row],[Discount_Applied]]="Yes", 1,0)</f>
        <v>0</v>
      </c>
      <c r="U2010" t="str">
        <f>_xlfn.IFS(Table1[[#This Row],[Age]]&lt;=25, "Below 25", Table1[[#This Row],[Age]]&lt;=35, "Between 25-35", Table1[[#This Row],[Age]]&lt;=45, "Between 36-45", Table1[[#This Row],[Age]]&gt;45, "45+")</f>
        <v>45+</v>
      </c>
    </row>
    <row r="2011" spans="1:21" x14ac:dyDescent="0.3">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c r="T2011">
        <f>IF(Table1[[#This Row],[Discount_Applied]]="Yes", 1,0)</f>
        <v>0</v>
      </c>
      <c r="U2011" t="str">
        <f>_xlfn.IFS(Table1[[#This Row],[Age]]&lt;=25, "Below 25", Table1[[#This Row],[Age]]&lt;=35, "Between 25-35", Table1[[#This Row],[Age]]&lt;=45, "Between 36-45", Table1[[#This Row],[Age]]&gt;45, "45+")</f>
        <v>Between 36-45</v>
      </c>
    </row>
    <row r="2012" spans="1:21" x14ac:dyDescent="0.3">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c r="T2012">
        <f>IF(Table1[[#This Row],[Discount_Applied]]="Yes", 1,0)</f>
        <v>0</v>
      </c>
      <c r="U2012" t="str">
        <f>_xlfn.IFS(Table1[[#This Row],[Age]]&lt;=25, "Below 25", Table1[[#This Row],[Age]]&lt;=35, "Between 25-35", Table1[[#This Row],[Age]]&lt;=45, "Between 36-45", Table1[[#This Row],[Age]]&gt;45, "45+")</f>
        <v>Below 25</v>
      </c>
    </row>
    <row r="2013" spans="1:21" x14ac:dyDescent="0.3">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c r="T2013">
        <f>IF(Table1[[#This Row],[Discount_Applied]]="Yes", 1,0)</f>
        <v>0</v>
      </c>
      <c r="U2013" t="str">
        <f>_xlfn.IFS(Table1[[#This Row],[Age]]&lt;=25, "Below 25", Table1[[#This Row],[Age]]&lt;=35, "Between 25-35", Table1[[#This Row],[Age]]&lt;=45, "Between 36-45", Table1[[#This Row],[Age]]&gt;45, "45+")</f>
        <v>45+</v>
      </c>
    </row>
    <row r="2014" spans="1:21" x14ac:dyDescent="0.3">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c r="T2014">
        <f>IF(Table1[[#This Row],[Discount_Applied]]="Yes", 1,0)</f>
        <v>0</v>
      </c>
      <c r="U2014" t="str">
        <f>_xlfn.IFS(Table1[[#This Row],[Age]]&lt;=25, "Below 25", Table1[[#This Row],[Age]]&lt;=35, "Between 25-35", Table1[[#This Row],[Age]]&lt;=45, "Between 36-45", Table1[[#This Row],[Age]]&gt;45, "45+")</f>
        <v>45+</v>
      </c>
    </row>
    <row r="2015" spans="1:21" x14ac:dyDescent="0.3">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c r="T2015">
        <f>IF(Table1[[#This Row],[Discount_Applied]]="Yes", 1,0)</f>
        <v>0</v>
      </c>
      <c r="U2015" t="str">
        <f>_xlfn.IFS(Table1[[#This Row],[Age]]&lt;=25, "Below 25", Table1[[#This Row],[Age]]&lt;=35, "Between 25-35", Table1[[#This Row],[Age]]&lt;=45, "Between 36-45", Table1[[#This Row],[Age]]&gt;45, "45+")</f>
        <v>Between 36-45</v>
      </c>
    </row>
    <row r="2016" spans="1:21" x14ac:dyDescent="0.3">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c r="T2016">
        <f>IF(Table1[[#This Row],[Discount_Applied]]="Yes", 1,0)</f>
        <v>0</v>
      </c>
      <c r="U2016" t="str">
        <f>_xlfn.IFS(Table1[[#This Row],[Age]]&lt;=25, "Below 25", Table1[[#This Row],[Age]]&lt;=35, "Between 25-35", Table1[[#This Row],[Age]]&lt;=45, "Between 36-45", Table1[[#This Row],[Age]]&gt;45, "45+")</f>
        <v>45+</v>
      </c>
    </row>
    <row r="2017" spans="1:21" x14ac:dyDescent="0.3">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c r="T2017">
        <f>IF(Table1[[#This Row],[Discount_Applied]]="Yes", 1,0)</f>
        <v>0</v>
      </c>
      <c r="U2017" t="str">
        <f>_xlfn.IFS(Table1[[#This Row],[Age]]&lt;=25, "Below 25", Table1[[#This Row],[Age]]&lt;=35, "Between 25-35", Table1[[#This Row],[Age]]&lt;=45, "Between 36-45", Table1[[#This Row],[Age]]&gt;45, "45+")</f>
        <v>45+</v>
      </c>
    </row>
    <row r="2018" spans="1:21" x14ac:dyDescent="0.3">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c r="T2018">
        <f>IF(Table1[[#This Row],[Discount_Applied]]="Yes", 1,0)</f>
        <v>0</v>
      </c>
      <c r="U2018" t="str">
        <f>_xlfn.IFS(Table1[[#This Row],[Age]]&lt;=25, "Below 25", Table1[[#This Row],[Age]]&lt;=35, "Between 25-35", Table1[[#This Row],[Age]]&lt;=45, "Between 36-45", Table1[[#This Row],[Age]]&gt;45, "45+")</f>
        <v>45+</v>
      </c>
    </row>
    <row r="2019" spans="1:21" x14ac:dyDescent="0.3">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c r="T2019">
        <f>IF(Table1[[#This Row],[Discount_Applied]]="Yes", 1,0)</f>
        <v>0</v>
      </c>
      <c r="U2019" t="str">
        <f>_xlfn.IFS(Table1[[#This Row],[Age]]&lt;=25, "Below 25", Table1[[#This Row],[Age]]&lt;=35, "Between 25-35", Table1[[#This Row],[Age]]&lt;=45, "Between 36-45", Table1[[#This Row],[Age]]&gt;45, "45+")</f>
        <v>45+</v>
      </c>
    </row>
    <row r="2020" spans="1:21" x14ac:dyDescent="0.3">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c r="T2020">
        <f>IF(Table1[[#This Row],[Discount_Applied]]="Yes", 1,0)</f>
        <v>0</v>
      </c>
      <c r="U2020" t="str">
        <f>_xlfn.IFS(Table1[[#This Row],[Age]]&lt;=25, "Below 25", Table1[[#This Row],[Age]]&lt;=35, "Between 25-35", Table1[[#This Row],[Age]]&lt;=45, "Between 36-45", Table1[[#This Row],[Age]]&gt;45, "45+")</f>
        <v>45+</v>
      </c>
    </row>
    <row r="2021" spans="1:21" x14ac:dyDescent="0.3">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c r="T2021">
        <f>IF(Table1[[#This Row],[Discount_Applied]]="Yes", 1,0)</f>
        <v>0</v>
      </c>
      <c r="U2021" t="str">
        <f>_xlfn.IFS(Table1[[#This Row],[Age]]&lt;=25, "Below 25", Table1[[#This Row],[Age]]&lt;=35, "Between 25-35", Table1[[#This Row],[Age]]&lt;=45, "Between 36-45", Table1[[#This Row],[Age]]&gt;45, "45+")</f>
        <v>Between 25-35</v>
      </c>
    </row>
    <row r="2022" spans="1:21" x14ac:dyDescent="0.3">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c r="T2022">
        <f>IF(Table1[[#This Row],[Discount_Applied]]="Yes", 1,0)</f>
        <v>0</v>
      </c>
      <c r="U2022" t="str">
        <f>_xlfn.IFS(Table1[[#This Row],[Age]]&lt;=25, "Below 25", Table1[[#This Row],[Age]]&lt;=35, "Between 25-35", Table1[[#This Row],[Age]]&lt;=45, "Between 36-45", Table1[[#This Row],[Age]]&gt;45, "45+")</f>
        <v>Between 36-45</v>
      </c>
    </row>
    <row r="2023" spans="1:21" x14ac:dyDescent="0.3">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c r="T2023">
        <f>IF(Table1[[#This Row],[Discount_Applied]]="Yes", 1,0)</f>
        <v>0</v>
      </c>
      <c r="U2023" t="str">
        <f>_xlfn.IFS(Table1[[#This Row],[Age]]&lt;=25, "Below 25", Table1[[#This Row],[Age]]&lt;=35, "Between 25-35", Table1[[#This Row],[Age]]&lt;=45, "Between 36-45", Table1[[#This Row],[Age]]&gt;45, "45+")</f>
        <v>45+</v>
      </c>
    </row>
    <row r="2024" spans="1:21" x14ac:dyDescent="0.3">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c r="T2024">
        <f>IF(Table1[[#This Row],[Discount_Applied]]="Yes", 1,0)</f>
        <v>0</v>
      </c>
      <c r="U2024" t="str">
        <f>_xlfn.IFS(Table1[[#This Row],[Age]]&lt;=25, "Below 25", Table1[[#This Row],[Age]]&lt;=35, "Between 25-35", Table1[[#This Row],[Age]]&lt;=45, "Between 36-45", Table1[[#This Row],[Age]]&gt;45, "45+")</f>
        <v>45+</v>
      </c>
    </row>
    <row r="2025" spans="1:21" x14ac:dyDescent="0.3">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c r="T2025">
        <f>IF(Table1[[#This Row],[Discount_Applied]]="Yes", 1,0)</f>
        <v>0</v>
      </c>
      <c r="U2025" t="str">
        <f>_xlfn.IFS(Table1[[#This Row],[Age]]&lt;=25, "Below 25", Table1[[#This Row],[Age]]&lt;=35, "Between 25-35", Table1[[#This Row],[Age]]&lt;=45, "Between 36-45", Table1[[#This Row],[Age]]&gt;45, "45+")</f>
        <v>45+</v>
      </c>
    </row>
    <row r="2026" spans="1:21" x14ac:dyDescent="0.3">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c r="T2026">
        <f>IF(Table1[[#This Row],[Discount_Applied]]="Yes", 1,0)</f>
        <v>0</v>
      </c>
      <c r="U2026" t="str">
        <f>_xlfn.IFS(Table1[[#This Row],[Age]]&lt;=25, "Below 25", Table1[[#This Row],[Age]]&lt;=35, "Between 25-35", Table1[[#This Row],[Age]]&lt;=45, "Between 36-45", Table1[[#This Row],[Age]]&gt;45, "45+")</f>
        <v>45+</v>
      </c>
    </row>
    <row r="2027" spans="1:21" x14ac:dyDescent="0.3">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c r="T2027">
        <f>IF(Table1[[#This Row],[Discount_Applied]]="Yes", 1,0)</f>
        <v>0</v>
      </c>
      <c r="U2027" t="str">
        <f>_xlfn.IFS(Table1[[#This Row],[Age]]&lt;=25, "Below 25", Table1[[#This Row],[Age]]&lt;=35, "Between 25-35", Table1[[#This Row],[Age]]&lt;=45, "Between 36-45", Table1[[#This Row],[Age]]&gt;45, "45+")</f>
        <v>Between 36-45</v>
      </c>
    </row>
    <row r="2028" spans="1:21" x14ac:dyDescent="0.3">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c r="T2028">
        <f>IF(Table1[[#This Row],[Discount_Applied]]="Yes", 1,0)</f>
        <v>0</v>
      </c>
      <c r="U2028" t="str">
        <f>_xlfn.IFS(Table1[[#This Row],[Age]]&lt;=25, "Below 25", Table1[[#This Row],[Age]]&lt;=35, "Between 25-35", Table1[[#This Row],[Age]]&lt;=45, "Between 36-45", Table1[[#This Row],[Age]]&gt;45, "45+")</f>
        <v>Between 36-45</v>
      </c>
    </row>
    <row r="2029" spans="1:21" x14ac:dyDescent="0.3">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c r="T2029">
        <f>IF(Table1[[#This Row],[Discount_Applied]]="Yes", 1,0)</f>
        <v>0</v>
      </c>
      <c r="U2029" t="str">
        <f>_xlfn.IFS(Table1[[#This Row],[Age]]&lt;=25, "Below 25", Table1[[#This Row],[Age]]&lt;=35, "Between 25-35", Table1[[#This Row],[Age]]&lt;=45, "Between 36-45", Table1[[#This Row],[Age]]&gt;45, "45+")</f>
        <v>45+</v>
      </c>
    </row>
    <row r="2030" spans="1:21" x14ac:dyDescent="0.3">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c r="T2030">
        <f>IF(Table1[[#This Row],[Discount_Applied]]="Yes", 1,0)</f>
        <v>0</v>
      </c>
      <c r="U2030" t="str">
        <f>_xlfn.IFS(Table1[[#This Row],[Age]]&lt;=25, "Below 25", Table1[[#This Row],[Age]]&lt;=35, "Between 25-35", Table1[[#This Row],[Age]]&lt;=45, "Between 36-45", Table1[[#This Row],[Age]]&gt;45, "45+")</f>
        <v>Between 25-35</v>
      </c>
    </row>
    <row r="2031" spans="1:21" x14ac:dyDescent="0.3">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c r="T2031">
        <f>IF(Table1[[#This Row],[Discount_Applied]]="Yes", 1,0)</f>
        <v>0</v>
      </c>
      <c r="U2031" t="str">
        <f>_xlfn.IFS(Table1[[#This Row],[Age]]&lt;=25, "Below 25", Table1[[#This Row],[Age]]&lt;=35, "Between 25-35", Table1[[#This Row],[Age]]&lt;=45, "Between 36-45", Table1[[#This Row],[Age]]&gt;45, "45+")</f>
        <v>Below 25</v>
      </c>
    </row>
    <row r="2032" spans="1:21" x14ac:dyDescent="0.3">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c r="T2032">
        <f>IF(Table1[[#This Row],[Discount_Applied]]="Yes", 1,0)</f>
        <v>0</v>
      </c>
      <c r="U2032" t="str">
        <f>_xlfn.IFS(Table1[[#This Row],[Age]]&lt;=25, "Below 25", Table1[[#This Row],[Age]]&lt;=35, "Between 25-35", Table1[[#This Row],[Age]]&lt;=45, "Between 36-45", Table1[[#This Row],[Age]]&gt;45, "45+")</f>
        <v>45+</v>
      </c>
    </row>
    <row r="2033" spans="1:21" x14ac:dyDescent="0.3">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c r="T2033">
        <f>IF(Table1[[#This Row],[Discount_Applied]]="Yes", 1,0)</f>
        <v>0</v>
      </c>
      <c r="U2033" t="str">
        <f>_xlfn.IFS(Table1[[#This Row],[Age]]&lt;=25, "Below 25", Table1[[#This Row],[Age]]&lt;=35, "Between 25-35", Table1[[#This Row],[Age]]&lt;=45, "Between 36-45", Table1[[#This Row],[Age]]&gt;45, "45+")</f>
        <v>Below 25</v>
      </c>
    </row>
    <row r="2034" spans="1:21" x14ac:dyDescent="0.3">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c r="T2034">
        <f>IF(Table1[[#This Row],[Discount_Applied]]="Yes", 1,0)</f>
        <v>0</v>
      </c>
      <c r="U2034" t="str">
        <f>_xlfn.IFS(Table1[[#This Row],[Age]]&lt;=25, "Below 25", Table1[[#This Row],[Age]]&lt;=35, "Between 25-35", Table1[[#This Row],[Age]]&lt;=45, "Between 36-45", Table1[[#This Row],[Age]]&gt;45, "45+")</f>
        <v>45+</v>
      </c>
    </row>
    <row r="2035" spans="1:21" x14ac:dyDescent="0.3">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c r="T2035">
        <f>IF(Table1[[#This Row],[Discount_Applied]]="Yes", 1,0)</f>
        <v>0</v>
      </c>
      <c r="U2035" t="str">
        <f>_xlfn.IFS(Table1[[#This Row],[Age]]&lt;=25, "Below 25", Table1[[#This Row],[Age]]&lt;=35, "Between 25-35", Table1[[#This Row],[Age]]&lt;=45, "Between 36-45", Table1[[#This Row],[Age]]&gt;45, "45+")</f>
        <v>45+</v>
      </c>
    </row>
    <row r="2036" spans="1:21" x14ac:dyDescent="0.3">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c r="T2036">
        <f>IF(Table1[[#This Row],[Discount_Applied]]="Yes", 1,0)</f>
        <v>0</v>
      </c>
      <c r="U2036" t="str">
        <f>_xlfn.IFS(Table1[[#This Row],[Age]]&lt;=25, "Below 25", Table1[[#This Row],[Age]]&lt;=35, "Between 25-35", Table1[[#This Row],[Age]]&lt;=45, "Between 36-45", Table1[[#This Row],[Age]]&gt;45, "45+")</f>
        <v>45+</v>
      </c>
    </row>
    <row r="2037" spans="1:21" x14ac:dyDescent="0.3">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c r="T2037">
        <f>IF(Table1[[#This Row],[Discount_Applied]]="Yes", 1,0)</f>
        <v>0</v>
      </c>
      <c r="U2037" t="str">
        <f>_xlfn.IFS(Table1[[#This Row],[Age]]&lt;=25, "Below 25", Table1[[#This Row],[Age]]&lt;=35, "Between 25-35", Table1[[#This Row],[Age]]&lt;=45, "Between 36-45", Table1[[#This Row],[Age]]&gt;45, "45+")</f>
        <v>45+</v>
      </c>
    </row>
    <row r="2038" spans="1:21" x14ac:dyDescent="0.3">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c r="T2038">
        <f>IF(Table1[[#This Row],[Discount_Applied]]="Yes", 1,0)</f>
        <v>0</v>
      </c>
      <c r="U2038" t="str">
        <f>_xlfn.IFS(Table1[[#This Row],[Age]]&lt;=25, "Below 25", Table1[[#This Row],[Age]]&lt;=35, "Between 25-35", Table1[[#This Row],[Age]]&lt;=45, "Between 36-45", Table1[[#This Row],[Age]]&gt;45, "45+")</f>
        <v>Between 36-45</v>
      </c>
    </row>
    <row r="2039" spans="1:21" x14ac:dyDescent="0.3">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c r="T2039">
        <f>IF(Table1[[#This Row],[Discount_Applied]]="Yes", 1,0)</f>
        <v>0</v>
      </c>
      <c r="U2039" t="str">
        <f>_xlfn.IFS(Table1[[#This Row],[Age]]&lt;=25, "Below 25", Table1[[#This Row],[Age]]&lt;=35, "Between 25-35", Table1[[#This Row],[Age]]&lt;=45, "Between 36-45", Table1[[#This Row],[Age]]&gt;45, "45+")</f>
        <v>Between 36-45</v>
      </c>
    </row>
    <row r="2040" spans="1:21" x14ac:dyDescent="0.3">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c r="T2040">
        <f>IF(Table1[[#This Row],[Discount_Applied]]="Yes", 1,0)</f>
        <v>0</v>
      </c>
      <c r="U2040" t="str">
        <f>_xlfn.IFS(Table1[[#This Row],[Age]]&lt;=25, "Below 25", Table1[[#This Row],[Age]]&lt;=35, "Between 25-35", Table1[[#This Row],[Age]]&lt;=45, "Between 36-45", Table1[[#This Row],[Age]]&gt;45, "45+")</f>
        <v>45+</v>
      </c>
    </row>
    <row r="2041" spans="1:21" x14ac:dyDescent="0.3">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c r="T2041">
        <f>IF(Table1[[#This Row],[Discount_Applied]]="Yes", 1,0)</f>
        <v>0</v>
      </c>
      <c r="U2041" t="str">
        <f>_xlfn.IFS(Table1[[#This Row],[Age]]&lt;=25, "Below 25", Table1[[#This Row],[Age]]&lt;=35, "Between 25-35", Table1[[#This Row],[Age]]&lt;=45, "Between 36-45", Table1[[#This Row],[Age]]&gt;45, "45+")</f>
        <v>Between 25-35</v>
      </c>
    </row>
    <row r="2042" spans="1:21" x14ac:dyDescent="0.3">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c r="T2042">
        <f>IF(Table1[[#This Row],[Discount_Applied]]="Yes", 1,0)</f>
        <v>0</v>
      </c>
      <c r="U2042" t="str">
        <f>_xlfn.IFS(Table1[[#This Row],[Age]]&lt;=25, "Below 25", Table1[[#This Row],[Age]]&lt;=35, "Between 25-35", Table1[[#This Row],[Age]]&lt;=45, "Between 36-45", Table1[[#This Row],[Age]]&gt;45, "45+")</f>
        <v>45+</v>
      </c>
    </row>
    <row r="2043" spans="1:21" x14ac:dyDescent="0.3">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c r="T2043">
        <f>IF(Table1[[#This Row],[Discount_Applied]]="Yes", 1,0)</f>
        <v>0</v>
      </c>
      <c r="U2043" t="str">
        <f>_xlfn.IFS(Table1[[#This Row],[Age]]&lt;=25, "Below 25", Table1[[#This Row],[Age]]&lt;=35, "Between 25-35", Table1[[#This Row],[Age]]&lt;=45, "Between 36-45", Table1[[#This Row],[Age]]&gt;45, "45+")</f>
        <v>45+</v>
      </c>
    </row>
    <row r="2044" spans="1:21" x14ac:dyDescent="0.3">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c r="T2044">
        <f>IF(Table1[[#This Row],[Discount_Applied]]="Yes", 1,0)</f>
        <v>0</v>
      </c>
      <c r="U2044" t="str">
        <f>_xlfn.IFS(Table1[[#This Row],[Age]]&lt;=25, "Below 25", Table1[[#This Row],[Age]]&lt;=35, "Between 25-35", Table1[[#This Row],[Age]]&lt;=45, "Between 36-45", Table1[[#This Row],[Age]]&gt;45, "45+")</f>
        <v>Below 25</v>
      </c>
    </row>
    <row r="2045" spans="1:21" x14ac:dyDescent="0.3">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c r="T2045">
        <f>IF(Table1[[#This Row],[Discount_Applied]]="Yes", 1,0)</f>
        <v>0</v>
      </c>
      <c r="U2045" t="str">
        <f>_xlfn.IFS(Table1[[#This Row],[Age]]&lt;=25, "Below 25", Table1[[#This Row],[Age]]&lt;=35, "Between 25-35", Table1[[#This Row],[Age]]&lt;=45, "Between 36-45", Table1[[#This Row],[Age]]&gt;45, "45+")</f>
        <v>45+</v>
      </c>
    </row>
    <row r="2046" spans="1:21" x14ac:dyDescent="0.3">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c r="T2046">
        <f>IF(Table1[[#This Row],[Discount_Applied]]="Yes", 1,0)</f>
        <v>0</v>
      </c>
      <c r="U2046" t="str">
        <f>_xlfn.IFS(Table1[[#This Row],[Age]]&lt;=25, "Below 25", Table1[[#This Row],[Age]]&lt;=35, "Between 25-35", Table1[[#This Row],[Age]]&lt;=45, "Between 36-45", Table1[[#This Row],[Age]]&gt;45, "45+")</f>
        <v>45+</v>
      </c>
    </row>
    <row r="2047" spans="1:21" x14ac:dyDescent="0.3">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c r="T2047">
        <f>IF(Table1[[#This Row],[Discount_Applied]]="Yes", 1,0)</f>
        <v>0</v>
      </c>
      <c r="U2047" t="str">
        <f>_xlfn.IFS(Table1[[#This Row],[Age]]&lt;=25, "Below 25", Table1[[#This Row],[Age]]&lt;=35, "Between 25-35", Table1[[#This Row],[Age]]&lt;=45, "Between 36-45", Table1[[#This Row],[Age]]&gt;45, "45+")</f>
        <v>Between 25-35</v>
      </c>
    </row>
    <row r="2048" spans="1:21" x14ac:dyDescent="0.3">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c r="T2048">
        <f>IF(Table1[[#This Row],[Discount_Applied]]="Yes", 1,0)</f>
        <v>0</v>
      </c>
      <c r="U2048" t="str">
        <f>_xlfn.IFS(Table1[[#This Row],[Age]]&lt;=25, "Below 25", Table1[[#This Row],[Age]]&lt;=35, "Between 25-35", Table1[[#This Row],[Age]]&lt;=45, "Between 36-45", Table1[[#This Row],[Age]]&gt;45, "45+")</f>
        <v>Between 36-45</v>
      </c>
    </row>
    <row r="2049" spans="1:21" x14ac:dyDescent="0.3">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c r="T2049">
        <f>IF(Table1[[#This Row],[Discount_Applied]]="Yes", 1,0)</f>
        <v>0</v>
      </c>
      <c r="U2049" t="str">
        <f>_xlfn.IFS(Table1[[#This Row],[Age]]&lt;=25, "Below 25", Table1[[#This Row],[Age]]&lt;=35, "Between 25-35", Table1[[#This Row],[Age]]&lt;=45, "Between 36-45", Table1[[#This Row],[Age]]&gt;45, "45+")</f>
        <v>45+</v>
      </c>
    </row>
    <row r="2050" spans="1:21" x14ac:dyDescent="0.3">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c r="T2050">
        <f>IF(Table1[[#This Row],[Discount_Applied]]="Yes", 1,0)</f>
        <v>0</v>
      </c>
      <c r="U2050" t="str">
        <f>_xlfn.IFS(Table1[[#This Row],[Age]]&lt;=25, "Below 25", Table1[[#This Row],[Age]]&lt;=35, "Between 25-35", Table1[[#This Row],[Age]]&lt;=45, "Between 36-45", Table1[[#This Row],[Age]]&gt;45, "45+")</f>
        <v>Between 36-45</v>
      </c>
    </row>
    <row r="2051" spans="1:21" x14ac:dyDescent="0.3">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c r="T2051">
        <f>IF(Table1[[#This Row],[Discount_Applied]]="Yes", 1,0)</f>
        <v>0</v>
      </c>
      <c r="U2051" t="str">
        <f>_xlfn.IFS(Table1[[#This Row],[Age]]&lt;=25, "Below 25", Table1[[#This Row],[Age]]&lt;=35, "Between 25-35", Table1[[#This Row],[Age]]&lt;=45, "Between 36-45", Table1[[#This Row],[Age]]&gt;45, "45+")</f>
        <v>45+</v>
      </c>
    </row>
    <row r="2052" spans="1:21" x14ac:dyDescent="0.3">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c r="T2052">
        <f>IF(Table1[[#This Row],[Discount_Applied]]="Yes", 1,0)</f>
        <v>0</v>
      </c>
      <c r="U2052" t="str">
        <f>_xlfn.IFS(Table1[[#This Row],[Age]]&lt;=25, "Below 25", Table1[[#This Row],[Age]]&lt;=35, "Between 25-35", Table1[[#This Row],[Age]]&lt;=45, "Between 36-45", Table1[[#This Row],[Age]]&gt;45, "45+")</f>
        <v>Between 25-35</v>
      </c>
    </row>
    <row r="2053" spans="1:21" x14ac:dyDescent="0.3">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c r="T2053">
        <f>IF(Table1[[#This Row],[Discount_Applied]]="Yes", 1,0)</f>
        <v>0</v>
      </c>
      <c r="U2053" t="str">
        <f>_xlfn.IFS(Table1[[#This Row],[Age]]&lt;=25, "Below 25", Table1[[#This Row],[Age]]&lt;=35, "Between 25-35", Table1[[#This Row],[Age]]&lt;=45, "Between 36-45", Table1[[#This Row],[Age]]&gt;45, "45+")</f>
        <v>45+</v>
      </c>
    </row>
    <row r="2054" spans="1:21" x14ac:dyDescent="0.3">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c r="T2054">
        <f>IF(Table1[[#This Row],[Discount_Applied]]="Yes", 1,0)</f>
        <v>0</v>
      </c>
      <c r="U2054" t="str">
        <f>_xlfn.IFS(Table1[[#This Row],[Age]]&lt;=25, "Below 25", Table1[[#This Row],[Age]]&lt;=35, "Between 25-35", Table1[[#This Row],[Age]]&lt;=45, "Between 36-45", Table1[[#This Row],[Age]]&gt;45, "45+")</f>
        <v>Between 36-45</v>
      </c>
    </row>
    <row r="2055" spans="1:21" x14ac:dyDescent="0.3">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c r="T2055">
        <f>IF(Table1[[#This Row],[Discount_Applied]]="Yes", 1,0)</f>
        <v>0</v>
      </c>
      <c r="U2055" t="str">
        <f>_xlfn.IFS(Table1[[#This Row],[Age]]&lt;=25, "Below 25", Table1[[#This Row],[Age]]&lt;=35, "Between 25-35", Table1[[#This Row],[Age]]&lt;=45, "Between 36-45", Table1[[#This Row],[Age]]&gt;45, "45+")</f>
        <v>Below 25</v>
      </c>
    </row>
    <row r="2056" spans="1:21" x14ac:dyDescent="0.3">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c r="T2056">
        <f>IF(Table1[[#This Row],[Discount_Applied]]="Yes", 1,0)</f>
        <v>0</v>
      </c>
      <c r="U2056" t="str">
        <f>_xlfn.IFS(Table1[[#This Row],[Age]]&lt;=25, "Below 25", Table1[[#This Row],[Age]]&lt;=35, "Between 25-35", Table1[[#This Row],[Age]]&lt;=45, "Between 36-45", Table1[[#This Row],[Age]]&gt;45, "45+")</f>
        <v>45+</v>
      </c>
    </row>
    <row r="2057" spans="1:21" x14ac:dyDescent="0.3">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c r="T2057">
        <f>IF(Table1[[#This Row],[Discount_Applied]]="Yes", 1,0)</f>
        <v>0</v>
      </c>
      <c r="U2057" t="str">
        <f>_xlfn.IFS(Table1[[#This Row],[Age]]&lt;=25, "Below 25", Table1[[#This Row],[Age]]&lt;=35, "Between 25-35", Table1[[#This Row],[Age]]&lt;=45, "Between 36-45", Table1[[#This Row],[Age]]&gt;45, "45+")</f>
        <v>Between 25-35</v>
      </c>
    </row>
    <row r="2058" spans="1:21" x14ac:dyDescent="0.3">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c r="T2058">
        <f>IF(Table1[[#This Row],[Discount_Applied]]="Yes", 1,0)</f>
        <v>0</v>
      </c>
      <c r="U2058" t="str">
        <f>_xlfn.IFS(Table1[[#This Row],[Age]]&lt;=25, "Below 25", Table1[[#This Row],[Age]]&lt;=35, "Between 25-35", Table1[[#This Row],[Age]]&lt;=45, "Between 36-45", Table1[[#This Row],[Age]]&gt;45, "45+")</f>
        <v>45+</v>
      </c>
    </row>
    <row r="2059" spans="1:21" x14ac:dyDescent="0.3">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c r="T2059">
        <f>IF(Table1[[#This Row],[Discount_Applied]]="Yes", 1,0)</f>
        <v>0</v>
      </c>
      <c r="U2059" t="str">
        <f>_xlfn.IFS(Table1[[#This Row],[Age]]&lt;=25, "Below 25", Table1[[#This Row],[Age]]&lt;=35, "Between 25-35", Table1[[#This Row],[Age]]&lt;=45, "Between 36-45", Table1[[#This Row],[Age]]&gt;45, "45+")</f>
        <v>45+</v>
      </c>
    </row>
    <row r="2060" spans="1:21" x14ac:dyDescent="0.3">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c r="T2060">
        <f>IF(Table1[[#This Row],[Discount_Applied]]="Yes", 1,0)</f>
        <v>0</v>
      </c>
      <c r="U2060" t="str">
        <f>_xlfn.IFS(Table1[[#This Row],[Age]]&lt;=25, "Below 25", Table1[[#This Row],[Age]]&lt;=35, "Between 25-35", Table1[[#This Row],[Age]]&lt;=45, "Between 36-45", Table1[[#This Row],[Age]]&gt;45, "45+")</f>
        <v>Between 25-35</v>
      </c>
    </row>
    <row r="2061" spans="1:21" x14ac:dyDescent="0.3">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c r="T2061">
        <f>IF(Table1[[#This Row],[Discount_Applied]]="Yes", 1,0)</f>
        <v>0</v>
      </c>
      <c r="U2061" t="str">
        <f>_xlfn.IFS(Table1[[#This Row],[Age]]&lt;=25, "Below 25", Table1[[#This Row],[Age]]&lt;=35, "Between 25-35", Table1[[#This Row],[Age]]&lt;=45, "Between 36-45", Table1[[#This Row],[Age]]&gt;45, "45+")</f>
        <v>45+</v>
      </c>
    </row>
    <row r="2062" spans="1:21" x14ac:dyDescent="0.3">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c r="T2062">
        <f>IF(Table1[[#This Row],[Discount_Applied]]="Yes", 1,0)</f>
        <v>0</v>
      </c>
      <c r="U2062" t="str">
        <f>_xlfn.IFS(Table1[[#This Row],[Age]]&lt;=25, "Below 25", Table1[[#This Row],[Age]]&lt;=35, "Between 25-35", Table1[[#This Row],[Age]]&lt;=45, "Between 36-45", Table1[[#This Row],[Age]]&gt;45, "45+")</f>
        <v>Below 25</v>
      </c>
    </row>
    <row r="2063" spans="1:21" x14ac:dyDescent="0.3">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c r="T2063">
        <f>IF(Table1[[#This Row],[Discount_Applied]]="Yes", 1,0)</f>
        <v>0</v>
      </c>
      <c r="U2063" t="str">
        <f>_xlfn.IFS(Table1[[#This Row],[Age]]&lt;=25, "Below 25", Table1[[#This Row],[Age]]&lt;=35, "Between 25-35", Table1[[#This Row],[Age]]&lt;=45, "Between 36-45", Table1[[#This Row],[Age]]&gt;45, "45+")</f>
        <v>Between 25-35</v>
      </c>
    </row>
    <row r="2064" spans="1:21" x14ac:dyDescent="0.3">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c r="T2064">
        <f>IF(Table1[[#This Row],[Discount_Applied]]="Yes", 1,0)</f>
        <v>0</v>
      </c>
      <c r="U2064" t="str">
        <f>_xlfn.IFS(Table1[[#This Row],[Age]]&lt;=25, "Below 25", Table1[[#This Row],[Age]]&lt;=35, "Between 25-35", Table1[[#This Row],[Age]]&lt;=45, "Between 36-45", Table1[[#This Row],[Age]]&gt;45, "45+")</f>
        <v>45+</v>
      </c>
    </row>
    <row r="2065" spans="1:21" x14ac:dyDescent="0.3">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c r="T2065">
        <f>IF(Table1[[#This Row],[Discount_Applied]]="Yes", 1,0)</f>
        <v>0</v>
      </c>
      <c r="U2065" t="str">
        <f>_xlfn.IFS(Table1[[#This Row],[Age]]&lt;=25, "Below 25", Table1[[#This Row],[Age]]&lt;=35, "Between 25-35", Table1[[#This Row],[Age]]&lt;=45, "Between 36-45", Table1[[#This Row],[Age]]&gt;45, "45+")</f>
        <v>45+</v>
      </c>
    </row>
    <row r="2066" spans="1:21" x14ac:dyDescent="0.3">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c r="T2066">
        <f>IF(Table1[[#This Row],[Discount_Applied]]="Yes", 1,0)</f>
        <v>0</v>
      </c>
      <c r="U2066" t="str">
        <f>_xlfn.IFS(Table1[[#This Row],[Age]]&lt;=25, "Below 25", Table1[[#This Row],[Age]]&lt;=35, "Between 25-35", Table1[[#This Row],[Age]]&lt;=45, "Between 36-45", Table1[[#This Row],[Age]]&gt;45, "45+")</f>
        <v>Between 25-35</v>
      </c>
    </row>
    <row r="2067" spans="1:21" x14ac:dyDescent="0.3">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c r="T2067">
        <f>IF(Table1[[#This Row],[Discount_Applied]]="Yes", 1,0)</f>
        <v>0</v>
      </c>
      <c r="U2067" t="str">
        <f>_xlfn.IFS(Table1[[#This Row],[Age]]&lt;=25, "Below 25", Table1[[#This Row],[Age]]&lt;=35, "Between 25-35", Table1[[#This Row],[Age]]&lt;=45, "Between 36-45", Table1[[#This Row],[Age]]&gt;45, "45+")</f>
        <v>Between 25-35</v>
      </c>
    </row>
    <row r="2068" spans="1:21" x14ac:dyDescent="0.3">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c r="T2068">
        <f>IF(Table1[[#This Row],[Discount_Applied]]="Yes", 1,0)</f>
        <v>0</v>
      </c>
      <c r="U2068" t="str">
        <f>_xlfn.IFS(Table1[[#This Row],[Age]]&lt;=25, "Below 25", Table1[[#This Row],[Age]]&lt;=35, "Between 25-35", Table1[[#This Row],[Age]]&lt;=45, "Between 36-45", Table1[[#This Row],[Age]]&gt;45, "45+")</f>
        <v>45+</v>
      </c>
    </row>
    <row r="2069" spans="1:21" x14ac:dyDescent="0.3">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c r="T2069">
        <f>IF(Table1[[#This Row],[Discount_Applied]]="Yes", 1,0)</f>
        <v>0</v>
      </c>
      <c r="U2069" t="str">
        <f>_xlfn.IFS(Table1[[#This Row],[Age]]&lt;=25, "Below 25", Table1[[#This Row],[Age]]&lt;=35, "Between 25-35", Table1[[#This Row],[Age]]&lt;=45, "Between 36-45", Table1[[#This Row],[Age]]&gt;45, "45+")</f>
        <v>45+</v>
      </c>
    </row>
    <row r="2070" spans="1:21" x14ac:dyDescent="0.3">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c r="T2070">
        <f>IF(Table1[[#This Row],[Discount_Applied]]="Yes", 1,0)</f>
        <v>0</v>
      </c>
      <c r="U2070" t="str">
        <f>_xlfn.IFS(Table1[[#This Row],[Age]]&lt;=25, "Below 25", Table1[[#This Row],[Age]]&lt;=35, "Between 25-35", Table1[[#This Row],[Age]]&lt;=45, "Between 36-45", Table1[[#This Row],[Age]]&gt;45, "45+")</f>
        <v>45+</v>
      </c>
    </row>
    <row r="2071" spans="1:21" x14ac:dyDescent="0.3">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c r="T2071">
        <f>IF(Table1[[#This Row],[Discount_Applied]]="Yes", 1,0)</f>
        <v>0</v>
      </c>
      <c r="U2071" t="str">
        <f>_xlfn.IFS(Table1[[#This Row],[Age]]&lt;=25, "Below 25", Table1[[#This Row],[Age]]&lt;=35, "Between 25-35", Table1[[#This Row],[Age]]&lt;=45, "Between 36-45", Table1[[#This Row],[Age]]&gt;45, "45+")</f>
        <v>Between 36-45</v>
      </c>
    </row>
    <row r="2072" spans="1:21" x14ac:dyDescent="0.3">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c r="T2072">
        <f>IF(Table1[[#This Row],[Discount_Applied]]="Yes", 1,0)</f>
        <v>0</v>
      </c>
      <c r="U2072" t="str">
        <f>_xlfn.IFS(Table1[[#This Row],[Age]]&lt;=25, "Below 25", Table1[[#This Row],[Age]]&lt;=35, "Between 25-35", Table1[[#This Row],[Age]]&lt;=45, "Between 36-45", Table1[[#This Row],[Age]]&gt;45, "45+")</f>
        <v>45+</v>
      </c>
    </row>
    <row r="2073" spans="1:21" x14ac:dyDescent="0.3">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c r="T2073">
        <f>IF(Table1[[#This Row],[Discount_Applied]]="Yes", 1,0)</f>
        <v>0</v>
      </c>
      <c r="U2073" t="str">
        <f>_xlfn.IFS(Table1[[#This Row],[Age]]&lt;=25, "Below 25", Table1[[#This Row],[Age]]&lt;=35, "Between 25-35", Table1[[#This Row],[Age]]&lt;=45, "Between 36-45", Table1[[#This Row],[Age]]&gt;45, "45+")</f>
        <v>45+</v>
      </c>
    </row>
    <row r="2074" spans="1:21" x14ac:dyDescent="0.3">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c r="T2074">
        <f>IF(Table1[[#This Row],[Discount_Applied]]="Yes", 1,0)</f>
        <v>0</v>
      </c>
      <c r="U2074" t="str">
        <f>_xlfn.IFS(Table1[[#This Row],[Age]]&lt;=25, "Below 25", Table1[[#This Row],[Age]]&lt;=35, "Between 25-35", Table1[[#This Row],[Age]]&lt;=45, "Between 36-45", Table1[[#This Row],[Age]]&gt;45, "45+")</f>
        <v>Between 36-45</v>
      </c>
    </row>
    <row r="2075" spans="1:21" x14ac:dyDescent="0.3">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c r="T2075">
        <f>IF(Table1[[#This Row],[Discount_Applied]]="Yes", 1,0)</f>
        <v>0</v>
      </c>
      <c r="U2075" t="str">
        <f>_xlfn.IFS(Table1[[#This Row],[Age]]&lt;=25, "Below 25", Table1[[#This Row],[Age]]&lt;=35, "Between 25-35", Table1[[#This Row],[Age]]&lt;=45, "Between 36-45", Table1[[#This Row],[Age]]&gt;45, "45+")</f>
        <v>Between 36-45</v>
      </c>
    </row>
    <row r="2076" spans="1:21" x14ac:dyDescent="0.3">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c r="T2076">
        <f>IF(Table1[[#This Row],[Discount_Applied]]="Yes", 1,0)</f>
        <v>0</v>
      </c>
      <c r="U2076" t="str">
        <f>_xlfn.IFS(Table1[[#This Row],[Age]]&lt;=25, "Below 25", Table1[[#This Row],[Age]]&lt;=35, "Between 25-35", Table1[[#This Row],[Age]]&lt;=45, "Between 36-45", Table1[[#This Row],[Age]]&gt;45, "45+")</f>
        <v>Between 36-45</v>
      </c>
    </row>
    <row r="2077" spans="1:21" x14ac:dyDescent="0.3">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c r="T2077">
        <f>IF(Table1[[#This Row],[Discount_Applied]]="Yes", 1,0)</f>
        <v>0</v>
      </c>
      <c r="U2077" t="str">
        <f>_xlfn.IFS(Table1[[#This Row],[Age]]&lt;=25, "Below 25", Table1[[#This Row],[Age]]&lt;=35, "Between 25-35", Table1[[#This Row],[Age]]&lt;=45, "Between 36-45", Table1[[#This Row],[Age]]&gt;45, "45+")</f>
        <v>45+</v>
      </c>
    </row>
    <row r="2078" spans="1:21" x14ac:dyDescent="0.3">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c r="T2078">
        <f>IF(Table1[[#This Row],[Discount_Applied]]="Yes", 1,0)</f>
        <v>0</v>
      </c>
      <c r="U2078" t="str">
        <f>_xlfn.IFS(Table1[[#This Row],[Age]]&lt;=25, "Below 25", Table1[[#This Row],[Age]]&lt;=35, "Between 25-35", Table1[[#This Row],[Age]]&lt;=45, "Between 36-45", Table1[[#This Row],[Age]]&gt;45, "45+")</f>
        <v>45+</v>
      </c>
    </row>
    <row r="2079" spans="1:21" x14ac:dyDescent="0.3">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c r="T2079">
        <f>IF(Table1[[#This Row],[Discount_Applied]]="Yes", 1,0)</f>
        <v>0</v>
      </c>
      <c r="U2079" t="str">
        <f>_xlfn.IFS(Table1[[#This Row],[Age]]&lt;=25, "Below 25", Table1[[#This Row],[Age]]&lt;=35, "Between 25-35", Table1[[#This Row],[Age]]&lt;=45, "Between 36-45", Table1[[#This Row],[Age]]&gt;45, "45+")</f>
        <v>45+</v>
      </c>
    </row>
    <row r="2080" spans="1:21" x14ac:dyDescent="0.3">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c r="T2080">
        <f>IF(Table1[[#This Row],[Discount_Applied]]="Yes", 1,0)</f>
        <v>0</v>
      </c>
      <c r="U2080" t="str">
        <f>_xlfn.IFS(Table1[[#This Row],[Age]]&lt;=25, "Below 25", Table1[[#This Row],[Age]]&lt;=35, "Between 25-35", Table1[[#This Row],[Age]]&lt;=45, "Between 36-45", Table1[[#This Row],[Age]]&gt;45, "45+")</f>
        <v>45+</v>
      </c>
    </row>
    <row r="2081" spans="1:21" x14ac:dyDescent="0.3">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c r="T2081">
        <f>IF(Table1[[#This Row],[Discount_Applied]]="Yes", 1,0)</f>
        <v>0</v>
      </c>
      <c r="U2081" t="str">
        <f>_xlfn.IFS(Table1[[#This Row],[Age]]&lt;=25, "Below 25", Table1[[#This Row],[Age]]&lt;=35, "Between 25-35", Table1[[#This Row],[Age]]&lt;=45, "Between 36-45", Table1[[#This Row],[Age]]&gt;45, "45+")</f>
        <v>Between 25-35</v>
      </c>
    </row>
    <row r="2082" spans="1:21" x14ac:dyDescent="0.3">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c r="T2082">
        <f>IF(Table1[[#This Row],[Discount_Applied]]="Yes", 1,0)</f>
        <v>0</v>
      </c>
      <c r="U2082" t="str">
        <f>_xlfn.IFS(Table1[[#This Row],[Age]]&lt;=25, "Below 25", Table1[[#This Row],[Age]]&lt;=35, "Between 25-35", Table1[[#This Row],[Age]]&lt;=45, "Between 36-45", Table1[[#This Row],[Age]]&gt;45, "45+")</f>
        <v>Between 25-35</v>
      </c>
    </row>
    <row r="2083" spans="1:21" x14ac:dyDescent="0.3">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c r="T2083">
        <f>IF(Table1[[#This Row],[Discount_Applied]]="Yes", 1,0)</f>
        <v>0</v>
      </c>
      <c r="U2083" t="str">
        <f>_xlfn.IFS(Table1[[#This Row],[Age]]&lt;=25, "Below 25", Table1[[#This Row],[Age]]&lt;=35, "Between 25-35", Table1[[#This Row],[Age]]&lt;=45, "Between 36-45", Table1[[#This Row],[Age]]&gt;45, "45+")</f>
        <v>Below 25</v>
      </c>
    </row>
    <row r="2084" spans="1:21" x14ac:dyDescent="0.3">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c r="T2084">
        <f>IF(Table1[[#This Row],[Discount_Applied]]="Yes", 1,0)</f>
        <v>0</v>
      </c>
      <c r="U2084" t="str">
        <f>_xlfn.IFS(Table1[[#This Row],[Age]]&lt;=25, "Below 25", Table1[[#This Row],[Age]]&lt;=35, "Between 25-35", Table1[[#This Row],[Age]]&lt;=45, "Between 36-45", Table1[[#This Row],[Age]]&gt;45, "45+")</f>
        <v>Between 36-45</v>
      </c>
    </row>
    <row r="2085" spans="1:21" x14ac:dyDescent="0.3">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c r="T2085">
        <f>IF(Table1[[#This Row],[Discount_Applied]]="Yes", 1,0)</f>
        <v>0</v>
      </c>
      <c r="U2085" t="str">
        <f>_xlfn.IFS(Table1[[#This Row],[Age]]&lt;=25, "Below 25", Table1[[#This Row],[Age]]&lt;=35, "Between 25-35", Table1[[#This Row],[Age]]&lt;=45, "Between 36-45", Table1[[#This Row],[Age]]&gt;45, "45+")</f>
        <v>Between 36-45</v>
      </c>
    </row>
    <row r="2086" spans="1:21" x14ac:dyDescent="0.3">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c r="T2086">
        <f>IF(Table1[[#This Row],[Discount_Applied]]="Yes", 1,0)</f>
        <v>0</v>
      </c>
      <c r="U2086" t="str">
        <f>_xlfn.IFS(Table1[[#This Row],[Age]]&lt;=25, "Below 25", Table1[[#This Row],[Age]]&lt;=35, "Between 25-35", Table1[[#This Row],[Age]]&lt;=45, "Between 36-45", Table1[[#This Row],[Age]]&gt;45, "45+")</f>
        <v>Between 25-35</v>
      </c>
    </row>
    <row r="2087" spans="1:21" x14ac:dyDescent="0.3">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c r="T2087">
        <f>IF(Table1[[#This Row],[Discount_Applied]]="Yes", 1,0)</f>
        <v>0</v>
      </c>
      <c r="U2087" t="str">
        <f>_xlfn.IFS(Table1[[#This Row],[Age]]&lt;=25, "Below 25", Table1[[#This Row],[Age]]&lt;=35, "Between 25-35", Table1[[#This Row],[Age]]&lt;=45, "Between 36-45", Table1[[#This Row],[Age]]&gt;45, "45+")</f>
        <v>45+</v>
      </c>
    </row>
    <row r="2088" spans="1:21" x14ac:dyDescent="0.3">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c r="T2088">
        <f>IF(Table1[[#This Row],[Discount_Applied]]="Yes", 1,0)</f>
        <v>0</v>
      </c>
      <c r="U2088" t="str">
        <f>_xlfn.IFS(Table1[[#This Row],[Age]]&lt;=25, "Below 25", Table1[[#This Row],[Age]]&lt;=35, "Between 25-35", Table1[[#This Row],[Age]]&lt;=45, "Between 36-45", Table1[[#This Row],[Age]]&gt;45, "45+")</f>
        <v>45+</v>
      </c>
    </row>
    <row r="2089" spans="1:21" x14ac:dyDescent="0.3">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c r="T2089">
        <f>IF(Table1[[#This Row],[Discount_Applied]]="Yes", 1,0)</f>
        <v>0</v>
      </c>
      <c r="U2089" t="str">
        <f>_xlfn.IFS(Table1[[#This Row],[Age]]&lt;=25, "Below 25", Table1[[#This Row],[Age]]&lt;=35, "Between 25-35", Table1[[#This Row],[Age]]&lt;=45, "Between 36-45", Table1[[#This Row],[Age]]&gt;45, "45+")</f>
        <v>45+</v>
      </c>
    </row>
    <row r="2090" spans="1:21" x14ac:dyDescent="0.3">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c r="T2090">
        <f>IF(Table1[[#This Row],[Discount_Applied]]="Yes", 1,0)</f>
        <v>0</v>
      </c>
      <c r="U2090" t="str">
        <f>_xlfn.IFS(Table1[[#This Row],[Age]]&lt;=25, "Below 25", Table1[[#This Row],[Age]]&lt;=35, "Between 25-35", Table1[[#This Row],[Age]]&lt;=45, "Between 36-45", Table1[[#This Row],[Age]]&gt;45, "45+")</f>
        <v>Between 36-45</v>
      </c>
    </row>
    <row r="2091" spans="1:21" x14ac:dyDescent="0.3">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c r="T2091">
        <f>IF(Table1[[#This Row],[Discount_Applied]]="Yes", 1,0)</f>
        <v>0</v>
      </c>
      <c r="U2091" t="str">
        <f>_xlfn.IFS(Table1[[#This Row],[Age]]&lt;=25, "Below 25", Table1[[#This Row],[Age]]&lt;=35, "Between 25-35", Table1[[#This Row],[Age]]&lt;=45, "Between 36-45", Table1[[#This Row],[Age]]&gt;45, "45+")</f>
        <v>Between 36-45</v>
      </c>
    </row>
    <row r="2092" spans="1:21" x14ac:dyDescent="0.3">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c r="T2092">
        <f>IF(Table1[[#This Row],[Discount_Applied]]="Yes", 1,0)</f>
        <v>0</v>
      </c>
      <c r="U2092" t="str">
        <f>_xlfn.IFS(Table1[[#This Row],[Age]]&lt;=25, "Below 25", Table1[[#This Row],[Age]]&lt;=35, "Between 25-35", Table1[[#This Row],[Age]]&lt;=45, "Between 36-45", Table1[[#This Row],[Age]]&gt;45, "45+")</f>
        <v>45+</v>
      </c>
    </row>
    <row r="2093" spans="1:21" x14ac:dyDescent="0.3">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c r="T2093">
        <f>IF(Table1[[#This Row],[Discount_Applied]]="Yes", 1,0)</f>
        <v>0</v>
      </c>
      <c r="U2093" t="str">
        <f>_xlfn.IFS(Table1[[#This Row],[Age]]&lt;=25, "Below 25", Table1[[#This Row],[Age]]&lt;=35, "Between 25-35", Table1[[#This Row],[Age]]&lt;=45, "Between 36-45", Table1[[#This Row],[Age]]&gt;45, "45+")</f>
        <v>Between 25-35</v>
      </c>
    </row>
    <row r="2094" spans="1:21" x14ac:dyDescent="0.3">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c r="T2094">
        <f>IF(Table1[[#This Row],[Discount_Applied]]="Yes", 1,0)</f>
        <v>0</v>
      </c>
      <c r="U2094" t="str">
        <f>_xlfn.IFS(Table1[[#This Row],[Age]]&lt;=25, "Below 25", Table1[[#This Row],[Age]]&lt;=35, "Between 25-35", Table1[[#This Row],[Age]]&lt;=45, "Between 36-45", Table1[[#This Row],[Age]]&gt;45, "45+")</f>
        <v>Between 36-45</v>
      </c>
    </row>
    <row r="2095" spans="1:21" x14ac:dyDescent="0.3">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c r="T2095">
        <f>IF(Table1[[#This Row],[Discount_Applied]]="Yes", 1,0)</f>
        <v>0</v>
      </c>
      <c r="U2095" t="str">
        <f>_xlfn.IFS(Table1[[#This Row],[Age]]&lt;=25, "Below 25", Table1[[#This Row],[Age]]&lt;=35, "Between 25-35", Table1[[#This Row],[Age]]&lt;=45, "Between 36-45", Table1[[#This Row],[Age]]&gt;45, "45+")</f>
        <v>Below 25</v>
      </c>
    </row>
    <row r="2096" spans="1:21" x14ac:dyDescent="0.3">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c r="T2096">
        <f>IF(Table1[[#This Row],[Discount_Applied]]="Yes", 1,0)</f>
        <v>0</v>
      </c>
      <c r="U2096" t="str">
        <f>_xlfn.IFS(Table1[[#This Row],[Age]]&lt;=25, "Below 25", Table1[[#This Row],[Age]]&lt;=35, "Between 25-35", Table1[[#This Row],[Age]]&lt;=45, "Between 36-45", Table1[[#This Row],[Age]]&gt;45, "45+")</f>
        <v>45+</v>
      </c>
    </row>
    <row r="2097" spans="1:21" x14ac:dyDescent="0.3">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c r="T2097">
        <f>IF(Table1[[#This Row],[Discount_Applied]]="Yes", 1,0)</f>
        <v>0</v>
      </c>
      <c r="U2097" t="str">
        <f>_xlfn.IFS(Table1[[#This Row],[Age]]&lt;=25, "Below 25", Table1[[#This Row],[Age]]&lt;=35, "Between 25-35", Table1[[#This Row],[Age]]&lt;=45, "Between 36-45", Table1[[#This Row],[Age]]&gt;45, "45+")</f>
        <v>Between 36-45</v>
      </c>
    </row>
    <row r="2098" spans="1:21" x14ac:dyDescent="0.3">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c r="T2098">
        <f>IF(Table1[[#This Row],[Discount_Applied]]="Yes", 1,0)</f>
        <v>0</v>
      </c>
      <c r="U2098" t="str">
        <f>_xlfn.IFS(Table1[[#This Row],[Age]]&lt;=25, "Below 25", Table1[[#This Row],[Age]]&lt;=35, "Between 25-35", Table1[[#This Row],[Age]]&lt;=45, "Between 36-45", Table1[[#This Row],[Age]]&gt;45, "45+")</f>
        <v>Below 25</v>
      </c>
    </row>
    <row r="2099" spans="1:21" x14ac:dyDescent="0.3">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c r="T2099">
        <f>IF(Table1[[#This Row],[Discount_Applied]]="Yes", 1,0)</f>
        <v>0</v>
      </c>
      <c r="U2099" t="str">
        <f>_xlfn.IFS(Table1[[#This Row],[Age]]&lt;=25, "Below 25", Table1[[#This Row],[Age]]&lt;=35, "Between 25-35", Table1[[#This Row],[Age]]&lt;=45, "Between 36-45", Table1[[#This Row],[Age]]&gt;45, "45+")</f>
        <v>Between 25-35</v>
      </c>
    </row>
    <row r="2100" spans="1:21" x14ac:dyDescent="0.3">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c r="T2100">
        <f>IF(Table1[[#This Row],[Discount_Applied]]="Yes", 1,0)</f>
        <v>0</v>
      </c>
      <c r="U2100" t="str">
        <f>_xlfn.IFS(Table1[[#This Row],[Age]]&lt;=25, "Below 25", Table1[[#This Row],[Age]]&lt;=35, "Between 25-35", Table1[[#This Row],[Age]]&lt;=45, "Between 36-45", Table1[[#This Row],[Age]]&gt;45, "45+")</f>
        <v>45+</v>
      </c>
    </row>
    <row r="2101" spans="1:21" x14ac:dyDescent="0.3">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c r="T2101">
        <f>IF(Table1[[#This Row],[Discount_Applied]]="Yes", 1,0)</f>
        <v>0</v>
      </c>
      <c r="U2101" t="str">
        <f>_xlfn.IFS(Table1[[#This Row],[Age]]&lt;=25, "Below 25", Table1[[#This Row],[Age]]&lt;=35, "Between 25-35", Table1[[#This Row],[Age]]&lt;=45, "Between 36-45", Table1[[#This Row],[Age]]&gt;45, "45+")</f>
        <v>Between 25-35</v>
      </c>
    </row>
    <row r="2102" spans="1:21" x14ac:dyDescent="0.3">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c r="T2102">
        <f>IF(Table1[[#This Row],[Discount_Applied]]="Yes", 1,0)</f>
        <v>0</v>
      </c>
      <c r="U2102" t="str">
        <f>_xlfn.IFS(Table1[[#This Row],[Age]]&lt;=25, "Below 25", Table1[[#This Row],[Age]]&lt;=35, "Between 25-35", Table1[[#This Row],[Age]]&lt;=45, "Between 36-45", Table1[[#This Row],[Age]]&gt;45, "45+")</f>
        <v>45+</v>
      </c>
    </row>
    <row r="2103" spans="1:21" x14ac:dyDescent="0.3">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c r="T2103">
        <f>IF(Table1[[#This Row],[Discount_Applied]]="Yes", 1,0)</f>
        <v>0</v>
      </c>
      <c r="U2103" t="str">
        <f>_xlfn.IFS(Table1[[#This Row],[Age]]&lt;=25, "Below 25", Table1[[#This Row],[Age]]&lt;=35, "Between 25-35", Table1[[#This Row],[Age]]&lt;=45, "Between 36-45", Table1[[#This Row],[Age]]&gt;45, "45+")</f>
        <v>45+</v>
      </c>
    </row>
    <row r="2104" spans="1:21" x14ac:dyDescent="0.3">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c r="T2104">
        <f>IF(Table1[[#This Row],[Discount_Applied]]="Yes", 1,0)</f>
        <v>0</v>
      </c>
      <c r="U2104" t="str">
        <f>_xlfn.IFS(Table1[[#This Row],[Age]]&lt;=25, "Below 25", Table1[[#This Row],[Age]]&lt;=35, "Between 25-35", Table1[[#This Row],[Age]]&lt;=45, "Between 36-45", Table1[[#This Row],[Age]]&gt;45, "45+")</f>
        <v>Below 25</v>
      </c>
    </row>
    <row r="2105" spans="1:21" x14ac:dyDescent="0.3">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c r="T2105">
        <f>IF(Table1[[#This Row],[Discount_Applied]]="Yes", 1,0)</f>
        <v>0</v>
      </c>
      <c r="U2105" t="str">
        <f>_xlfn.IFS(Table1[[#This Row],[Age]]&lt;=25, "Below 25", Table1[[#This Row],[Age]]&lt;=35, "Between 25-35", Table1[[#This Row],[Age]]&lt;=45, "Between 36-45", Table1[[#This Row],[Age]]&gt;45, "45+")</f>
        <v>Between 25-35</v>
      </c>
    </row>
    <row r="2106" spans="1:21" x14ac:dyDescent="0.3">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c r="T2106">
        <f>IF(Table1[[#This Row],[Discount_Applied]]="Yes", 1,0)</f>
        <v>0</v>
      </c>
      <c r="U2106" t="str">
        <f>_xlfn.IFS(Table1[[#This Row],[Age]]&lt;=25, "Below 25", Table1[[#This Row],[Age]]&lt;=35, "Between 25-35", Table1[[#This Row],[Age]]&lt;=45, "Between 36-45", Table1[[#This Row],[Age]]&gt;45, "45+")</f>
        <v>45+</v>
      </c>
    </row>
    <row r="2107" spans="1:21" x14ac:dyDescent="0.3">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c r="T2107">
        <f>IF(Table1[[#This Row],[Discount_Applied]]="Yes", 1,0)</f>
        <v>0</v>
      </c>
      <c r="U2107" t="str">
        <f>_xlfn.IFS(Table1[[#This Row],[Age]]&lt;=25, "Below 25", Table1[[#This Row],[Age]]&lt;=35, "Between 25-35", Table1[[#This Row],[Age]]&lt;=45, "Between 36-45", Table1[[#This Row],[Age]]&gt;45, "45+")</f>
        <v>45+</v>
      </c>
    </row>
    <row r="2108" spans="1:21" x14ac:dyDescent="0.3">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c r="T2108">
        <f>IF(Table1[[#This Row],[Discount_Applied]]="Yes", 1,0)</f>
        <v>0</v>
      </c>
      <c r="U2108" t="str">
        <f>_xlfn.IFS(Table1[[#This Row],[Age]]&lt;=25, "Below 25", Table1[[#This Row],[Age]]&lt;=35, "Between 25-35", Table1[[#This Row],[Age]]&lt;=45, "Between 36-45", Table1[[#This Row],[Age]]&gt;45, "45+")</f>
        <v>45+</v>
      </c>
    </row>
    <row r="2109" spans="1:21" x14ac:dyDescent="0.3">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c r="T2109">
        <f>IF(Table1[[#This Row],[Discount_Applied]]="Yes", 1,0)</f>
        <v>0</v>
      </c>
      <c r="U2109" t="str">
        <f>_xlfn.IFS(Table1[[#This Row],[Age]]&lt;=25, "Below 25", Table1[[#This Row],[Age]]&lt;=35, "Between 25-35", Table1[[#This Row],[Age]]&lt;=45, "Between 36-45", Table1[[#This Row],[Age]]&gt;45, "45+")</f>
        <v>45+</v>
      </c>
    </row>
    <row r="2110" spans="1:21" x14ac:dyDescent="0.3">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c r="T2110">
        <f>IF(Table1[[#This Row],[Discount_Applied]]="Yes", 1,0)</f>
        <v>0</v>
      </c>
      <c r="U2110" t="str">
        <f>_xlfn.IFS(Table1[[#This Row],[Age]]&lt;=25, "Below 25", Table1[[#This Row],[Age]]&lt;=35, "Between 25-35", Table1[[#This Row],[Age]]&lt;=45, "Between 36-45", Table1[[#This Row],[Age]]&gt;45, "45+")</f>
        <v>45+</v>
      </c>
    </row>
    <row r="2111" spans="1:21" x14ac:dyDescent="0.3">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c r="T2111">
        <f>IF(Table1[[#This Row],[Discount_Applied]]="Yes", 1,0)</f>
        <v>0</v>
      </c>
      <c r="U2111" t="str">
        <f>_xlfn.IFS(Table1[[#This Row],[Age]]&lt;=25, "Below 25", Table1[[#This Row],[Age]]&lt;=35, "Between 25-35", Table1[[#This Row],[Age]]&lt;=45, "Between 36-45", Table1[[#This Row],[Age]]&gt;45, "45+")</f>
        <v>45+</v>
      </c>
    </row>
    <row r="2112" spans="1:21" x14ac:dyDescent="0.3">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c r="T2112">
        <f>IF(Table1[[#This Row],[Discount_Applied]]="Yes", 1,0)</f>
        <v>0</v>
      </c>
      <c r="U2112" t="str">
        <f>_xlfn.IFS(Table1[[#This Row],[Age]]&lt;=25, "Below 25", Table1[[#This Row],[Age]]&lt;=35, "Between 25-35", Table1[[#This Row],[Age]]&lt;=45, "Between 36-45", Table1[[#This Row],[Age]]&gt;45, "45+")</f>
        <v>45+</v>
      </c>
    </row>
    <row r="2113" spans="1:21" x14ac:dyDescent="0.3">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c r="T2113">
        <f>IF(Table1[[#This Row],[Discount_Applied]]="Yes", 1,0)</f>
        <v>0</v>
      </c>
      <c r="U2113" t="str">
        <f>_xlfn.IFS(Table1[[#This Row],[Age]]&lt;=25, "Below 25", Table1[[#This Row],[Age]]&lt;=35, "Between 25-35", Table1[[#This Row],[Age]]&lt;=45, "Between 36-45", Table1[[#This Row],[Age]]&gt;45, "45+")</f>
        <v>Between 36-45</v>
      </c>
    </row>
    <row r="2114" spans="1:21" x14ac:dyDescent="0.3">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c r="T2114">
        <f>IF(Table1[[#This Row],[Discount_Applied]]="Yes", 1,0)</f>
        <v>0</v>
      </c>
      <c r="U2114" t="str">
        <f>_xlfn.IFS(Table1[[#This Row],[Age]]&lt;=25, "Below 25", Table1[[#This Row],[Age]]&lt;=35, "Between 25-35", Table1[[#This Row],[Age]]&lt;=45, "Between 36-45", Table1[[#This Row],[Age]]&gt;45, "45+")</f>
        <v>Between 36-45</v>
      </c>
    </row>
    <row r="2115" spans="1:21" x14ac:dyDescent="0.3">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c r="T2115">
        <f>IF(Table1[[#This Row],[Discount_Applied]]="Yes", 1,0)</f>
        <v>0</v>
      </c>
      <c r="U2115" t="str">
        <f>_xlfn.IFS(Table1[[#This Row],[Age]]&lt;=25, "Below 25", Table1[[#This Row],[Age]]&lt;=35, "Between 25-35", Table1[[#This Row],[Age]]&lt;=45, "Between 36-45", Table1[[#This Row],[Age]]&gt;45, "45+")</f>
        <v>45+</v>
      </c>
    </row>
    <row r="2116" spans="1:21" x14ac:dyDescent="0.3">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c r="T2116">
        <f>IF(Table1[[#This Row],[Discount_Applied]]="Yes", 1,0)</f>
        <v>0</v>
      </c>
      <c r="U2116" t="str">
        <f>_xlfn.IFS(Table1[[#This Row],[Age]]&lt;=25, "Below 25", Table1[[#This Row],[Age]]&lt;=35, "Between 25-35", Table1[[#This Row],[Age]]&lt;=45, "Between 36-45", Table1[[#This Row],[Age]]&gt;45, "45+")</f>
        <v>Between 36-45</v>
      </c>
    </row>
    <row r="2117" spans="1:21" x14ac:dyDescent="0.3">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c r="T2117">
        <f>IF(Table1[[#This Row],[Discount_Applied]]="Yes", 1,0)</f>
        <v>0</v>
      </c>
      <c r="U2117" t="str">
        <f>_xlfn.IFS(Table1[[#This Row],[Age]]&lt;=25, "Below 25", Table1[[#This Row],[Age]]&lt;=35, "Between 25-35", Table1[[#This Row],[Age]]&lt;=45, "Between 36-45", Table1[[#This Row],[Age]]&gt;45, "45+")</f>
        <v>Between 36-45</v>
      </c>
    </row>
    <row r="2118" spans="1:21" x14ac:dyDescent="0.3">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c r="T2118">
        <f>IF(Table1[[#This Row],[Discount_Applied]]="Yes", 1,0)</f>
        <v>0</v>
      </c>
      <c r="U2118" t="str">
        <f>_xlfn.IFS(Table1[[#This Row],[Age]]&lt;=25, "Below 25", Table1[[#This Row],[Age]]&lt;=35, "Between 25-35", Table1[[#This Row],[Age]]&lt;=45, "Between 36-45", Table1[[#This Row],[Age]]&gt;45, "45+")</f>
        <v>45+</v>
      </c>
    </row>
    <row r="2119" spans="1:21" x14ac:dyDescent="0.3">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c r="T2119">
        <f>IF(Table1[[#This Row],[Discount_Applied]]="Yes", 1,0)</f>
        <v>0</v>
      </c>
      <c r="U2119" t="str">
        <f>_xlfn.IFS(Table1[[#This Row],[Age]]&lt;=25, "Below 25", Table1[[#This Row],[Age]]&lt;=35, "Between 25-35", Table1[[#This Row],[Age]]&lt;=45, "Between 36-45", Table1[[#This Row],[Age]]&gt;45, "45+")</f>
        <v>Between 25-35</v>
      </c>
    </row>
    <row r="2120" spans="1:21" x14ac:dyDescent="0.3">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c r="T2120">
        <f>IF(Table1[[#This Row],[Discount_Applied]]="Yes", 1,0)</f>
        <v>0</v>
      </c>
      <c r="U2120" t="str">
        <f>_xlfn.IFS(Table1[[#This Row],[Age]]&lt;=25, "Below 25", Table1[[#This Row],[Age]]&lt;=35, "Between 25-35", Table1[[#This Row],[Age]]&lt;=45, "Between 36-45", Table1[[#This Row],[Age]]&gt;45, "45+")</f>
        <v>45+</v>
      </c>
    </row>
    <row r="2121" spans="1:21" x14ac:dyDescent="0.3">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c r="T2121">
        <f>IF(Table1[[#This Row],[Discount_Applied]]="Yes", 1,0)</f>
        <v>0</v>
      </c>
      <c r="U2121" t="str">
        <f>_xlfn.IFS(Table1[[#This Row],[Age]]&lt;=25, "Below 25", Table1[[#This Row],[Age]]&lt;=35, "Between 25-35", Table1[[#This Row],[Age]]&lt;=45, "Between 36-45", Table1[[#This Row],[Age]]&gt;45, "45+")</f>
        <v>45+</v>
      </c>
    </row>
    <row r="2122" spans="1:21" x14ac:dyDescent="0.3">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c r="T2122">
        <f>IF(Table1[[#This Row],[Discount_Applied]]="Yes", 1,0)</f>
        <v>0</v>
      </c>
      <c r="U2122" t="str">
        <f>_xlfn.IFS(Table1[[#This Row],[Age]]&lt;=25, "Below 25", Table1[[#This Row],[Age]]&lt;=35, "Between 25-35", Table1[[#This Row],[Age]]&lt;=45, "Between 36-45", Table1[[#This Row],[Age]]&gt;45, "45+")</f>
        <v>45+</v>
      </c>
    </row>
    <row r="2123" spans="1:21" x14ac:dyDescent="0.3">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c r="T2123">
        <f>IF(Table1[[#This Row],[Discount_Applied]]="Yes", 1,0)</f>
        <v>0</v>
      </c>
      <c r="U2123" t="str">
        <f>_xlfn.IFS(Table1[[#This Row],[Age]]&lt;=25, "Below 25", Table1[[#This Row],[Age]]&lt;=35, "Between 25-35", Table1[[#This Row],[Age]]&lt;=45, "Between 36-45", Table1[[#This Row],[Age]]&gt;45, "45+")</f>
        <v>Between 36-45</v>
      </c>
    </row>
    <row r="2124" spans="1:21" x14ac:dyDescent="0.3">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c r="T2124">
        <f>IF(Table1[[#This Row],[Discount_Applied]]="Yes", 1,0)</f>
        <v>0</v>
      </c>
      <c r="U2124" t="str">
        <f>_xlfn.IFS(Table1[[#This Row],[Age]]&lt;=25, "Below 25", Table1[[#This Row],[Age]]&lt;=35, "Between 25-35", Table1[[#This Row],[Age]]&lt;=45, "Between 36-45", Table1[[#This Row],[Age]]&gt;45, "45+")</f>
        <v>Between 25-35</v>
      </c>
    </row>
    <row r="2125" spans="1:21" x14ac:dyDescent="0.3">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c r="T2125">
        <f>IF(Table1[[#This Row],[Discount_Applied]]="Yes", 1,0)</f>
        <v>0</v>
      </c>
      <c r="U2125" t="str">
        <f>_xlfn.IFS(Table1[[#This Row],[Age]]&lt;=25, "Below 25", Table1[[#This Row],[Age]]&lt;=35, "Between 25-35", Table1[[#This Row],[Age]]&lt;=45, "Between 36-45", Table1[[#This Row],[Age]]&gt;45, "45+")</f>
        <v>45+</v>
      </c>
    </row>
    <row r="2126" spans="1:21" x14ac:dyDescent="0.3">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c r="T2126">
        <f>IF(Table1[[#This Row],[Discount_Applied]]="Yes", 1,0)</f>
        <v>0</v>
      </c>
      <c r="U2126" t="str">
        <f>_xlfn.IFS(Table1[[#This Row],[Age]]&lt;=25, "Below 25", Table1[[#This Row],[Age]]&lt;=35, "Between 25-35", Table1[[#This Row],[Age]]&lt;=45, "Between 36-45", Table1[[#This Row],[Age]]&gt;45, "45+")</f>
        <v>45+</v>
      </c>
    </row>
    <row r="2127" spans="1:21" x14ac:dyDescent="0.3">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c r="T2127">
        <f>IF(Table1[[#This Row],[Discount_Applied]]="Yes", 1,0)</f>
        <v>0</v>
      </c>
      <c r="U2127" t="str">
        <f>_xlfn.IFS(Table1[[#This Row],[Age]]&lt;=25, "Below 25", Table1[[#This Row],[Age]]&lt;=35, "Between 25-35", Table1[[#This Row],[Age]]&lt;=45, "Between 36-45", Table1[[#This Row],[Age]]&gt;45, "45+")</f>
        <v>45+</v>
      </c>
    </row>
    <row r="2128" spans="1:21" x14ac:dyDescent="0.3">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c r="T2128">
        <f>IF(Table1[[#This Row],[Discount_Applied]]="Yes", 1,0)</f>
        <v>0</v>
      </c>
      <c r="U2128" t="str">
        <f>_xlfn.IFS(Table1[[#This Row],[Age]]&lt;=25, "Below 25", Table1[[#This Row],[Age]]&lt;=35, "Between 25-35", Table1[[#This Row],[Age]]&lt;=45, "Between 36-45", Table1[[#This Row],[Age]]&gt;45, "45+")</f>
        <v>45+</v>
      </c>
    </row>
    <row r="2129" spans="1:21" x14ac:dyDescent="0.3">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c r="T2129">
        <f>IF(Table1[[#This Row],[Discount_Applied]]="Yes", 1,0)</f>
        <v>0</v>
      </c>
      <c r="U2129" t="str">
        <f>_xlfn.IFS(Table1[[#This Row],[Age]]&lt;=25, "Below 25", Table1[[#This Row],[Age]]&lt;=35, "Between 25-35", Table1[[#This Row],[Age]]&lt;=45, "Between 36-45", Table1[[#This Row],[Age]]&gt;45, "45+")</f>
        <v>45+</v>
      </c>
    </row>
    <row r="2130" spans="1:21" x14ac:dyDescent="0.3">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c r="T2130">
        <f>IF(Table1[[#This Row],[Discount_Applied]]="Yes", 1,0)</f>
        <v>0</v>
      </c>
      <c r="U2130" t="str">
        <f>_xlfn.IFS(Table1[[#This Row],[Age]]&lt;=25, "Below 25", Table1[[#This Row],[Age]]&lt;=35, "Between 25-35", Table1[[#This Row],[Age]]&lt;=45, "Between 36-45", Table1[[#This Row],[Age]]&gt;45, "45+")</f>
        <v>45+</v>
      </c>
    </row>
    <row r="2131" spans="1:21" x14ac:dyDescent="0.3">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c r="T2131">
        <f>IF(Table1[[#This Row],[Discount_Applied]]="Yes", 1,0)</f>
        <v>0</v>
      </c>
      <c r="U2131" t="str">
        <f>_xlfn.IFS(Table1[[#This Row],[Age]]&lt;=25, "Below 25", Table1[[#This Row],[Age]]&lt;=35, "Between 25-35", Table1[[#This Row],[Age]]&lt;=45, "Between 36-45", Table1[[#This Row],[Age]]&gt;45, "45+")</f>
        <v>Between 36-45</v>
      </c>
    </row>
    <row r="2132" spans="1:21" x14ac:dyDescent="0.3">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c r="T2132">
        <f>IF(Table1[[#This Row],[Discount_Applied]]="Yes", 1,0)</f>
        <v>0</v>
      </c>
      <c r="U2132" t="str">
        <f>_xlfn.IFS(Table1[[#This Row],[Age]]&lt;=25, "Below 25", Table1[[#This Row],[Age]]&lt;=35, "Between 25-35", Table1[[#This Row],[Age]]&lt;=45, "Between 36-45", Table1[[#This Row],[Age]]&gt;45, "45+")</f>
        <v>Below 25</v>
      </c>
    </row>
    <row r="2133" spans="1:21" x14ac:dyDescent="0.3">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c r="T2133">
        <f>IF(Table1[[#This Row],[Discount_Applied]]="Yes", 1,0)</f>
        <v>0</v>
      </c>
      <c r="U2133" t="str">
        <f>_xlfn.IFS(Table1[[#This Row],[Age]]&lt;=25, "Below 25", Table1[[#This Row],[Age]]&lt;=35, "Between 25-35", Table1[[#This Row],[Age]]&lt;=45, "Between 36-45", Table1[[#This Row],[Age]]&gt;45, "45+")</f>
        <v>Below 25</v>
      </c>
    </row>
    <row r="2134" spans="1:21" x14ac:dyDescent="0.3">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c r="T2134">
        <f>IF(Table1[[#This Row],[Discount_Applied]]="Yes", 1,0)</f>
        <v>0</v>
      </c>
      <c r="U2134" t="str">
        <f>_xlfn.IFS(Table1[[#This Row],[Age]]&lt;=25, "Below 25", Table1[[#This Row],[Age]]&lt;=35, "Between 25-35", Table1[[#This Row],[Age]]&lt;=45, "Between 36-45", Table1[[#This Row],[Age]]&gt;45, "45+")</f>
        <v>Below 25</v>
      </c>
    </row>
    <row r="2135" spans="1:21" x14ac:dyDescent="0.3">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c r="T2135">
        <f>IF(Table1[[#This Row],[Discount_Applied]]="Yes", 1,0)</f>
        <v>0</v>
      </c>
      <c r="U2135" t="str">
        <f>_xlfn.IFS(Table1[[#This Row],[Age]]&lt;=25, "Below 25", Table1[[#This Row],[Age]]&lt;=35, "Between 25-35", Table1[[#This Row],[Age]]&lt;=45, "Between 36-45", Table1[[#This Row],[Age]]&gt;45, "45+")</f>
        <v>Below 25</v>
      </c>
    </row>
    <row r="2136" spans="1:21" x14ac:dyDescent="0.3">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c r="T2136">
        <f>IF(Table1[[#This Row],[Discount_Applied]]="Yes", 1,0)</f>
        <v>0</v>
      </c>
      <c r="U2136" t="str">
        <f>_xlfn.IFS(Table1[[#This Row],[Age]]&lt;=25, "Below 25", Table1[[#This Row],[Age]]&lt;=35, "Between 25-35", Table1[[#This Row],[Age]]&lt;=45, "Between 36-45", Table1[[#This Row],[Age]]&gt;45, "45+")</f>
        <v>45+</v>
      </c>
    </row>
    <row r="2137" spans="1:21" x14ac:dyDescent="0.3">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c r="T2137">
        <f>IF(Table1[[#This Row],[Discount_Applied]]="Yes", 1,0)</f>
        <v>0</v>
      </c>
      <c r="U2137" t="str">
        <f>_xlfn.IFS(Table1[[#This Row],[Age]]&lt;=25, "Below 25", Table1[[#This Row],[Age]]&lt;=35, "Between 25-35", Table1[[#This Row],[Age]]&lt;=45, "Between 36-45", Table1[[#This Row],[Age]]&gt;45, "45+")</f>
        <v>Between 25-35</v>
      </c>
    </row>
    <row r="2138" spans="1:21" x14ac:dyDescent="0.3">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c r="T2138">
        <f>IF(Table1[[#This Row],[Discount_Applied]]="Yes", 1,0)</f>
        <v>0</v>
      </c>
      <c r="U2138" t="str">
        <f>_xlfn.IFS(Table1[[#This Row],[Age]]&lt;=25, "Below 25", Table1[[#This Row],[Age]]&lt;=35, "Between 25-35", Table1[[#This Row],[Age]]&lt;=45, "Between 36-45", Table1[[#This Row],[Age]]&gt;45, "45+")</f>
        <v>45+</v>
      </c>
    </row>
    <row r="2139" spans="1:21" x14ac:dyDescent="0.3">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c r="T2139">
        <f>IF(Table1[[#This Row],[Discount_Applied]]="Yes", 1,0)</f>
        <v>0</v>
      </c>
      <c r="U2139" t="str">
        <f>_xlfn.IFS(Table1[[#This Row],[Age]]&lt;=25, "Below 25", Table1[[#This Row],[Age]]&lt;=35, "Between 25-35", Table1[[#This Row],[Age]]&lt;=45, "Between 36-45", Table1[[#This Row],[Age]]&gt;45, "45+")</f>
        <v>Between 25-35</v>
      </c>
    </row>
    <row r="2140" spans="1:21" x14ac:dyDescent="0.3">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c r="T2140">
        <f>IF(Table1[[#This Row],[Discount_Applied]]="Yes", 1,0)</f>
        <v>0</v>
      </c>
      <c r="U2140" t="str">
        <f>_xlfn.IFS(Table1[[#This Row],[Age]]&lt;=25, "Below 25", Table1[[#This Row],[Age]]&lt;=35, "Between 25-35", Table1[[#This Row],[Age]]&lt;=45, "Between 36-45", Table1[[#This Row],[Age]]&gt;45, "45+")</f>
        <v>45+</v>
      </c>
    </row>
    <row r="2141" spans="1:21" x14ac:dyDescent="0.3">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c r="T2141">
        <f>IF(Table1[[#This Row],[Discount_Applied]]="Yes", 1,0)</f>
        <v>0</v>
      </c>
      <c r="U2141" t="str">
        <f>_xlfn.IFS(Table1[[#This Row],[Age]]&lt;=25, "Below 25", Table1[[#This Row],[Age]]&lt;=35, "Between 25-35", Table1[[#This Row],[Age]]&lt;=45, "Between 36-45", Table1[[#This Row],[Age]]&gt;45, "45+")</f>
        <v>Between 36-45</v>
      </c>
    </row>
    <row r="2142" spans="1:21" x14ac:dyDescent="0.3">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c r="T2142">
        <f>IF(Table1[[#This Row],[Discount_Applied]]="Yes", 1,0)</f>
        <v>0</v>
      </c>
      <c r="U2142" t="str">
        <f>_xlfn.IFS(Table1[[#This Row],[Age]]&lt;=25, "Below 25", Table1[[#This Row],[Age]]&lt;=35, "Between 25-35", Table1[[#This Row],[Age]]&lt;=45, "Between 36-45", Table1[[#This Row],[Age]]&gt;45, "45+")</f>
        <v>45+</v>
      </c>
    </row>
    <row r="2143" spans="1:21" x14ac:dyDescent="0.3">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c r="T2143">
        <f>IF(Table1[[#This Row],[Discount_Applied]]="Yes", 1,0)</f>
        <v>0</v>
      </c>
      <c r="U2143" t="str">
        <f>_xlfn.IFS(Table1[[#This Row],[Age]]&lt;=25, "Below 25", Table1[[#This Row],[Age]]&lt;=35, "Between 25-35", Table1[[#This Row],[Age]]&lt;=45, "Between 36-45", Table1[[#This Row],[Age]]&gt;45, "45+")</f>
        <v>Below 25</v>
      </c>
    </row>
    <row r="2144" spans="1:21" x14ac:dyDescent="0.3">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c r="T2144">
        <f>IF(Table1[[#This Row],[Discount_Applied]]="Yes", 1,0)</f>
        <v>0</v>
      </c>
      <c r="U2144" t="str">
        <f>_xlfn.IFS(Table1[[#This Row],[Age]]&lt;=25, "Below 25", Table1[[#This Row],[Age]]&lt;=35, "Between 25-35", Table1[[#This Row],[Age]]&lt;=45, "Between 36-45", Table1[[#This Row],[Age]]&gt;45, "45+")</f>
        <v>45+</v>
      </c>
    </row>
    <row r="2145" spans="1:21" x14ac:dyDescent="0.3">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c r="T2145">
        <f>IF(Table1[[#This Row],[Discount_Applied]]="Yes", 1,0)</f>
        <v>0</v>
      </c>
      <c r="U2145" t="str">
        <f>_xlfn.IFS(Table1[[#This Row],[Age]]&lt;=25, "Below 25", Table1[[#This Row],[Age]]&lt;=35, "Between 25-35", Table1[[#This Row],[Age]]&lt;=45, "Between 36-45", Table1[[#This Row],[Age]]&gt;45, "45+")</f>
        <v>45+</v>
      </c>
    </row>
    <row r="2146" spans="1:21" x14ac:dyDescent="0.3">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c r="T2146">
        <f>IF(Table1[[#This Row],[Discount_Applied]]="Yes", 1,0)</f>
        <v>0</v>
      </c>
      <c r="U2146" t="str">
        <f>_xlfn.IFS(Table1[[#This Row],[Age]]&lt;=25, "Below 25", Table1[[#This Row],[Age]]&lt;=35, "Between 25-35", Table1[[#This Row],[Age]]&lt;=45, "Between 36-45", Table1[[#This Row],[Age]]&gt;45, "45+")</f>
        <v>45+</v>
      </c>
    </row>
    <row r="2147" spans="1:21" x14ac:dyDescent="0.3">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c r="T2147">
        <f>IF(Table1[[#This Row],[Discount_Applied]]="Yes", 1,0)</f>
        <v>0</v>
      </c>
      <c r="U2147" t="str">
        <f>_xlfn.IFS(Table1[[#This Row],[Age]]&lt;=25, "Below 25", Table1[[#This Row],[Age]]&lt;=35, "Between 25-35", Table1[[#This Row],[Age]]&lt;=45, "Between 36-45", Table1[[#This Row],[Age]]&gt;45, "45+")</f>
        <v>Between 36-45</v>
      </c>
    </row>
    <row r="2148" spans="1:21" x14ac:dyDescent="0.3">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c r="T2148">
        <f>IF(Table1[[#This Row],[Discount_Applied]]="Yes", 1,0)</f>
        <v>0</v>
      </c>
      <c r="U2148" t="str">
        <f>_xlfn.IFS(Table1[[#This Row],[Age]]&lt;=25, "Below 25", Table1[[#This Row],[Age]]&lt;=35, "Between 25-35", Table1[[#This Row],[Age]]&lt;=45, "Between 36-45", Table1[[#This Row],[Age]]&gt;45, "45+")</f>
        <v>45+</v>
      </c>
    </row>
    <row r="2149" spans="1:21" x14ac:dyDescent="0.3">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c r="T2149">
        <f>IF(Table1[[#This Row],[Discount_Applied]]="Yes", 1,0)</f>
        <v>0</v>
      </c>
      <c r="U2149" t="str">
        <f>_xlfn.IFS(Table1[[#This Row],[Age]]&lt;=25, "Below 25", Table1[[#This Row],[Age]]&lt;=35, "Between 25-35", Table1[[#This Row],[Age]]&lt;=45, "Between 36-45", Table1[[#This Row],[Age]]&gt;45, "45+")</f>
        <v>45+</v>
      </c>
    </row>
    <row r="2150" spans="1:21" x14ac:dyDescent="0.3">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c r="T2150">
        <f>IF(Table1[[#This Row],[Discount_Applied]]="Yes", 1,0)</f>
        <v>0</v>
      </c>
      <c r="U2150" t="str">
        <f>_xlfn.IFS(Table1[[#This Row],[Age]]&lt;=25, "Below 25", Table1[[#This Row],[Age]]&lt;=35, "Between 25-35", Table1[[#This Row],[Age]]&lt;=45, "Between 36-45", Table1[[#This Row],[Age]]&gt;45, "45+")</f>
        <v>Below 25</v>
      </c>
    </row>
    <row r="2151" spans="1:21" x14ac:dyDescent="0.3">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c r="T2151">
        <f>IF(Table1[[#This Row],[Discount_Applied]]="Yes", 1,0)</f>
        <v>0</v>
      </c>
      <c r="U2151" t="str">
        <f>_xlfn.IFS(Table1[[#This Row],[Age]]&lt;=25, "Below 25", Table1[[#This Row],[Age]]&lt;=35, "Between 25-35", Table1[[#This Row],[Age]]&lt;=45, "Between 36-45", Table1[[#This Row],[Age]]&gt;45, "45+")</f>
        <v>Between 36-45</v>
      </c>
    </row>
    <row r="2152" spans="1:21" x14ac:dyDescent="0.3">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c r="T2152">
        <f>IF(Table1[[#This Row],[Discount_Applied]]="Yes", 1,0)</f>
        <v>0</v>
      </c>
      <c r="U2152" t="str">
        <f>_xlfn.IFS(Table1[[#This Row],[Age]]&lt;=25, "Below 25", Table1[[#This Row],[Age]]&lt;=35, "Between 25-35", Table1[[#This Row],[Age]]&lt;=45, "Between 36-45", Table1[[#This Row],[Age]]&gt;45, "45+")</f>
        <v>45+</v>
      </c>
    </row>
    <row r="2153" spans="1:21" x14ac:dyDescent="0.3">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c r="T2153">
        <f>IF(Table1[[#This Row],[Discount_Applied]]="Yes", 1,0)</f>
        <v>0</v>
      </c>
      <c r="U2153" t="str">
        <f>_xlfn.IFS(Table1[[#This Row],[Age]]&lt;=25, "Below 25", Table1[[#This Row],[Age]]&lt;=35, "Between 25-35", Table1[[#This Row],[Age]]&lt;=45, "Between 36-45", Table1[[#This Row],[Age]]&gt;45, "45+")</f>
        <v>45+</v>
      </c>
    </row>
    <row r="2154" spans="1:21" x14ac:dyDescent="0.3">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c r="T2154">
        <f>IF(Table1[[#This Row],[Discount_Applied]]="Yes", 1,0)</f>
        <v>0</v>
      </c>
      <c r="U2154" t="str">
        <f>_xlfn.IFS(Table1[[#This Row],[Age]]&lt;=25, "Below 25", Table1[[#This Row],[Age]]&lt;=35, "Between 25-35", Table1[[#This Row],[Age]]&lt;=45, "Between 36-45", Table1[[#This Row],[Age]]&gt;45, "45+")</f>
        <v>Between 36-45</v>
      </c>
    </row>
    <row r="2155" spans="1:21" x14ac:dyDescent="0.3">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c r="T2155">
        <f>IF(Table1[[#This Row],[Discount_Applied]]="Yes", 1,0)</f>
        <v>0</v>
      </c>
      <c r="U2155" t="str">
        <f>_xlfn.IFS(Table1[[#This Row],[Age]]&lt;=25, "Below 25", Table1[[#This Row],[Age]]&lt;=35, "Between 25-35", Table1[[#This Row],[Age]]&lt;=45, "Between 36-45", Table1[[#This Row],[Age]]&gt;45, "45+")</f>
        <v>Between 25-35</v>
      </c>
    </row>
    <row r="2156" spans="1:21" x14ac:dyDescent="0.3">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c r="T2156">
        <f>IF(Table1[[#This Row],[Discount_Applied]]="Yes", 1,0)</f>
        <v>0</v>
      </c>
      <c r="U2156" t="str">
        <f>_xlfn.IFS(Table1[[#This Row],[Age]]&lt;=25, "Below 25", Table1[[#This Row],[Age]]&lt;=35, "Between 25-35", Table1[[#This Row],[Age]]&lt;=45, "Between 36-45", Table1[[#This Row],[Age]]&gt;45, "45+")</f>
        <v>45+</v>
      </c>
    </row>
    <row r="2157" spans="1:21" x14ac:dyDescent="0.3">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c r="T2157">
        <f>IF(Table1[[#This Row],[Discount_Applied]]="Yes", 1,0)</f>
        <v>0</v>
      </c>
      <c r="U2157" t="str">
        <f>_xlfn.IFS(Table1[[#This Row],[Age]]&lt;=25, "Below 25", Table1[[#This Row],[Age]]&lt;=35, "Between 25-35", Table1[[#This Row],[Age]]&lt;=45, "Between 36-45", Table1[[#This Row],[Age]]&gt;45, "45+")</f>
        <v>Between 25-35</v>
      </c>
    </row>
    <row r="2158" spans="1:21" x14ac:dyDescent="0.3">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c r="T2158">
        <f>IF(Table1[[#This Row],[Discount_Applied]]="Yes", 1,0)</f>
        <v>0</v>
      </c>
      <c r="U2158" t="str">
        <f>_xlfn.IFS(Table1[[#This Row],[Age]]&lt;=25, "Below 25", Table1[[#This Row],[Age]]&lt;=35, "Between 25-35", Table1[[#This Row],[Age]]&lt;=45, "Between 36-45", Table1[[#This Row],[Age]]&gt;45, "45+")</f>
        <v>Between 36-45</v>
      </c>
    </row>
    <row r="2159" spans="1:21" x14ac:dyDescent="0.3">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c r="T2159">
        <f>IF(Table1[[#This Row],[Discount_Applied]]="Yes", 1,0)</f>
        <v>0</v>
      </c>
      <c r="U2159" t="str">
        <f>_xlfn.IFS(Table1[[#This Row],[Age]]&lt;=25, "Below 25", Table1[[#This Row],[Age]]&lt;=35, "Between 25-35", Table1[[#This Row],[Age]]&lt;=45, "Between 36-45", Table1[[#This Row],[Age]]&gt;45, "45+")</f>
        <v>Between 36-45</v>
      </c>
    </row>
    <row r="2160" spans="1:21" x14ac:dyDescent="0.3">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c r="T2160">
        <f>IF(Table1[[#This Row],[Discount_Applied]]="Yes", 1,0)</f>
        <v>0</v>
      </c>
      <c r="U2160" t="str">
        <f>_xlfn.IFS(Table1[[#This Row],[Age]]&lt;=25, "Below 25", Table1[[#This Row],[Age]]&lt;=35, "Between 25-35", Table1[[#This Row],[Age]]&lt;=45, "Between 36-45", Table1[[#This Row],[Age]]&gt;45, "45+")</f>
        <v>Below 25</v>
      </c>
    </row>
    <row r="2161" spans="1:21" x14ac:dyDescent="0.3">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c r="T2161">
        <f>IF(Table1[[#This Row],[Discount_Applied]]="Yes", 1,0)</f>
        <v>0</v>
      </c>
      <c r="U2161" t="str">
        <f>_xlfn.IFS(Table1[[#This Row],[Age]]&lt;=25, "Below 25", Table1[[#This Row],[Age]]&lt;=35, "Between 25-35", Table1[[#This Row],[Age]]&lt;=45, "Between 36-45", Table1[[#This Row],[Age]]&gt;45, "45+")</f>
        <v>Below 25</v>
      </c>
    </row>
    <row r="2162" spans="1:21" x14ac:dyDescent="0.3">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c r="T2162">
        <f>IF(Table1[[#This Row],[Discount_Applied]]="Yes", 1,0)</f>
        <v>0</v>
      </c>
      <c r="U2162" t="str">
        <f>_xlfn.IFS(Table1[[#This Row],[Age]]&lt;=25, "Below 25", Table1[[#This Row],[Age]]&lt;=35, "Between 25-35", Table1[[#This Row],[Age]]&lt;=45, "Between 36-45", Table1[[#This Row],[Age]]&gt;45, "45+")</f>
        <v>Between 36-45</v>
      </c>
    </row>
    <row r="2163" spans="1:21" x14ac:dyDescent="0.3">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c r="T2163">
        <f>IF(Table1[[#This Row],[Discount_Applied]]="Yes", 1,0)</f>
        <v>0</v>
      </c>
      <c r="U2163" t="str">
        <f>_xlfn.IFS(Table1[[#This Row],[Age]]&lt;=25, "Below 25", Table1[[#This Row],[Age]]&lt;=35, "Between 25-35", Table1[[#This Row],[Age]]&lt;=45, "Between 36-45", Table1[[#This Row],[Age]]&gt;45, "45+")</f>
        <v>Below 25</v>
      </c>
    </row>
    <row r="2164" spans="1:21" x14ac:dyDescent="0.3">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c r="T2164">
        <f>IF(Table1[[#This Row],[Discount_Applied]]="Yes", 1,0)</f>
        <v>0</v>
      </c>
      <c r="U2164" t="str">
        <f>_xlfn.IFS(Table1[[#This Row],[Age]]&lt;=25, "Below 25", Table1[[#This Row],[Age]]&lt;=35, "Between 25-35", Table1[[#This Row],[Age]]&lt;=45, "Between 36-45", Table1[[#This Row],[Age]]&gt;45, "45+")</f>
        <v>45+</v>
      </c>
    </row>
    <row r="2165" spans="1:21" x14ac:dyDescent="0.3">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c r="T2165">
        <f>IF(Table1[[#This Row],[Discount_Applied]]="Yes", 1,0)</f>
        <v>0</v>
      </c>
      <c r="U2165" t="str">
        <f>_xlfn.IFS(Table1[[#This Row],[Age]]&lt;=25, "Below 25", Table1[[#This Row],[Age]]&lt;=35, "Between 25-35", Table1[[#This Row],[Age]]&lt;=45, "Between 36-45", Table1[[#This Row],[Age]]&gt;45, "45+")</f>
        <v>45+</v>
      </c>
    </row>
    <row r="2166" spans="1:21" x14ac:dyDescent="0.3">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c r="T2166">
        <f>IF(Table1[[#This Row],[Discount_Applied]]="Yes", 1,0)</f>
        <v>0</v>
      </c>
      <c r="U2166" t="str">
        <f>_xlfn.IFS(Table1[[#This Row],[Age]]&lt;=25, "Below 25", Table1[[#This Row],[Age]]&lt;=35, "Between 25-35", Table1[[#This Row],[Age]]&lt;=45, "Between 36-45", Table1[[#This Row],[Age]]&gt;45, "45+")</f>
        <v>Between 36-45</v>
      </c>
    </row>
    <row r="2167" spans="1:21" x14ac:dyDescent="0.3">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c r="T2167">
        <f>IF(Table1[[#This Row],[Discount_Applied]]="Yes", 1,0)</f>
        <v>0</v>
      </c>
      <c r="U2167" t="str">
        <f>_xlfn.IFS(Table1[[#This Row],[Age]]&lt;=25, "Below 25", Table1[[#This Row],[Age]]&lt;=35, "Between 25-35", Table1[[#This Row],[Age]]&lt;=45, "Between 36-45", Table1[[#This Row],[Age]]&gt;45, "45+")</f>
        <v>Between 25-35</v>
      </c>
    </row>
    <row r="2168" spans="1:21" x14ac:dyDescent="0.3">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c r="T2168">
        <f>IF(Table1[[#This Row],[Discount_Applied]]="Yes", 1,0)</f>
        <v>0</v>
      </c>
      <c r="U2168" t="str">
        <f>_xlfn.IFS(Table1[[#This Row],[Age]]&lt;=25, "Below 25", Table1[[#This Row],[Age]]&lt;=35, "Between 25-35", Table1[[#This Row],[Age]]&lt;=45, "Between 36-45", Table1[[#This Row],[Age]]&gt;45, "45+")</f>
        <v>Between 25-35</v>
      </c>
    </row>
    <row r="2169" spans="1:21" x14ac:dyDescent="0.3">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c r="T2169">
        <f>IF(Table1[[#This Row],[Discount_Applied]]="Yes", 1,0)</f>
        <v>0</v>
      </c>
      <c r="U2169" t="str">
        <f>_xlfn.IFS(Table1[[#This Row],[Age]]&lt;=25, "Below 25", Table1[[#This Row],[Age]]&lt;=35, "Between 25-35", Table1[[#This Row],[Age]]&lt;=45, "Between 36-45", Table1[[#This Row],[Age]]&gt;45, "45+")</f>
        <v>Between 25-35</v>
      </c>
    </row>
    <row r="2170" spans="1:21" x14ac:dyDescent="0.3">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c r="T2170">
        <f>IF(Table1[[#This Row],[Discount_Applied]]="Yes", 1,0)</f>
        <v>0</v>
      </c>
      <c r="U2170" t="str">
        <f>_xlfn.IFS(Table1[[#This Row],[Age]]&lt;=25, "Below 25", Table1[[#This Row],[Age]]&lt;=35, "Between 25-35", Table1[[#This Row],[Age]]&lt;=45, "Between 36-45", Table1[[#This Row],[Age]]&gt;45, "45+")</f>
        <v>Below 25</v>
      </c>
    </row>
    <row r="2171" spans="1:21" x14ac:dyDescent="0.3">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c r="T2171">
        <f>IF(Table1[[#This Row],[Discount_Applied]]="Yes", 1,0)</f>
        <v>0</v>
      </c>
      <c r="U2171" t="str">
        <f>_xlfn.IFS(Table1[[#This Row],[Age]]&lt;=25, "Below 25", Table1[[#This Row],[Age]]&lt;=35, "Between 25-35", Table1[[#This Row],[Age]]&lt;=45, "Between 36-45", Table1[[#This Row],[Age]]&gt;45, "45+")</f>
        <v>Between 25-35</v>
      </c>
    </row>
    <row r="2172" spans="1:21" x14ac:dyDescent="0.3">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c r="T2172">
        <f>IF(Table1[[#This Row],[Discount_Applied]]="Yes", 1,0)</f>
        <v>0</v>
      </c>
      <c r="U2172" t="str">
        <f>_xlfn.IFS(Table1[[#This Row],[Age]]&lt;=25, "Below 25", Table1[[#This Row],[Age]]&lt;=35, "Between 25-35", Table1[[#This Row],[Age]]&lt;=45, "Between 36-45", Table1[[#This Row],[Age]]&gt;45, "45+")</f>
        <v>Between 36-45</v>
      </c>
    </row>
    <row r="2173" spans="1:21" x14ac:dyDescent="0.3">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c r="T2173">
        <f>IF(Table1[[#This Row],[Discount_Applied]]="Yes", 1,0)</f>
        <v>0</v>
      </c>
      <c r="U2173" t="str">
        <f>_xlfn.IFS(Table1[[#This Row],[Age]]&lt;=25, "Below 25", Table1[[#This Row],[Age]]&lt;=35, "Between 25-35", Table1[[#This Row],[Age]]&lt;=45, "Between 36-45", Table1[[#This Row],[Age]]&gt;45, "45+")</f>
        <v>Between 36-45</v>
      </c>
    </row>
    <row r="2174" spans="1:21" x14ac:dyDescent="0.3">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c r="T2174">
        <f>IF(Table1[[#This Row],[Discount_Applied]]="Yes", 1,0)</f>
        <v>0</v>
      </c>
      <c r="U2174" t="str">
        <f>_xlfn.IFS(Table1[[#This Row],[Age]]&lt;=25, "Below 25", Table1[[#This Row],[Age]]&lt;=35, "Between 25-35", Table1[[#This Row],[Age]]&lt;=45, "Between 36-45", Table1[[#This Row],[Age]]&gt;45, "45+")</f>
        <v>Between 25-35</v>
      </c>
    </row>
    <row r="2175" spans="1:21" x14ac:dyDescent="0.3">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c r="T2175">
        <f>IF(Table1[[#This Row],[Discount_Applied]]="Yes", 1,0)</f>
        <v>0</v>
      </c>
      <c r="U2175" t="str">
        <f>_xlfn.IFS(Table1[[#This Row],[Age]]&lt;=25, "Below 25", Table1[[#This Row],[Age]]&lt;=35, "Between 25-35", Table1[[#This Row],[Age]]&lt;=45, "Between 36-45", Table1[[#This Row],[Age]]&gt;45, "45+")</f>
        <v>Below 25</v>
      </c>
    </row>
    <row r="2176" spans="1:21" x14ac:dyDescent="0.3">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c r="T2176">
        <f>IF(Table1[[#This Row],[Discount_Applied]]="Yes", 1,0)</f>
        <v>0</v>
      </c>
      <c r="U2176" t="str">
        <f>_xlfn.IFS(Table1[[#This Row],[Age]]&lt;=25, "Below 25", Table1[[#This Row],[Age]]&lt;=35, "Between 25-35", Table1[[#This Row],[Age]]&lt;=45, "Between 36-45", Table1[[#This Row],[Age]]&gt;45, "45+")</f>
        <v>Between 36-45</v>
      </c>
    </row>
    <row r="2177" spans="1:21" x14ac:dyDescent="0.3">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c r="T2177">
        <f>IF(Table1[[#This Row],[Discount_Applied]]="Yes", 1,0)</f>
        <v>0</v>
      </c>
      <c r="U2177" t="str">
        <f>_xlfn.IFS(Table1[[#This Row],[Age]]&lt;=25, "Below 25", Table1[[#This Row],[Age]]&lt;=35, "Between 25-35", Table1[[#This Row],[Age]]&lt;=45, "Between 36-45", Table1[[#This Row],[Age]]&gt;45, "45+")</f>
        <v>45+</v>
      </c>
    </row>
    <row r="2178" spans="1:21" x14ac:dyDescent="0.3">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c r="T2178">
        <f>IF(Table1[[#This Row],[Discount_Applied]]="Yes", 1,0)</f>
        <v>0</v>
      </c>
      <c r="U2178" t="str">
        <f>_xlfn.IFS(Table1[[#This Row],[Age]]&lt;=25, "Below 25", Table1[[#This Row],[Age]]&lt;=35, "Between 25-35", Table1[[#This Row],[Age]]&lt;=45, "Between 36-45", Table1[[#This Row],[Age]]&gt;45, "45+")</f>
        <v>Below 25</v>
      </c>
    </row>
    <row r="2179" spans="1:21" x14ac:dyDescent="0.3">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c r="T2179">
        <f>IF(Table1[[#This Row],[Discount_Applied]]="Yes", 1,0)</f>
        <v>0</v>
      </c>
      <c r="U2179" t="str">
        <f>_xlfn.IFS(Table1[[#This Row],[Age]]&lt;=25, "Below 25", Table1[[#This Row],[Age]]&lt;=35, "Between 25-35", Table1[[#This Row],[Age]]&lt;=45, "Between 36-45", Table1[[#This Row],[Age]]&gt;45, "45+")</f>
        <v>Below 25</v>
      </c>
    </row>
    <row r="2180" spans="1:21" x14ac:dyDescent="0.3">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c r="T2180">
        <f>IF(Table1[[#This Row],[Discount_Applied]]="Yes", 1,0)</f>
        <v>0</v>
      </c>
      <c r="U2180" t="str">
        <f>_xlfn.IFS(Table1[[#This Row],[Age]]&lt;=25, "Below 25", Table1[[#This Row],[Age]]&lt;=35, "Between 25-35", Table1[[#This Row],[Age]]&lt;=45, "Between 36-45", Table1[[#This Row],[Age]]&gt;45, "45+")</f>
        <v>Below 25</v>
      </c>
    </row>
    <row r="2181" spans="1:21" x14ac:dyDescent="0.3">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c r="T2181">
        <f>IF(Table1[[#This Row],[Discount_Applied]]="Yes", 1,0)</f>
        <v>0</v>
      </c>
      <c r="U2181" t="str">
        <f>_xlfn.IFS(Table1[[#This Row],[Age]]&lt;=25, "Below 25", Table1[[#This Row],[Age]]&lt;=35, "Between 25-35", Table1[[#This Row],[Age]]&lt;=45, "Between 36-45", Table1[[#This Row],[Age]]&gt;45, "45+")</f>
        <v>45+</v>
      </c>
    </row>
    <row r="2182" spans="1:21" x14ac:dyDescent="0.3">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c r="T2182">
        <f>IF(Table1[[#This Row],[Discount_Applied]]="Yes", 1,0)</f>
        <v>0</v>
      </c>
      <c r="U2182" t="str">
        <f>_xlfn.IFS(Table1[[#This Row],[Age]]&lt;=25, "Below 25", Table1[[#This Row],[Age]]&lt;=35, "Between 25-35", Table1[[#This Row],[Age]]&lt;=45, "Between 36-45", Table1[[#This Row],[Age]]&gt;45, "45+")</f>
        <v>Between 36-45</v>
      </c>
    </row>
    <row r="2183" spans="1:21" x14ac:dyDescent="0.3">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c r="T2183">
        <f>IF(Table1[[#This Row],[Discount_Applied]]="Yes", 1,0)</f>
        <v>0</v>
      </c>
      <c r="U2183" t="str">
        <f>_xlfn.IFS(Table1[[#This Row],[Age]]&lt;=25, "Below 25", Table1[[#This Row],[Age]]&lt;=35, "Between 25-35", Table1[[#This Row],[Age]]&lt;=45, "Between 36-45", Table1[[#This Row],[Age]]&gt;45, "45+")</f>
        <v>Below 25</v>
      </c>
    </row>
    <row r="2184" spans="1:21" x14ac:dyDescent="0.3">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c r="T2184">
        <f>IF(Table1[[#This Row],[Discount_Applied]]="Yes", 1,0)</f>
        <v>0</v>
      </c>
      <c r="U2184" t="str">
        <f>_xlfn.IFS(Table1[[#This Row],[Age]]&lt;=25, "Below 25", Table1[[#This Row],[Age]]&lt;=35, "Between 25-35", Table1[[#This Row],[Age]]&lt;=45, "Between 36-45", Table1[[#This Row],[Age]]&gt;45, "45+")</f>
        <v>Between 36-45</v>
      </c>
    </row>
    <row r="2185" spans="1:21" x14ac:dyDescent="0.3">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c r="T2185">
        <f>IF(Table1[[#This Row],[Discount_Applied]]="Yes", 1,0)</f>
        <v>0</v>
      </c>
      <c r="U2185" t="str">
        <f>_xlfn.IFS(Table1[[#This Row],[Age]]&lt;=25, "Below 25", Table1[[#This Row],[Age]]&lt;=35, "Between 25-35", Table1[[#This Row],[Age]]&lt;=45, "Between 36-45", Table1[[#This Row],[Age]]&gt;45, "45+")</f>
        <v>Between 25-35</v>
      </c>
    </row>
    <row r="2186" spans="1:21" x14ac:dyDescent="0.3">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c r="T2186">
        <f>IF(Table1[[#This Row],[Discount_Applied]]="Yes", 1,0)</f>
        <v>0</v>
      </c>
      <c r="U2186" t="str">
        <f>_xlfn.IFS(Table1[[#This Row],[Age]]&lt;=25, "Below 25", Table1[[#This Row],[Age]]&lt;=35, "Between 25-35", Table1[[#This Row],[Age]]&lt;=45, "Between 36-45", Table1[[#This Row],[Age]]&gt;45, "45+")</f>
        <v>Between 36-45</v>
      </c>
    </row>
    <row r="2187" spans="1:21" x14ac:dyDescent="0.3">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c r="T2187">
        <f>IF(Table1[[#This Row],[Discount_Applied]]="Yes", 1,0)</f>
        <v>0</v>
      </c>
      <c r="U2187" t="str">
        <f>_xlfn.IFS(Table1[[#This Row],[Age]]&lt;=25, "Below 25", Table1[[#This Row],[Age]]&lt;=35, "Between 25-35", Table1[[#This Row],[Age]]&lt;=45, "Between 36-45", Table1[[#This Row],[Age]]&gt;45, "45+")</f>
        <v>Between 36-45</v>
      </c>
    </row>
    <row r="2188" spans="1:21" x14ac:dyDescent="0.3">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c r="T2188">
        <f>IF(Table1[[#This Row],[Discount_Applied]]="Yes", 1,0)</f>
        <v>0</v>
      </c>
      <c r="U2188" t="str">
        <f>_xlfn.IFS(Table1[[#This Row],[Age]]&lt;=25, "Below 25", Table1[[#This Row],[Age]]&lt;=35, "Between 25-35", Table1[[#This Row],[Age]]&lt;=45, "Between 36-45", Table1[[#This Row],[Age]]&gt;45, "45+")</f>
        <v>45+</v>
      </c>
    </row>
    <row r="2189" spans="1:21" x14ac:dyDescent="0.3">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c r="T2189">
        <f>IF(Table1[[#This Row],[Discount_Applied]]="Yes", 1,0)</f>
        <v>0</v>
      </c>
      <c r="U2189" t="str">
        <f>_xlfn.IFS(Table1[[#This Row],[Age]]&lt;=25, "Below 25", Table1[[#This Row],[Age]]&lt;=35, "Between 25-35", Table1[[#This Row],[Age]]&lt;=45, "Between 36-45", Table1[[#This Row],[Age]]&gt;45, "45+")</f>
        <v>Between 36-45</v>
      </c>
    </row>
    <row r="2190" spans="1:21" x14ac:dyDescent="0.3">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c r="T2190">
        <f>IF(Table1[[#This Row],[Discount_Applied]]="Yes", 1,0)</f>
        <v>0</v>
      </c>
      <c r="U2190" t="str">
        <f>_xlfn.IFS(Table1[[#This Row],[Age]]&lt;=25, "Below 25", Table1[[#This Row],[Age]]&lt;=35, "Between 25-35", Table1[[#This Row],[Age]]&lt;=45, "Between 36-45", Table1[[#This Row],[Age]]&gt;45, "45+")</f>
        <v>Between 36-45</v>
      </c>
    </row>
    <row r="2191" spans="1:21" x14ac:dyDescent="0.3">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c r="T2191">
        <f>IF(Table1[[#This Row],[Discount_Applied]]="Yes", 1,0)</f>
        <v>0</v>
      </c>
      <c r="U2191" t="str">
        <f>_xlfn.IFS(Table1[[#This Row],[Age]]&lt;=25, "Below 25", Table1[[#This Row],[Age]]&lt;=35, "Between 25-35", Table1[[#This Row],[Age]]&lt;=45, "Between 36-45", Table1[[#This Row],[Age]]&gt;45, "45+")</f>
        <v>Between 36-45</v>
      </c>
    </row>
    <row r="2192" spans="1:21" x14ac:dyDescent="0.3">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c r="T2192">
        <f>IF(Table1[[#This Row],[Discount_Applied]]="Yes", 1,0)</f>
        <v>0</v>
      </c>
      <c r="U2192" t="str">
        <f>_xlfn.IFS(Table1[[#This Row],[Age]]&lt;=25, "Below 25", Table1[[#This Row],[Age]]&lt;=35, "Between 25-35", Table1[[#This Row],[Age]]&lt;=45, "Between 36-45", Table1[[#This Row],[Age]]&gt;45, "45+")</f>
        <v>Between 36-45</v>
      </c>
    </row>
    <row r="2193" spans="1:21" x14ac:dyDescent="0.3">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c r="T2193">
        <f>IF(Table1[[#This Row],[Discount_Applied]]="Yes", 1,0)</f>
        <v>0</v>
      </c>
      <c r="U2193" t="str">
        <f>_xlfn.IFS(Table1[[#This Row],[Age]]&lt;=25, "Below 25", Table1[[#This Row],[Age]]&lt;=35, "Between 25-35", Table1[[#This Row],[Age]]&lt;=45, "Between 36-45", Table1[[#This Row],[Age]]&gt;45, "45+")</f>
        <v>Between 25-35</v>
      </c>
    </row>
    <row r="2194" spans="1:21" x14ac:dyDescent="0.3">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c r="T2194">
        <f>IF(Table1[[#This Row],[Discount_Applied]]="Yes", 1,0)</f>
        <v>0</v>
      </c>
      <c r="U2194" t="str">
        <f>_xlfn.IFS(Table1[[#This Row],[Age]]&lt;=25, "Below 25", Table1[[#This Row],[Age]]&lt;=35, "Between 25-35", Table1[[#This Row],[Age]]&lt;=45, "Between 36-45", Table1[[#This Row],[Age]]&gt;45, "45+")</f>
        <v>Between 36-45</v>
      </c>
    </row>
    <row r="2195" spans="1:21" x14ac:dyDescent="0.3">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c r="T2195">
        <f>IF(Table1[[#This Row],[Discount_Applied]]="Yes", 1,0)</f>
        <v>0</v>
      </c>
      <c r="U2195" t="str">
        <f>_xlfn.IFS(Table1[[#This Row],[Age]]&lt;=25, "Below 25", Table1[[#This Row],[Age]]&lt;=35, "Between 25-35", Table1[[#This Row],[Age]]&lt;=45, "Between 36-45", Table1[[#This Row],[Age]]&gt;45, "45+")</f>
        <v>Between 25-35</v>
      </c>
    </row>
    <row r="2196" spans="1:21" x14ac:dyDescent="0.3">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c r="T2196">
        <f>IF(Table1[[#This Row],[Discount_Applied]]="Yes", 1,0)</f>
        <v>0</v>
      </c>
      <c r="U2196" t="str">
        <f>_xlfn.IFS(Table1[[#This Row],[Age]]&lt;=25, "Below 25", Table1[[#This Row],[Age]]&lt;=35, "Between 25-35", Table1[[#This Row],[Age]]&lt;=45, "Between 36-45", Table1[[#This Row],[Age]]&gt;45, "45+")</f>
        <v>45+</v>
      </c>
    </row>
    <row r="2197" spans="1:21" x14ac:dyDescent="0.3">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c r="T2197">
        <f>IF(Table1[[#This Row],[Discount_Applied]]="Yes", 1,0)</f>
        <v>0</v>
      </c>
      <c r="U2197" t="str">
        <f>_xlfn.IFS(Table1[[#This Row],[Age]]&lt;=25, "Below 25", Table1[[#This Row],[Age]]&lt;=35, "Between 25-35", Table1[[#This Row],[Age]]&lt;=45, "Between 36-45", Table1[[#This Row],[Age]]&gt;45, "45+")</f>
        <v>45+</v>
      </c>
    </row>
    <row r="2198" spans="1:21" x14ac:dyDescent="0.3">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c r="T2198">
        <f>IF(Table1[[#This Row],[Discount_Applied]]="Yes", 1,0)</f>
        <v>0</v>
      </c>
      <c r="U2198" t="str">
        <f>_xlfn.IFS(Table1[[#This Row],[Age]]&lt;=25, "Below 25", Table1[[#This Row],[Age]]&lt;=35, "Between 25-35", Table1[[#This Row],[Age]]&lt;=45, "Between 36-45", Table1[[#This Row],[Age]]&gt;45, "45+")</f>
        <v>Below 25</v>
      </c>
    </row>
    <row r="2199" spans="1:21" x14ac:dyDescent="0.3">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c r="T2199">
        <f>IF(Table1[[#This Row],[Discount_Applied]]="Yes", 1,0)</f>
        <v>0</v>
      </c>
      <c r="U2199" t="str">
        <f>_xlfn.IFS(Table1[[#This Row],[Age]]&lt;=25, "Below 25", Table1[[#This Row],[Age]]&lt;=35, "Between 25-35", Table1[[#This Row],[Age]]&lt;=45, "Between 36-45", Table1[[#This Row],[Age]]&gt;45, "45+")</f>
        <v>Between 25-35</v>
      </c>
    </row>
    <row r="2200" spans="1:21" x14ac:dyDescent="0.3">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c r="T2200">
        <f>IF(Table1[[#This Row],[Discount_Applied]]="Yes", 1,0)</f>
        <v>0</v>
      </c>
      <c r="U2200" t="str">
        <f>_xlfn.IFS(Table1[[#This Row],[Age]]&lt;=25, "Below 25", Table1[[#This Row],[Age]]&lt;=35, "Between 25-35", Table1[[#This Row],[Age]]&lt;=45, "Between 36-45", Table1[[#This Row],[Age]]&gt;45, "45+")</f>
        <v>45+</v>
      </c>
    </row>
    <row r="2201" spans="1:21" x14ac:dyDescent="0.3">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c r="T2201">
        <f>IF(Table1[[#This Row],[Discount_Applied]]="Yes", 1,0)</f>
        <v>0</v>
      </c>
      <c r="U2201" t="str">
        <f>_xlfn.IFS(Table1[[#This Row],[Age]]&lt;=25, "Below 25", Table1[[#This Row],[Age]]&lt;=35, "Between 25-35", Table1[[#This Row],[Age]]&lt;=45, "Between 36-45", Table1[[#This Row],[Age]]&gt;45, "45+")</f>
        <v>Between 36-45</v>
      </c>
    </row>
    <row r="2202" spans="1:21" x14ac:dyDescent="0.3">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c r="T2202">
        <f>IF(Table1[[#This Row],[Discount_Applied]]="Yes", 1,0)</f>
        <v>0</v>
      </c>
      <c r="U2202" t="str">
        <f>_xlfn.IFS(Table1[[#This Row],[Age]]&lt;=25, "Below 25", Table1[[#This Row],[Age]]&lt;=35, "Between 25-35", Table1[[#This Row],[Age]]&lt;=45, "Between 36-45", Table1[[#This Row],[Age]]&gt;45, "45+")</f>
        <v>45+</v>
      </c>
    </row>
    <row r="2203" spans="1:21" x14ac:dyDescent="0.3">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c r="T2203">
        <f>IF(Table1[[#This Row],[Discount_Applied]]="Yes", 1,0)</f>
        <v>0</v>
      </c>
      <c r="U2203" t="str">
        <f>_xlfn.IFS(Table1[[#This Row],[Age]]&lt;=25, "Below 25", Table1[[#This Row],[Age]]&lt;=35, "Between 25-35", Table1[[#This Row],[Age]]&lt;=45, "Between 36-45", Table1[[#This Row],[Age]]&gt;45, "45+")</f>
        <v>Between 36-45</v>
      </c>
    </row>
    <row r="2204" spans="1:21" x14ac:dyDescent="0.3">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c r="T2204">
        <f>IF(Table1[[#This Row],[Discount_Applied]]="Yes", 1,0)</f>
        <v>0</v>
      </c>
      <c r="U2204" t="str">
        <f>_xlfn.IFS(Table1[[#This Row],[Age]]&lt;=25, "Below 25", Table1[[#This Row],[Age]]&lt;=35, "Between 25-35", Table1[[#This Row],[Age]]&lt;=45, "Between 36-45", Table1[[#This Row],[Age]]&gt;45, "45+")</f>
        <v>Between 36-45</v>
      </c>
    </row>
    <row r="2205" spans="1:21" x14ac:dyDescent="0.3">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c r="T2205">
        <f>IF(Table1[[#This Row],[Discount_Applied]]="Yes", 1,0)</f>
        <v>0</v>
      </c>
      <c r="U2205" t="str">
        <f>_xlfn.IFS(Table1[[#This Row],[Age]]&lt;=25, "Below 25", Table1[[#This Row],[Age]]&lt;=35, "Between 25-35", Table1[[#This Row],[Age]]&lt;=45, "Between 36-45", Table1[[#This Row],[Age]]&gt;45, "45+")</f>
        <v>45+</v>
      </c>
    </row>
    <row r="2206" spans="1:21" x14ac:dyDescent="0.3">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c r="T2206">
        <f>IF(Table1[[#This Row],[Discount_Applied]]="Yes", 1,0)</f>
        <v>0</v>
      </c>
      <c r="U2206" t="str">
        <f>_xlfn.IFS(Table1[[#This Row],[Age]]&lt;=25, "Below 25", Table1[[#This Row],[Age]]&lt;=35, "Between 25-35", Table1[[#This Row],[Age]]&lt;=45, "Between 36-45", Table1[[#This Row],[Age]]&gt;45, "45+")</f>
        <v>Below 25</v>
      </c>
    </row>
    <row r="2207" spans="1:21" x14ac:dyDescent="0.3">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c r="T2207">
        <f>IF(Table1[[#This Row],[Discount_Applied]]="Yes", 1,0)</f>
        <v>0</v>
      </c>
      <c r="U2207" t="str">
        <f>_xlfn.IFS(Table1[[#This Row],[Age]]&lt;=25, "Below 25", Table1[[#This Row],[Age]]&lt;=35, "Between 25-35", Table1[[#This Row],[Age]]&lt;=45, "Between 36-45", Table1[[#This Row],[Age]]&gt;45, "45+")</f>
        <v>45+</v>
      </c>
    </row>
    <row r="2208" spans="1:21" x14ac:dyDescent="0.3">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c r="T2208">
        <f>IF(Table1[[#This Row],[Discount_Applied]]="Yes", 1,0)</f>
        <v>0</v>
      </c>
      <c r="U2208" t="str">
        <f>_xlfn.IFS(Table1[[#This Row],[Age]]&lt;=25, "Below 25", Table1[[#This Row],[Age]]&lt;=35, "Between 25-35", Table1[[#This Row],[Age]]&lt;=45, "Between 36-45", Table1[[#This Row],[Age]]&gt;45, "45+")</f>
        <v>45+</v>
      </c>
    </row>
    <row r="2209" spans="1:21" x14ac:dyDescent="0.3">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c r="T2209">
        <f>IF(Table1[[#This Row],[Discount_Applied]]="Yes", 1,0)</f>
        <v>0</v>
      </c>
      <c r="U2209" t="str">
        <f>_xlfn.IFS(Table1[[#This Row],[Age]]&lt;=25, "Below 25", Table1[[#This Row],[Age]]&lt;=35, "Between 25-35", Table1[[#This Row],[Age]]&lt;=45, "Between 36-45", Table1[[#This Row],[Age]]&gt;45, "45+")</f>
        <v>45+</v>
      </c>
    </row>
    <row r="2210" spans="1:21" x14ac:dyDescent="0.3">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c r="T2210">
        <f>IF(Table1[[#This Row],[Discount_Applied]]="Yes", 1,0)</f>
        <v>0</v>
      </c>
      <c r="U2210" t="str">
        <f>_xlfn.IFS(Table1[[#This Row],[Age]]&lt;=25, "Below 25", Table1[[#This Row],[Age]]&lt;=35, "Between 25-35", Table1[[#This Row],[Age]]&lt;=45, "Between 36-45", Table1[[#This Row],[Age]]&gt;45, "45+")</f>
        <v>Between 25-35</v>
      </c>
    </row>
    <row r="2211" spans="1:21" x14ac:dyDescent="0.3">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c r="T2211">
        <f>IF(Table1[[#This Row],[Discount_Applied]]="Yes", 1,0)</f>
        <v>0</v>
      </c>
      <c r="U2211" t="str">
        <f>_xlfn.IFS(Table1[[#This Row],[Age]]&lt;=25, "Below 25", Table1[[#This Row],[Age]]&lt;=35, "Between 25-35", Table1[[#This Row],[Age]]&lt;=45, "Between 36-45", Table1[[#This Row],[Age]]&gt;45, "45+")</f>
        <v>Between 36-45</v>
      </c>
    </row>
    <row r="2212" spans="1:21" x14ac:dyDescent="0.3">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c r="T2212">
        <f>IF(Table1[[#This Row],[Discount_Applied]]="Yes", 1,0)</f>
        <v>0</v>
      </c>
      <c r="U2212" t="str">
        <f>_xlfn.IFS(Table1[[#This Row],[Age]]&lt;=25, "Below 25", Table1[[#This Row],[Age]]&lt;=35, "Between 25-35", Table1[[#This Row],[Age]]&lt;=45, "Between 36-45", Table1[[#This Row],[Age]]&gt;45, "45+")</f>
        <v>Between 25-35</v>
      </c>
    </row>
    <row r="2213" spans="1:21" x14ac:dyDescent="0.3">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c r="T2213">
        <f>IF(Table1[[#This Row],[Discount_Applied]]="Yes", 1,0)</f>
        <v>0</v>
      </c>
      <c r="U2213" t="str">
        <f>_xlfn.IFS(Table1[[#This Row],[Age]]&lt;=25, "Below 25", Table1[[#This Row],[Age]]&lt;=35, "Between 25-35", Table1[[#This Row],[Age]]&lt;=45, "Between 36-45", Table1[[#This Row],[Age]]&gt;45, "45+")</f>
        <v>45+</v>
      </c>
    </row>
    <row r="2214" spans="1:21" x14ac:dyDescent="0.3">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c r="T2214">
        <f>IF(Table1[[#This Row],[Discount_Applied]]="Yes", 1,0)</f>
        <v>0</v>
      </c>
      <c r="U2214" t="str">
        <f>_xlfn.IFS(Table1[[#This Row],[Age]]&lt;=25, "Below 25", Table1[[#This Row],[Age]]&lt;=35, "Between 25-35", Table1[[#This Row],[Age]]&lt;=45, "Between 36-45", Table1[[#This Row],[Age]]&gt;45, "45+")</f>
        <v>45+</v>
      </c>
    </row>
    <row r="2215" spans="1:21" x14ac:dyDescent="0.3">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c r="T2215">
        <f>IF(Table1[[#This Row],[Discount_Applied]]="Yes", 1,0)</f>
        <v>0</v>
      </c>
      <c r="U2215" t="str">
        <f>_xlfn.IFS(Table1[[#This Row],[Age]]&lt;=25, "Below 25", Table1[[#This Row],[Age]]&lt;=35, "Between 25-35", Table1[[#This Row],[Age]]&lt;=45, "Between 36-45", Table1[[#This Row],[Age]]&gt;45, "45+")</f>
        <v>45+</v>
      </c>
    </row>
    <row r="2216" spans="1:21" x14ac:dyDescent="0.3">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c r="T2216">
        <f>IF(Table1[[#This Row],[Discount_Applied]]="Yes", 1,0)</f>
        <v>0</v>
      </c>
      <c r="U2216" t="str">
        <f>_xlfn.IFS(Table1[[#This Row],[Age]]&lt;=25, "Below 25", Table1[[#This Row],[Age]]&lt;=35, "Between 25-35", Table1[[#This Row],[Age]]&lt;=45, "Between 36-45", Table1[[#This Row],[Age]]&gt;45, "45+")</f>
        <v>45+</v>
      </c>
    </row>
    <row r="2217" spans="1:21" x14ac:dyDescent="0.3">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c r="T2217">
        <f>IF(Table1[[#This Row],[Discount_Applied]]="Yes", 1,0)</f>
        <v>0</v>
      </c>
      <c r="U2217" t="str">
        <f>_xlfn.IFS(Table1[[#This Row],[Age]]&lt;=25, "Below 25", Table1[[#This Row],[Age]]&lt;=35, "Between 25-35", Table1[[#This Row],[Age]]&lt;=45, "Between 36-45", Table1[[#This Row],[Age]]&gt;45, "45+")</f>
        <v>Below 25</v>
      </c>
    </row>
    <row r="2218" spans="1:21" x14ac:dyDescent="0.3">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c r="T2218">
        <f>IF(Table1[[#This Row],[Discount_Applied]]="Yes", 1,0)</f>
        <v>0</v>
      </c>
      <c r="U2218" t="str">
        <f>_xlfn.IFS(Table1[[#This Row],[Age]]&lt;=25, "Below 25", Table1[[#This Row],[Age]]&lt;=35, "Between 25-35", Table1[[#This Row],[Age]]&lt;=45, "Between 36-45", Table1[[#This Row],[Age]]&gt;45, "45+")</f>
        <v>Between 36-45</v>
      </c>
    </row>
    <row r="2219" spans="1:21" x14ac:dyDescent="0.3">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c r="T2219">
        <f>IF(Table1[[#This Row],[Discount_Applied]]="Yes", 1,0)</f>
        <v>0</v>
      </c>
      <c r="U2219" t="str">
        <f>_xlfn.IFS(Table1[[#This Row],[Age]]&lt;=25, "Below 25", Table1[[#This Row],[Age]]&lt;=35, "Between 25-35", Table1[[#This Row],[Age]]&lt;=45, "Between 36-45", Table1[[#This Row],[Age]]&gt;45, "45+")</f>
        <v>Between 25-35</v>
      </c>
    </row>
    <row r="2220" spans="1:21" x14ac:dyDescent="0.3">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c r="T2220">
        <f>IF(Table1[[#This Row],[Discount_Applied]]="Yes", 1,0)</f>
        <v>0</v>
      </c>
      <c r="U2220" t="str">
        <f>_xlfn.IFS(Table1[[#This Row],[Age]]&lt;=25, "Below 25", Table1[[#This Row],[Age]]&lt;=35, "Between 25-35", Table1[[#This Row],[Age]]&lt;=45, "Between 36-45", Table1[[#This Row],[Age]]&gt;45, "45+")</f>
        <v>45+</v>
      </c>
    </row>
    <row r="2221" spans="1:21" x14ac:dyDescent="0.3">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c r="T2221">
        <f>IF(Table1[[#This Row],[Discount_Applied]]="Yes", 1,0)</f>
        <v>0</v>
      </c>
      <c r="U2221" t="str">
        <f>_xlfn.IFS(Table1[[#This Row],[Age]]&lt;=25, "Below 25", Table1[[#This Row],[Age]]&lt;=35, "Between 25-35", Table1[[#This Row],[Age]]&lt;=45, "Between 36-45", Table1[[#This Row],[Age]]&gt;45, "45+")</f>
        <v>Between 25-35</v>
      </c>
    </row>
    <row r="2222" spans="1:21" x14ac:dyDescent="0.3">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c r="T2222">
        <f>IF(Table1[[#This Row],[Discount_Applied]]="Yes", 1,0)</f>
        <v>0</v>
      </c>
      <c r="U2222" t="str">
        <f>_xlfn.IFS(Table1[[#This Row],[Age]]&lt;=25, "Below 25", Table1[[#This Row],[Age]]&lt;=35, "Between 25-35", Table1[[#This Row],[Age]]&lt;=45, "Between 36-45", Table1[[#This Row],[Age]]&gt;45, "45+")</f>
        <v>Below 25</v>
      </c>
    </row>
    <row r="2223" spans="1:21" x14ac:dyDescent="0.3">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c r="T2223">
        <f>IF(Table1[[#This Row],[Discount_Applied]]="Yes", 1,0)</f>
        <v>0</v>
      </c>
      <c r="U2223" t="str">
        <f>_xlfn.IFS(Table1[[#This Row],[Age]]&lt;=25, "Below 25", Table1[[#This Row],[Age]]&lt;=35, "Between 25-35", Table1[[#This Row],[Age]]&lt;=45, "Between 36-45", Table1[[#This Row],[Age]]&gt;45, "45+")</f>
        <v>Below 25</v>
      </c>
    </row>
    <row r="2224" spans="1:21" x14ac:dyDescent="0.3">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c r="T2224">
        <f>IF(Table1[[#This Row],[Discount_Applied]]="Yes", 1,0)</f>
        <v>0</v>
      </c>
      <c r="U2224" t="str">
        <f>_xlfn.IFS(Table1[[#This Row],[Age]]&lt;=25, "Below 25", Table1[[#This Row],[Age]]&lt;=35, "Between 25-35", Table1[[#This Row],[Age]]&lt;=45, "Between 36-45", Table1[[#This Row],[Age]]&gt;45, "45+")</f>
        <v>Between 25-35</v>
      </c>
    </row>
    <row r="2225" spans="1:21" x14ac:dyDescent="0.3">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c r="T2225">
        <f>IF(Table1[[#This Row],[Discount_Applied]]="Yes", 1,0)</f>
        <v>0</v>
      </c>
      <c r="U2225" t="str">
        <f>_xlfn.IFS(Table1[[#This Row],[Age]]&lt;=25, "Below 25", Table1[[#This Row],[Age]]&lt;=35, "Between 25-35", Table1[[#This Row],[Age]]&lt;=45, "Between 36-45", Table1[[#This Row],[Age]]&gt;45, "45+")</f>
        <v>Between 25-35</v>
      </c>
    </row>
    <row r="2226" spans="1:21" x14ac:dyDescent="0.3">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c r="T2226">
        <f>IF(Table1[[#This Row],[Discount_Applied]]="Yes", 1,0)</f>
        <v>0</v>
      </c>
      <c r="U2226" t="str">
        <f>_xlfn.IFS(Table1[[#This Row],[Age]]&lt;=25, "Below 25", Table1[[#This Row],[Age]]&lt;=35, "Between 25-35", Table1[[#This Row],[Age]]&lt;=45, "Between 36-45", Table1[[#This Row],[Age]]&gt;45, "45+")</f>
        <v>Below 25</v>
      </c>
    </row>
    <row r="2227" spans="1:21" x14ac:dyDescent="0.3">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c r="T2227">
        <f>IF(Table1[[#This Row],[Discount_Applied]]="Yes", 1,0)</f>
        <v>0</v>
      </c>
      <c r="U2227" t="str">
        <f>_xlfn.IFS(Table1[[#This Row],[Age]]&lt;=25, "Below 25", Table1[[#This Row],[Age]]&lt;=35, "Between 25-35", Table1[[#This Row],[Age]]&lt;=45, "Between 36-45", Table1[[#This Row],[Age]]&gt;45, "45+")</f>
        <v>Between 36-45</v>
      </c>
    </row>
    <row r="2228" spans="1:21" x14ac:dyDescent="0.3">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c r="T2228">
        <f>IF(Table1[[#This Row],[Discount_Applied]]="Yes", 1,0)</f>
        <v>0</v>
      </c>
      <c r="U2228" t="str">
        <f>_xlfn.IFS(Table1[[#This Row],[Age]]&lt;=25, "Below 25", Table1[[#This Row],[Age]]&lt;=35, "Between 25-35", Table1[[#This Row],[Age]]&lt;=45, "Between 36-45", Table1[[#This Row],[Age]]&gt;45, "45+")</f>
        <v>Below 25</v>
      </c>
    </row>
    <row r="2229" spans="1:21" x14ac:dyDescent="0.3">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c r="T2229">
        <f>IF(Table1[[#This Row],[Discount_Applied]]="Yes", 1,0)</f>
        <v>0</v>
      </c>
      <c r="U2229" t="str">
        <f>_xlfn.IFS(Table1[[#This Row],[Age]]&lt;=25, "Below 25", Table1[[#This Row],[Age]]&lt;=35, "Between 25-35", Table1[[#This Row],[Age]]&lt;=45, "Between 36-45", Table1[[#This Row],[Age]]&gt;45, "45+")</f>
        <v>Between 36-45</v>
      </c>
    </row>
    <row r="2230" spans="1:21" x14ac:dyDescent="0.3">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c r="T2230">
        <f>IF(Table1[[#This Row],[Discount_Applied]]="Yes", 1,0)</f>
        <v>0</v>
      </c>
      <c r="U2230" t="str">
        <f>_xlfn.IFS(Table1[[#This Row],[Age]]&lt;=25, "Below 25", Table1[[#This Row],[Age]]&lt;=35, "Between 25-35", Table1[[#This Row],[Age]]&lt;=45, "Between 36-45", Table1[[#This Row],[Age]]&gt;45, "45+")</f>
        <v>45+</v>
      </c>
    </row>
    <row r="2231" spans="1:21" x14ac:dyDescent="0.3">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c r="T2231">
        <f>IF(Table1[[#This Row],[Discount_Applied]]="Yes", 1,0)</f>
        <v>0</v>
      </c>
      <c r="U2231" t="str">
        <f>_xlfn.IFS(Table1[[#This Row],[Age]]&lt;=25, "Below 25", Table1[[#This Row],[Age]]&lt;=35, "Between 25-35", Table1[[#This Row],[Age]]&lt;=45, "Between 36-45", Table1[[#This Row],[Age]]&gt;45, "45+")</f>
        <v>45+</v>
      </c>
    </row>
    <row r="2232" spans="1:21" x14ac:dyDescent="0.3">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c r="T2232">
        <f>IF(Table1[[#This Row],[Discount_Applied]]="Yes", 1,0)</f>
        <v>0</v>
      </c>
      <c r="U2232" t="str">
        <f>_xlfn.IFS(Table1[[#This Row],[Age]]&lt;=25, "Below 25", Table1[[#This Row],[Age]]&lt;=35, "Between 25-35", Table1[[#This Row],[Age]]&lt;=45, "Between 36-45", Table1[[#This Row],[Age]]&gt;45, "45+")</f>
        <v>45+</v>
      </c>
    </row>
    <row r="2233" spans="1:21" x14ac:dyDescent="0.3">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c r="T2233">
        <f>IF(Table1[[#This Row],[Discount_Applied]]="Yes", 1,0)</f>
        <v>0</v>
      </c>
      <c r="U2233" t="str">
        <f>_xlfn.IFS(Table1[[#This Row],[Age]]&lt;=25, "Below 25", Table1[[#This Row],[Age]]&lt;=35, "Between 25-35", Table1[[#This Row],[Age]]&lt;=45, "Between 36-45", Table1[[#This Row],[Age]]&gt;45, "45+")</f>
        <v>Between 25-35</v>
      </c>
    </row>
    <row r="2234" spans="1:21" x14ac:dyDescent="0.3">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c r="T2234">
        <f>IF(Table1[[#This Row],[Discount_Applied]]="Yes", 1,0)</f>
        <v>0</v>
      </c>
      <c r="U2234" t="str">
        <f>_xlfn.IFS(Table1[[#This Row],[Age]]&lt;=25, "Below 25", Table1[[#This Row],[Age]]&lt;=35, "Between 25-35", Table1[[#This Row],[Age]]&lt;=45, "Between 36-45", Table1[[#This Row],[Age]]&gt;45, "45+")</f>
        <v>45+</v>
      </c>
    </row>
    <row r="2235" spans="1:21" x14ac:dyDescent="0.3">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c r="T2235">
        <f>IF(Table1[[#This Row],[Discount_Applied]]="Yes", 1,0)</f>
        <v>0</v>
      </c>
      <c r="U2235" t="str">
        <f>_xlfn.IFS(Table1[[#This Row],[Age]]&lt;=25, "Below 25", Table1[[#This Row],[Age]]&lt;=35, "Between 25-35", Table1[[#This Row],[Age]]&lt;=45, "Between 36-45", Table1[[#This Row],[Age]]&gt;45, "45+")</f>
        <v>Between 36-45</v>
      </c>
    </row>
    <row r="2236" spans="1:21" x14ac:dyDescent="0.3">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c r="T2236">
        <f>IF(Table1[[#This Row],[Discount_Applied]]="Yes", 1,0)</f>
        <v>0</v>
      </c>
      <c r="U2236" t="str">
        <f>_xlfn.IFS(Table1[[#This Row],[Age]]&lt;=25, "Below 25", Table1[[#This Row],[Age]]&lt;=35, "Between 25-35", Table1[[#This Row],[Age]]&lt;=45, "Between 36-45", Table1[[#This Row],[Age]]&gt;45, "45+")</f>
        <v>Between 25-35</v>
      </c>
    </row>
    <row r="2237" spans="1:21" x14ac:dyDescent="0.3">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c r="T2237">
        <f>IF(Table1[[#This Row],[Discount_Applied]]="Yes", 1,0)</f>
        <v>0</v>
      </c>
      <c r="U2237" t="str">
        <f>_xlfn.IFS(Table1[[#This Row],[Age]]&lt;=25, "Below 25", Table1[[#This Row],[Age]]&lt;=35, "Between 25-35", Table1[[#This Row],[Age]]&lt;=45, "Between 36-45", Table1[[#This Row],[Age]]&gt;45, "45+")</f>
        <v>Between 36-45</v>
      </c>
    </row>
    <row r="2238" spans="1:21" x14ac:dyDescent="0.3">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c r="T2238">
        <f>IF(Table1[[#This Row],[Discount_Applied]]="Yes", 1,0)</f>
        <v>0</v>
      </c>
      <c r="U2238" t="str">
        <f>_xlfn.IFS(Table1[[#This Row],[Age]]&lt;=25, "Below 25", Table1[[#This Row],[Age]]&lt;=35, "Between 25-35", Table1[[#This Row],[Age]]&lt;=45, "Between 36-45", Table1[[#This Row],[Age]]&gt;45, "45+")</f>
        <v>Below 25</v>
      </c>
    </row>
    <row r="2239" spans="1:21" x14ac:dyDescent="0.3">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c r="T2239">
        <f>IF(Table1[[#This Row],[Discount_Applied]]="Yes", 1,0)</f>
        <v>0</v>
      </c>
      <c r="U2239" t="str">
        <f>_xlfn.IFS(Table1[[#This Row],[Age]]&lt;=25, "Below 25", Table1[[#This Row],[Age]]&lt;=35, "Between 25-35", Table1[[#This Row],[Age]]&lt;=45, "Between 36-45", Table1[[#This Row],[Age]]&gt;45, "45+")</f>
        <v>Between 36-45</v>
      </c>
    </row>
    <row r="2240" spans="1:21" x14ac:dyDescent="0.3">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c r="T2240">
        <f>IF(Table1[[#This Row],[Discount_Applied]]="Yes", 1,0)</f>
        <v>0</v>
      </c>
      <c r="U2240" t="str">
        <f>_xlfn.IFS(Table1[[#This Row],[Age]]&lt;=25, "Below 25", Table1[[#This Row],[Age]]&lt;=35, "Between 25-35", Table1[[#This Row],[Age]]&lt;=45, "Between 36-45", Table1[[#This Row],[Age]]&gt;45, "45+")</f>
        <v>Between 36-45</v>
      </c>
    </row>
    <row r="2241" spans="1:21" x14ac:dyDescent="0.3">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c r="T2241">
        <f>IF(Table1[[#This Row],[Discount_Applied]]="Yes", 1,0)</f>
        <v>0</v>
      </c>
      <c r="U2241" t="str">
        <f>_xlfn.IFS(Table1[[#This Row],[Age]]&lt;=25, "Below 25", Table1[[#This Row],[Age]]&lt;=35, "Between 25-35", Table1[[#This Row],[Age]]&lt;=45, "Between 36-45", Table1[[#This Row],[Age]]&gt;45, "45+")</f>
        <v>Between 36-45</v>
      </c>
    </row>
    <row r="2242" spans="1:21" x14ac:dyDescent="0.3">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c r="T2242">
        <f>IF(Table1[[#This Row],[Discount_Applied]]="Yes", 1,0)</f>
        <v>0</v>
      </c>
      <c r="U2242" t="str">
        <f>_xlfn.IFS(Table1[[#This Row],[Age]]&lt;=25, "Below 25", Table1[[#This Row],[Age]]&lt;=35, "Between 25-35", Table1[[#This Row],[Age]]&lt;=45, "Between 36-45", Table1[[#This Row],[Age]]&gt;45, "45+")</f>
        <v>45+</v>
      </c>
    </row>
    <row r="2243" spans="1:21" x14ac:dyDescent="0.3">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c r="T2243">
        <f>IF(Table1[[#This Row],[Discount_Applied]]="Yes", 1,0)</f>
        <v>0</v>
      </c>
      <c r="U2243" t="str">
        <f>_xlfn.IFS(Table1[[#This Row],[Age]]&lt;=25, "Below 25", Table1[[#This Row],[Age]]&lt;=35, "Between 25-35", Table1[[#This Row],[Age]]&lt;=45, "Between 36-45", Table1[[#This Row],[Age]]&gt;45, "45+")</f>
        <v>Below 25</v>
      </c>
    </row>
    <row r="2244" spans="1:21" x14ac:dyDescent="0.3">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c r="T2244">
        <f>IF(Table1[[#This Row],[Discount_Applied]]="Yes", 1,0)</f>
        <v>0</v>
      </c>
      <c r="U2244" t="str">
        <f>_xlfn.IFS(Table1[[#This Row],[Age]]&lt;=25, "Below 25", Table1[[#This Row],[Age]]&lt;=35, "Between 25-35", Table1[[#This Row],[Age]]&lt;=45, "Between 36-45", Table1[[#This Row],[Age]]&gt;45, "45+")</f>
        <v>Below 25</v>
      </c>
    </row>
    <row r="2245" spans="1:21" x14ac:dyDescent="0.3">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c r="T2245">
        <f>IF(Table1[[#This Row],[Discount_Applied]]="Yes", 1,0)</f>
        <v>0</v>
      </c>
      <c r="U2245" t="str">
        <f>_xlfn.IFS(Table1[[#This Row],[Age]]&lt;=25, "Below 25", Table1[[#This Row],[Age]]&lt;=35, "Between 25-35", Table1[[#This Row],[Age]]&lt;=45, "Between 36-45", Table1[[#This Row],[Age]]&gt;45, "45+")</f>
        <v>45+</v>
      </c>
    </row>
    <row r="2246" spans="1:21" x14ac:dyDescent="0.3">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c r="T2246">
        <f>IF(Table1[[#This Row],[Discount_Applied]]="Yes", 1,0)</f>
        <v>0</v>
      </c>
      <c r="U2246" t="str">
        <f>_xlfn.IFS(Table1[[#This Row],[Age]]&lt;=25, "Below 25", Table1[[#This Row],[Age]]&lt;=35, "Between 25-35", Table1[[#This Row],[Age]]&lt;=45, "Between 36-45", Table1[[#This Row],[Age]]&gt;45, "45+")</f>
        <v>Between 25-35</v>
      </c>
    </row>
    <row r="2247" spans="1:21" x14ac:dyDescent="0.3">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c r="T2247">
        <f>IF(Table1[[#This Row],[Discount_Applied]]="Yes", 1,0)</f>
        <v>0</v>
      </c>
      <c r="U2247" t="str">
        <f>_xlfn.IFS(Table1[[#This Row],[Age]]&lt;=25, "Below 25", Table1[[#This Row],[Age]]&lt;=35, "Between 25-35", Table1[[#This Row],[Age]]&lt;=45, "Between 36-45", Table1[[#This Row],[Age]]&gt;45, "45+")</f>
        <v>45+</v>
      </c>
    </row>
    <row r="2248" spans="1:21" x14ac:dyDescent="0.3">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c r="T2248">
        <f>IF(Table1[[#This Row],[Discount_Applied]]="Yes", 1,0)</f>
        <v>0</v>
      </c>
      <c r="U2248" t="str">
        <f>_xlfn.IFS(Table1[[#This Row],[Age]]&lt;=25, "Below 25", Table1[[#This Row],[Age]]&lt;=35, "Between 25-35", Table1[[#This Row],[Age]]&lt;=45, "Between 36-45", Table1[[#This Row],[Age]]&gt;45, "45+")</f>
        <v>45+</v>
      </c>
    </row>
    <row r="2249" spans="1:21" x14ac:dyDescent="0.3">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c r="T2249">
        <f>IF(Table1[[#This Row],[Discount_Applied]]="Yes", 1,0)</f>
        <v>0</v>
      </c>
      <c r="U2249" t="str">
        <f>_xlfn.IFS(Table1[[#This Row],[Age]]&lt;=25, "Below 25", Table1[[#This Row],[Age]]&lt;=35, "Between 25-35", Table1[[#This Row],[Age]]&lt;=45, "Between 36-45", Table1[[#This Row],[Age]]&gt;45, "45+")</f>
        <v>Between 25-35</v>
      </c>
    </row>
    <row r="2250" spans="1:21" x14ac:dyDescent="0.3">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c r="T2250">
        <f>IF(Table1[[#This Row],[Discount_Applied]]="Yes", 1,0)</f>
        <v>0</v>
      </c>
      <c r="U2250" t="str">
        <f>_xlfn.IFS(Table1[[#This Row],[Age]]&lt;=25, "Below 25", Table1[[#This Row],[Age]]&lt;=35, "Between 25-35", Table1[[#This Row],[Age]]&lt;=45, "Between 36-45", Table1[[#This Row],[Age]]&gt;45, "45+")</f>
        <v>45+</v>
      </c>
    </row>
    <row r="2251" spans="1:21" x14ac:dyDescent="0.3">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c r="T2251">
        <f>IF(Table1[[#This Row],[Discount_Applied]]="Yes", 1,0)</f>
        <v>0</v>
      </c>
      <c r="U2251" t="str">
        <f>_xlfn.IFS(Table1[[#This Row],[Age]]&lt;=25, "Below 25", Table1[[#This Row],[Age]]&lt;=35, "Between 25-35", Table1[[#This Row],[Age]]&lt;=45, "Between 36-45", Table1[[#This Row],[Age]]&gt;45, "45+")</f>
        <v>Between 36-45</v>
      </c>
    </row>
    <row r="2252" spans="1:21" x14ac:dyDescent="0.3">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c r="T2252">
        <f>IF(Table1[[#This Row],[Discount_Applied]]="Yes", 1,0)</f>
        <v>0</v>
      </c>
      <c r="U2252" t="str">
        <f>_xlfn.IFS(Table1[[#This Row],[Age]]&lt;=25, "Below 25", Table1[[#This Row],[Age]]&lt;=35, "Between 25-35", Table1[[#This Row],[Age]]&lt;=45, "Between 36-45", Table1[[#This Row],[Age]]&gt;45, "45+")</f>
        <v>Between 36-45</v>
      </c>
    </row>
    <row r="2253" spans="1:21" x14ac:dyDescent="0.3">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c r="T2253">
        <f>IF(Table1[[#This Row],[Discount_Applied]]="Yes", 1,0)</f>
        <v>0</v>
      </c>
      <c r="U2253" t="str">
        <f>_xlfn.IFS(Table1[[#This Row],[Age]]&lt;=25, "Below 25", Table1[[#This Row],[Age]]&lt;=35, "Between 25-35", Table1[[#This Row],[Age]]&lt;=45, "Between 36-45", Table1[[#This Row],[Age]]&gt;45, "45+")</f>
        <v>Between 25-35</v>
      </c>
    </row>
    <row r="2254" spans="1:21" x14ac:dyDescent="0.3">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c r="T2254">
        <f>IF(Table1[[#This Row],[Discount_Applied]]="Yes", 1,0)</f>
        <v>0</v>
      </c>
      <c r="U2254" t="str">
        <f>_xlfn.IFS(Table1[[#This Row],[Age]]&lt;=25, "Below 25", Table1[[#This Row],[Age]]&lt;=35, "Between 25-35", Table1[[#This Row],[Age]]&lt;=45, "Between 36-45", Table1[[#This Row],[Age]]&gt;45, "45+")</f>
        <v>45+</v>
      </c>
    </row>
    <row r="2255" spans="1:21" x14ac:dyDescent="0.3">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c r="T2255">
        <f>IF(Table1[[#This Row],[Discount_Applied]]="Yes", 1,0)</f>
        <v>0</v>
      </c>
      <c r="U2255" t="str">
        <f>_xlfn.IFS(Table1[[#This Row],[Age]]&lt;=25, "Below 25", Table1[[#This Row],[Age]]&lt;=35, "Between 25-35", Table1[[#This Row],[Age]]&lt;=45, "Between 36-45", Table1[[#This Row],[Age]]&gt;45, "45+")</f>
        <v>45+</v>
      </c>
    </row>
    <row r="2256" spans="1:21" x14ac:dyDescent="0.3">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c r="T2256">
        <f>IF(Table1[[#This Row],[Discount_Applied]]="Yes", 1,0)</f>
        <v>0</v>
      </c>
      <c r="U2256" t="str">
        <f>_xlfn.IFS(Table1[[#This Row],[Age]]&lt;=25, "Below 25", Table1[[#This Row],[Age]]&lt;=35, "Between 25-35", Table1[[#This Row],[Age]]&lt;=45, "Between 36-45", Table1[[#This Row],[Age]]&gt;45, "45+")</f>
        <v>Below 25</v>
      </c>
    </row>
    <row r="2257" spans="1:21" x14ac:dyDescent="0.3">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c r="T2257">
        <f>IF(Table1[[#This Row],[Discount_Applied]]="Yes", 1,0)</f>
        <v>0</v>
      </c>
      <c r="U2257" t="str">
        <f>_xlfn.IFS(Table1[[#This Row],[Age]]&lt;=25, "Below 25", Table1[[#This Row],[Age]]&lt;=35, "Between 25-35", Table1[[#This Row],[Age]]&lt;=45, "Between 36-45", Table1[[#This Row],[Age]]&gt;45, "45+")</f>
        <v>45+</v>
      </c>
    </row>
    <row r="2258" spans="1:21" x14ac:dyDescent="0.3">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c r="T2258">
        <f>IF(Table1[[#This Row],[Discount_Applied]]="Yes", 1,0)</f>
        <v>0</v>
      </c>
      <c r="U2258" t="str">
        <f>_xlfn.IFS(Table1[[#This Row],[Age]]&lt;=25, "Below 25", Table1[[#This Row],[Age]]&lt;=35, "Between 25-35", Table1[[#This Row],[Age]]&lt;=45, "Between 36-45", Table1[[#This Row],[Age]]&gt;45, "45+")</f>
        <v>Between 25-35</v>
      </c>
    </row>
    <row r="2259" spans="1:21" x14ac:dyDescent="0.3">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c r="T2259">
        <f>IF(Table1[[#This Row],[Discount_Applied]]="Yes", 1,0)</f>
        <v>0</v>
      </c>
      <c r="U2259" t="str">
        <f>_xlfn.IFS(Table1[[#This Row],[Age]]&lt;=25, "Below 25", Table1[[#This Row],[Age]]&lt;=35, "Between 25-35", Table1[[#This Row],[Age]]&lt;=45, "Between 36-45", Table1[[#This Row],[Age]]&gt;45, "45+")</f>
        <v>Between 36-45</v>
      </c>
    </row>
    <row r="2260" spans="1:21" x14ac:dyDescent="0.3">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c r="T2260">
        <f>IF(Table1[[#This Row],[Discount_Applied]]="Yes", 1,0)</f>
        <v>0</v>
      </c>
      <c r="U2260" t="str">
        <f>_xlfn.IFS(Table1[[#This Row],[Age]]&lt;=25, "Below 25", Table1[[#This Row],[Age]]&lt;=35, "Between 25-35", Table1[[#This Row],[Age]]&lt;=45, "Between 36-45", Table1[[#This Row],[Age]]&gt;45, "45+")</f>
        <v>Below 25</v>
      </c>
    </row>
    <row r="2261" spans="1:21" x14ac:dyDescent="0.3">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c r="T2261">
        <f>IF(Table1[[#This Row],[Discount_Applied]]="Yes", 1,0)</f>
        <v>0</v>
      </c>
      <c r="U2261" t="str">
        <f>_xlfn.IFS(Table1[[#This Row],[Age]]&lt;=25, "Below 25", Table1[[#This Row],[Age]]&lt;=35, "Between 25-35", Table1[[#This Row],[Age]]&lt;=45, "Between 36-45", Table1[[#This Row],[Age]]&gt;45, "45+")</f>
        <v>45+</v>
      </c>
    </row>
    <row r="2262" spans="1:21" x14ac:dyDescent="0.3">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c r="T2262">
        <f>IF(Table1[[#This Row],[Discount_Applied]]="Yes", 1,0)</f>
        <v>0</v>
      </c>
      <c r="U2262" t="str">
        <f>_xlfn.IFS(Table1[[#This Row],[Age]]&lt;=25, "Below 25", Table1[[#This Row],[Age]]&lt;=35, "Between 25-35", Table1[[#This Row],[Age]]&lt;=45, "Between 36-45", Table1[[#This Row],[Age]]&gt;45, "45+")</f>
        <v>Between 36-45</v>
      </c>
    </row>
    <row r="2263" spans="1:21" x14ac:dyDescent="0.3">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c r="T2263">
        <f>IF(Table1[[#This Row],[Discount_Applied]]="Yes", 1,0)</f>
        <v>0</v>
      </c>
      <c r="U2263" t="str">
        <f>_xlfn.IFS(Table1[[#This Row],[Age]]&lt;=25, "Below 25", Table1[[#This Row],[Age]]&lt;=35, "Between 25-35", Table1[[#This Row],[Age]]&lt;=45, "Between 36-45", Table1[[#This Row],[Age]]&gt;45, "45+")</f>
        <v>45+</v>
      </c>
    </row>
    <row r="2264" spans="1:21" x14ac:dyDescent="0.3">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c r="T2264">
        <f>IF(Table1[[#This Row],[Discount_Applied]]="Yes", 1,0)</f>
        <v>0</v>
      </c>
      <c r="U2264" t="str">
        <f>_xlfn.IFS(Table1[[#This Row],[Age]]&lt;=25, "Below 25", Table1[[#This Row],[Age]]&lt;=35, "Between 25-35", Table1[[#This Row],[Age]]&lt;=45, "Between 36-45", Table1[[#This Row],[Age]]&gt;45, "45+")</f>
        <v>45+</v>
      </c>
    </row>
    <row r="2265" spans="1:21" x14ac:dyDescent="0.3">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c r="T2265">
        <f>IF(Table1[[#This Row],[Discount_Applied]]="Yes", 1,0)</f>
        <v>0</v>
      </c>
      <c r="U2265" t="str">
        <f>_xlfn.IFS(Table1[[#This Row],[Age]]&lt;=25, "Below 25", Table1[[#This Row],[Age]]&lt;=35, "Between 25-35", Table1[[#This Row],[Age]]&lt;=45, "Between 36-45", Table1[[#This Row],[Age]]&gt;45, "45+")</f>
        <v>Between 36-45</v>
      </c>
    </row>
    <row r="2266" spans="1:21" x14ac:dyDescent="0.3">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c r="T2266">
        <f>IF(Table1[[#This Row],[Discount_Applied]]="Yes", 1,0)</f>
        <v>0</v>
      </c>
      <c r="U2266" t="str">
        <f>_xlfn.IFS(Table1[[#This Row],[Age]]&lt;=25, "Below 25", Table1[[#This Row],[Age]]&lt;=35, "Between 25-35", Table1[[#This Row],[Age]]&lt;=45, "Between 36-45", Table1[[#This Row],[Age]]&gt;45, "45+")</f>
        <v>45+</v>
      </c>
    </row>
    <row r="2267" spans="1:21" x14ac:dyDescent="0.3">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c r="T2267">
        <f>IF(Table1[[#This Row],[Discount_Applied]]="Yes", 1,0)</f>
        <v>0</v>
      </c>
      <c r="U2267" t="str">
        <f>_xlfn.IFS(Table1[[#This Row],[Age]]&lt;=25, "Below 25", Table1[[#This Row],[Age]]&lt;=35, "Between 25-35", Table1[[#This Row],[Age]]&lt;=45, "Between 36-45", Table1[[#This Row],[Age]]&gt;45, "45+")</f>
        <v>Between 36-45</v>
      </c>
    </row>
    <row r="2268" spans="1:21" x14ac:dyDescent="0.3">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c r="T2268">
        <f>IF(Table1[[#This Row],[Discount_Applied]]="Yes", 1,0)</f>
        <v>0</v>
      </c>
      <c r="U2268" t="str">
        <f>_xlfn.IFS(Table1[[#This Row],[Age]]&lt;=25, "Below 25", Table1[[#This Row],[Age]]&lt;=35, "Between 25-35", Table1[[#This Row],[Age]]&lt;=45, "Between 36-45", Table1[[#This Row],[Age]]&gt;45, "45+")</f>
        <v>Below 25</v>
      </c>
    </row>
    <row r="2269" spans="1:21" x14ac:dyDescent="0.3">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c r="T2269">
        <f>IF(Table1[[#This Row],[Discount_Applied]]="Yes", 1,0)</f>
        <v>0</v>
      </c>
      <c r="U2269" t="str">
        <f>_xlfn.IFS(Table1[[#This Row],[Age]]&lt;=25, "Below 25", Table1[[#This Row],[Age]]&lt;=35, "Between 25-35", Table1[[#This Row],[Age]]&lt;=45, "Between 36-45", Table1[[#This Row],[Age]]&gt;45, "45+")</f>
        <v>Between 25-35</v>
      </c>
    </row>
    <row r="2270" spans="1:21" x14ac:dyDescent="0.3">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c r="T2270">
        <f>IF(Table1[[#This Row],[Discount_Applied]]="Yes", 1,0)</f>
        <v>0</v>
      </c>
      <c r="U2270" t="str">
        <f>_xlfn.IFS(Table1[[#This Row],[Age]]&lt;=25, "Below 25", Table1[[#This Row],[Age]]&lt;=35, "Between 25-35", Table1[[#This Row],[Age]]&lt;=45, "Between 36-45", Table1[[#This Row],[Age]]&gt;45, "45+")</f>
        <v>45+</v>
      </c>
    </row>
    <row r="2271" spans="1:21" x14ac:dyDescent="0.3">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c r="T2271">
        <f>IF(Table1[[#This Row],[Discount_Applied]]="Yes", 1,0)</f>
        <v>0</v>
      </c>
      <c r="U2271" t="str">
        <f>_xlfn.IFS(Table1[[#This Row],[Age]]&lt;=25, "Below 25", Table1[[#This Row],[Age]]&lt;=35, "Between 25-35", Table1[[#This Row],[Age]]&lt;=45, "Between 36-45", Table1[[#This Row],[Age]]&gt;45, "45+")</f>
        <v>45+</v>
      </c>
    </row>
    <row r="2272" spans="1:21" x14ac:dyDescent="0.3">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c r="T2272">
        <f>IF(Table1[[#This Row],[Discount_Applied]]="Yes", 1,0)</f>
        <v>0</v>
      </c>
      <c r="U2272" t="str">
        <f>_xlfn.IFS(Table1[[#This Row],[Age]]&lt;=25, "Below 25", Table1[[#This Row],[Age]]&lt;=35, "Between 25-35", Table1[[#This Row],[Age]]&lt;=45, "Between 36-45", Table1[[#This Row],[Age]]&gt;45, "45+")</f>
        <v>Between 25-35</v>
      </c>
    </row>
    <row r="2273" spans="1:21" x14ac:dyDescent="0.3">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c r="T2273">
        <f>IF(Table1[[#This Row],[Discount_Applied]]="Yes", 1,0)</f>
        <v>0</v>
      </c>
      <c r="U2273" t="str">
        <f>_xlfn.IFS(Table1[[#This Row],[Age]]&lt;=25, "Below 25", Table1[[#This Row],[Age]]&lt;=35, "Between 25-35", Table1[[#This Row],[Age]]&lt;=45, "Between 36-45", Table1[[#This Row],[Age]]&gt;45, "45+")</f>
        <v>Between 25-35</v>
      </c>
    </row>
    <row r="2274" spans="1:21" x14ac:dyDescent="0.3">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c r="T2274">
        <f>IF(Table1[[#This Row],[Discount_Applied]]="Yes", 1,0)</f>
        <v>0</v>
      </c>
      <c r="U2274" t="str">
        <f>_xlfn.IFS(Table1[[#This Row],[Age]]&lt;=25, "Below 25", Table1[[#This Row],[Age]]&lt;=35, "Between 25-35", Table1[[#This Row],[Age]]&lt;=45, "Between 36-45", Table1[[#This Row],[Age]]&gt;45, "45+")</f>
        <v>Between 25-35</v>
      </c>
    </row>
    <row r="2275" spans="1:21" x14ac:dyDescent="0.3">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c r="T2275">
        <f>IF(Table1[[#This Row],[Discount_Applied]]="Yes", 1,0)</f>
        <v>0</v>
      </c>
      <c r="U2275" t="str">
        <f>_xlfn.IFS(Table1[[#This Row],[Age]]&lt;=25, "Below 25", Table1[[#This Row],[Age]]&lt;=35, "Between 25-35", Table1[[#This Row],[Age]]&lt;=45, "Between 36-45", Table1[[#This Row],[Age]]&gt;45, "45+")</f>
        <v>45+</v>
      </c>
    </row>
    <row r="2276" spans="1:21" x14ac:dyDescent="0.3">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c r="T2276">
        <f>IF(Table1[[#This Row],[Discount_Applied]]="Yes", 1,0)</f>
        <v>0</v>
      </c>
      <c r="U2276" t="str">
        <f>_xlfn.IFS(Table1[[#This Row],[Age]]&lt;=25, "Below 25", Table1[[#This Row],[Age]]&lt;=35, "Between 25-35", Table1[[#This Row],[Age]]&lt;=45, "Between 36-45", Table1[[#This Row],[Age]]&gt;45, "45+")</f>
        <v>45+</v>
      </c>
    </row>
    <row r="2277" spans="1:21" x14ac:dyDescent="0.3">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c r="T2277">
        <f>IF(Table1[[#This Row],[Discount_Applied]]="Yes", 1,0)</f>
        <v>0</v>
      </c>
      <c r="U2277" t="str">
        <f>_xlfn.IFS(Table1[[#This Row],[Age]]&lt;=25, "Below 25", Table1[[#This Row],[Age]]&lt;=35, "Between 25-35", Table1[[#This Row],[Age]]&lt;=45, "Between 36-45", Table1[[#This Row],[Age]]&gt;45, "45+")</f>
        <v>Between 25-35</v>
      </c>
    </row>
    <row r="2278" spans="1:21" x14ac:dyDescent="0.3">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c r="T2278">
        <f>IF(Table1[[#This Row],[Discount_Applied]]="Yes", 1,0)</f>
        <v>0</v>
      </c>
      <c r="U2278" t="str">
        <f>_xlfn.IFS(Table1[[#This Row],[Age]]&lt;=25, "Below 25", Table1[[#This Row],[Age]]&lt;=35, "Between 25-35", Table1[[#This Row],[Age]]&lt;=45, "Between 36-45", Table1[[#This Row],[Age]]&gt;45, "45+")</f>
        <v>Between 25-35</v>
      </c>
    </row>
    <row r="2279" spans="1:21" x14ac:dyDescent="0.3">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c r="T2279">
        <f>IF(Table1[[#This Row],[Discount_Applied]]="Yes", 1,0)</f>
        <v>0</v>
      </c>
      <c r="U2279" t="str">
        <f>_xlfn.IFS(Table1[[#This Row],[Age]]&lt;=25, "Below 25", Table1[[#This Row],[Age]]&lt;=35, "Between 25-35", Table1[[#This Row],[Age]]&lt;=45, "Between 36-45", Table1[[#This Row],[Age]]&gt;45, "45+")</f>
        <v>Below 25</v>
      </c>
    </row>
    <row r="2280" spans="1:21" x14ac:dyDescent="0.3">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c r="T2280">
        <f>IF(Table1[[#This Row],[Discount_Applied]]="Yes", 1,0)</f>
        <v>0</v>
      </c>
      <c r="U2280" t="str">
        <f>_xlfn.IFS(Table1[[#This Row],[Age]]&lt;=25, "Below 25", Table1[[#This Row],[Age]]&lt;=35, "Between 25-35", Table1[[#This Row],[Age]]&lt;=45, "Between 36-45", Table1[[#This Row],[Age]]&gt;45, "45+")</f>
        <v>45+</v>
      </c>
    </row>
    <row r="2281" spans="1:21" x14ac:dyDescent="0.3">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c r="T2281">
        <f>IF(Table1[[#This Row],[Discount_Applied]]="Yes", 1,0)</f>
        <v>0</v>
      </c>
      <c r="U2281" t="str">
        <f>_xlfn.IFS(Table1[[#This Row],[Age]]&lt;=25, "Below 25", Table1[[#This Row],[Age]]&lt;=35, "Between 25-35", Table1[[#This Row],[Age]]&lt;=45, "Between 36-45", Table1[[#This Row],[Age]]&gt;45, "45+")</f>
        <v>45+</v>
      </c>
    </row>
    <row r="2282" spans="1:21" x14ac:dyDescent="0.3">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c r="T2282">
        <f>IF(Table1[[#This Row],[Discount_Applied]]="Yes", 1,0)</f>
        <v>0</v>
      </c>
      <c r="U2282" t="str">
        <f>_xlfn.IFS(Table1[[#This Row],[Age]]&lt;=25, "Below 25", Table1[[#This Row],[Age]]&lt;=35, "Between 25-35", Table1[[#This Row],[Age]]&lt;=45, "Between 36-45", Table1[[#This Row],[Age]]&gt;45, "45+")</f>
        <v>Below 25</v>
      </c>
    </row>
    <row r="2283" spans="1:21" x14ac:dyDescent="0.3">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c r="T2283">
        <f>IF(Table1[[#This Row],[Discount_Applied]]="Yes", 1,0)</f>
        <v>0</v>
      </c>
      <c r="U2283" t="str">
        <f>_xlfn.IFS(Table1[[#This Row],[Age]]&lt;=25, "Below 25", Table1[[#This Row],[Age]]&lt;=35, "Between 25-35", Table1[[#This Row],[Age]]&lt;=45, "Between 36-45", Table1[[#This Row],[Age]]&gt;45, "45+")</f>
        <v>Between 25-35</v>
      </c>
    </row>
    <row r="2284" spans="1:21" x14ac:dyDescent="0.3">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c r="T2284">
        <f>IF(Table1[[#This Row],[Discount_Applied]]="Yes", 1,0)</f>
        <v>0</v>
      </c>
      <c r="U2284" t="str">
        <f>_xlfn.IFS(Table1[[#This Row],[Age]]&lt;=25, "Below 25", Table1[[#This Row],[Age]]&lt;=35, "Between 25-35", Table1[[#This Row],[Age]]&lt;=45, "Between 36-45", Table1[[#This Row],[Age]]&gt;45, "45+")</f>
        <v>Below 25</v>
      </c>
    </row>
    <row r="2285" spans="1:21" x14ac:dyDescent="0.3">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c r="T2285">
        <f>IF(Table1[[#This Row],[Discount_Applied]]="Yes", 1,0)</f>
        <v>0</v>
      </c>
      <c r="U2285" t="str">
        <f>_xlfn.IFS(Table1[[#This Row],[Age]]&lt;=25, "Below 25", Table1[[#This Row],[Age]]&lt;=35, "Between 25-35", Table1[[#This Row],[Age]]&lt;=45, "Between 36-45", Table1[[#This Row],[Age]]&gt;45, "45+")</f>
        <v>Between 36-45</v>
      </c>
    </row>
    <row r="2286" spans="1:21" x14ac:dyDescent="0.3">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c r="T2286">
        <f>IF(Table1[[#This Row],[Discount_Applied]]="Yes", 1,0)</f>
        <v>0</v>
      </c>
      <c r="U2286" t="str">
        <f>_xlfn.IFS(Table1[[#This Row],[Age]]&lt;=25, "Below 25", Table1[[#This Row],[Age]]&lt;=35, "Between 25-35", Table1[[#This Row],[Age]]&lt;=45, "Between 36-45", Table1[[#This Row],[Age]]&gt;45, "45+")</f>
        <v>Between 25-35</v>
      </c>
    </row>
    <row r="2287" spans="1:21" x14ac:dyDescent="0.3">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c r="T2287">
        <f>IF(Table1[[#This Row],[Discount_Applied]]="Yes", 1,0)</f>
        <v>0</v>
      </c>
      <c r="U2287" t="str">
        <f>_xlfn.IFS(Table1[[#This Row],[Age]]&lt;=25, "Below 25", Table1[[#This Row],[Age]]&lt;=35, "Between 25-35", Table1[[#This Row],[Age]]&lt;=45, "Between 36-45", Table1[[#This Row],[Age]]&gt;45, "45+")</f>
        <v>Between 25-35</v>
      </c>
    </row>
    <row r="2288" spans="1:21" x14ac:dyDescent="0.3">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c r="T2288">
        <f>IF(Table1[[#This Row],[Discount_Applied]]="Yes", 1,0)</f>
        <v>0</v>
      </c>
      <c r="U2288" t="str">
        <f>_xlfn.IFS(Table1[[#This Row],[Age]]&lt;=25, "Below 25", Table1[[#This Row],[Age]]&lt;=35, "Between 25-35", Table1[[#This Row],[Age]]&lt;=45, "Between 36-45", Table1[[#This Row],[Age]]&gt;45, "45+")</f>
        <v>45+</v>
      </c>
    </row>
    <row r="2289" spans="1:21" x14ac:dyDescent="0.3">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c r="T2289">
        <f>IF(Table1[[#This Row],[Discount_Applied]]="Yes", 1,0)</f>
        <v>0</v>
      </c>
      <c r="U2289" t="str">
        <f>_xlfn.IFS(Table1[[#This Row],[Age]]&lt;=25, "Below 25", Table1[[#This Row],[Age]]&lt;=35, "Between 25-35", Table1[[#This Row],[Age]]&lt;=45, "Between 36-45", Table1[[#This Row],[Age]]&gt;45, "45+")</f>
        <v>45+</v>
      </c>
    </row>
    <row r="2290" spans="1:21" x14ac:dyDescent="0.3">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c r="T2290">
        <f>IF(Table1[[#This Row],[Discount_Applied]]="Yes", 1,0)</f>
        <v>0</v>
      </c>
      <c r="U2290" t="str">
        <f>_xlfn.IFS(Table1[[#This Row],[Age]]&lt;=25, "Below 25", Table1[[#This Row],[Age]]&lt;=35, "Between 25-35", Table1[[#This Row],[Age]]&lt;=45, "Between 36-45", Table1[[#This Row],[Age]]&gt;45, "45+")</f>
        <v>Between 25-35</v>
      </c>
    </row>
    <row r="2291" spans="1:21" x14ac:dyDescent="0.3">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c r="T2291">
        <f>IF(Table1[[#This Row],[Discount_Applied]]="Yes", 1,0)</f>
        <v>0</v>
      </c>
      <c r="U2291" t="str">
        <f>_xlfn.IFS(Table1[[#This Row],[Age]]&lt;=25, "Below 25", Table1[[#This Row],[Age]]&lt;=35, "Between 25-35", Table1[[#This Row],[Age]]&lt;=45, "Between 36-45", Table1[[#This Row],[Age]]&gt;45, "45+")</f>
        <v>45+</v>
      </c>
    </row>
    <row r="2292" spans="1:21" x14ac:dyDescent="0.3">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c r="T2292">
        <f>IF(Table1[[#This Row],[Discount_Applied]]="Yes", 1,0)</f>
        <v>0</v>
      </c>
      <c r="U2292" t="str">
        <f>_xlfn.IFS(Table1[[#This Row],[Age]]&lt;=25, "Below 25", Table1[[#This Row],[Age]]&lt;=35, "Between 25-35", Table1[[#This Row],[Age]]&lt;=45, "Between 36-45", Table1[[#This Row],[Age]]&gt;45, "45+")</f>
        <v>Between 36-45</v>
      </c>
    </row>
    <row r="2293" spans="1:21" x14ac:dyDescent="0.3">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c r="T2293">
        <f>IF(Table1[[#This Row],[Discount_Applied]]="Yes", 1,0)</f>
        <v>0</v>
      </c>
      <c r="U2293" t="str">
        <f>_xlfn.IFS(Table1[[#This Row],[Age]]&lt;=25, "Below 25", Table1[[#This Row],[Age]]&lt;=35, "Between 25-35", Table1[[#This Row],[Age]]&lt;=45, "Between 36-45", Table1[[#This Row],[Age]]&gt;45, "45+")</f>
        <v>Between 25-35</v>
      </c>
    </row>
    <row r="2294" spans="1:21" x14ac:dyDescent="0.3">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c r="T2294">
        <f>IF(Table1[[#This Row],[Discount_Applied]]="Yes", 1,0)</f>
        <v>0</v>
      </c>
      <c r="U2294" t="str">
        <f>_xlfn.IFS(Table1[[#This Row],[Age]]&lt;=25, "Below 25", Table1[[#This Row],[Age]]&lt;=35, "Between 25-35", Table1[[#This Row],[Age]]&lt;=45, "Between 36-45", Table1[[#This Row],[Age]]&gt;45, "45+")</f>
        <v>Between 36-45</v>
      </c>
    </row>
    <row r="2295" spans="1:21" x14ac:dyDescent="0.3">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c r="T2295">
        <f>IF(Table1[[#This Row],[Discount_Applied]]="Yes", 1,0)</f>
        <v>0</v>
      </c>
      <c r="U2295" t="str">
        <f>_xlfn.IFS(Table1[[#This Row],[Age]]&lt;=25, "Below 25", Table1[[#This Row],[Age]]&lt;=35, "Between 25-35", Table1[[#This Row],[Age]]&lt;=45, "Between 36-45", Table1[[#This Row],[Age]]&gt;45, "45+")</f>
        <v>Between 36-45</v>
      </c>
    </row>
    <row r="2296" spans="1:21" x14ac:dyDescent="0.3">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c r="T2296">
        <f>IF(Table1[[#This Row],[Discount_Applied]]="Yes", 1,0)</f>
        <v>0</v>
      </c>
      <c r="U2296" t="str">
        <f>_xlfn.IFS(Table1[[#This Row],[Age]]&lt;=25, "Below 25", Table1[[#This Row],[Age]]&lt;=35, "Between 25-35", Table1[[#This Row],[Age]]&lt;=45, "Between 36-45", Table1[[#This Row],[Age]]&gt;45, "45+")</f>
        <v>45+</v>
      </c>
    </row>
    <row r="2297" spans="1:21" x14ac:dyDescent="0.3">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c r="T2297">
        <f>IF(Table1[[#This Row],[Discount_Applied]]="Yes", 1,0)</f>
        <v>0</v>
      </c>
      <c r="U2297" t="str">
        <f>_xlfn.IFS(Table1[[#This Row],[Age]]&lt;=25, "Below 25", Table1[[#This Row],[Age]]&lt;=35, "Between 25-35", Table1[[#This Row],[Age]]&lt;=45, "Between 36-45", Table1[[#This Row],[Age]]&gt;45, "45+")</f>
        <v>45+</v>
      </c>
    </row>
    <row r="2298" spans="1:21" x14ac:dyDescent="0.3">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c r="T2298">
        <f>IF(Table1[[#This Row],[Discount_Applied]]="Yes", 1,0)</f>
        <v>0</v>
      </c>
      <c r="U2298" t="str">
        <f>_xlfn.IFS(Table1[[#This Row],[Age]]&lt;=25, "Below 25", Table1[[#This Row],[Age]]&lt;=35, "Between 25-35", Table1[[#This Row],[Age]]&lt;=45, "Between 36-45", Table1[[#This Row],[Age]]&gt;45, "45+")</f>
        <v>45+</v>
      </c>
    </row>
    <row r="2299" spans="1:21" x14ac:dyDescent="0.3">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c r="T2299">
        <f>IF(Table1[[#This Row],[Discount_Applied]]="Yes", 1,0)</f>
        <v>0</v>
      </c>
      <c r="U2299" t="str">
        <f>_xlfn.IFS(Table1[[#This Row],[Age]]&lt;=25, "Below 25", Table1[[#This Row],[Age]]&lt;=35, "Between 25-35", Table1[[#This Row],[Age]]&lt;=45, "Between 36-45", Table1[[#This Row],[Age]]&gt;45, "45+")</f>
        <v>45+</v>
      </c>
    </row>
    <row r="2300" spans="1:21" x14ac:dyDescent="0.3">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c r="T2300">
        <f>IF(Table1[[#This Row],[Discount_Applied]]="Yes", 1,0)</f>
        <v>0</v>
      </c>
      <c r="U2300" t="str">
        <f>_xlfn.IFS(Table1[[#This Row],[Age]]&lt;=25, "Below 25", Table1[[#This Row],[Age]]&lt;=35, "Between 25-35", Table1[[#This Row],[Age]]&lt;=45, "Between 36-45", Table1[[#This Row],[Age]]&gt;45, "45+")</f>
        <v>Between 36-45</v>
      </c>
    </row>
    <row r="2301" spans="1:21" x14ac:dyDescent="0.3">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c r="T2301">
        <f>IF(Table1[[#This Row],[Discount_Applied]]="Yes", 1,0)</f>
        <v>0</v>
      </c>
      <c r="U2301" t="str">
        <f>_xlfn.IFS(Table1[[#This Row],[Age]]&lt;=25, "Below 25", Table1[[#This Row],[Age]]&lt;=35, "Between 25-35", Table1[[#This Row],[Age]]&lt;=45, "Between 36-45", Table1[[#This Row],[Age]]&gt;45, "45+")</f>
        <v>45+</v>
      </c>
    </row>
    <row r="2302" spans="1:21" x14ac:dyDescent="0.3">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c r="T2302">
        <f>IF(Table1[[#This Row],[Discount_Applied]]="Yes", 1,0)</f>
        <v>0</v>
      </c>
      <c r="U2302" t="str">
        <f>_xlfn.IFS(Table1[[#This Row],[Age]]&lt;=25, "Below 25", Table1[[#This Row],[Age]]&lt;=35, "Between 25-35", Table1[[#This Row],[Age]]&lt;=45, "Between 36-45", Table1[[#This Row],[Age]]&gt;45, "45+")</f>
        <v>Below 25</v>
      </c>
    </row>
    <row r="2303" spans="1:21" x14ac:dyDescent="0.3">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c r="T2303">
        <f>IF(Table1[[#This Row],[Discount_Applied]]="Yes", 1,0)</f>
        <v>0</v>
      </c>
      <c r="U2303" t="str">
        <f>_xlfn.IFS(Table1[[#This Row],[Age]]&lt;=25, "Below 25", Table1[[#This Row],[Age]]&lt;=35, "Between 25-35", Table1[[#This Row],[Age]]&lt;=45, "Between 36-45", Table1[[#This Row],[Age]]&gt;45, "45+")</f>
        <v>Between 36-45</v>
      </c>
    </row>
    <row r="2304" spans="1:21" x14ac:dyDescent="0.3">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c r="T2304">
        <f>IF(Table1[[#This Row],[Discount_Applied]]="Yes", 1,0)</f>
        <v>0</v>
      </c>
      <c r="U2304" t="str">
        <f>_xlfn.IFS(Table1[[#This Row],[Age]]&lt;=25, "Below 25", Table1[[#This Row],[Age]]&lt;=35, "Between 25-35", Table1[[#This Row],[Age]]&lt;=45, "Between 36-45", Table1[[#This Row],[Age]]&gt;45, "45+")</f>
        <v>Between 36-45</v>
      </c>
    </row>
    <row r="2305" spans="1:21" x14ac:dyDescent="0.3">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c r="T2305">
        <f>IF(Table1[[#This Row],[Discount_Applied]]="Yes", 1,0)</f>
        <v>0</v>
      </c>
      <c r="U2305" t="str">
        <f>_xlfn.IFS(Table1[[#This Row],[Age]]&lt;=25, "Below 25", Table1[[#This Row],[Age]]&lt;=35, "Between 25-35", Table1[[#This Row],[Age]]&lt;=45, "Between 36-45", Table1[[#This Row],[Age]]&gt;45, "45+")</f>
        <v>45+</v>
      </c>
    </row>
    <row r="2306" spans="1:21" x14ac:dyDescent="0.3">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c r="T2306">
        <f>IF(Table1[[#This Row],[Discount_Applied]]="Yes", 1,0)</f>
        <v>0</v>
      </c>
      <c r="U2306" t="str">
        <f>_xlfn.IFS(Table1[[#This Row],[Age]]&lt;=25, "Below 25", Table1[[#This Row],[Age]]&lt;=35, "Between 25-35", Table1[[#This Row],[Age]]&lt;=45, "Between 36-45", Table1[[#This Row],[Age]]&gt;45, "45+")</f>
        <v>Between 25-35</v>
      </c>
    </row>
    <row r="2307" spans="1:21" x14ac:dyDescent="0.3">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c r="T2307">
        <f>IF(Table1[[#This Row],[Discount_Applied]]="Yes", 1,0)</f>
        <v>0</v>
      </c>
      <c r="U2307" t="str">
        <f>_xlfn.IFS(Table1[[#This Row],[Age]]&lt;=25, "Below 25", Table1[[#This Row],[Age]]&lt;=35, "Between 25-35", Table1[[#This Row],[Age]]&lt;=45, "Between 36-45", Table1[[#This Row],[Age]]&gt;45, "45+")</f>
        <v>45+</v>
      </c>
    </row>
    <row r="2308" spans="1:21" x14ac:dyDescent="0.3">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c r="T2308">
        <f>IF(Table1[[#This Row],[Discount_Applied]]="Yes", 1,0)</f>
        <v>0</v>
      </c>
      <c r="U2308" t="str">
        <f>_xlfn.IFS(Table1[[#This Row],[Age]]&lt;=25, "Below 25", Table1[[#This Row],[Age]]&lt;=35, "Between 25-35", Table1[[#This Row],[Age]]&lt;=45, "Between 36-45", Table1[[#This Row],[Age]]&gt;45, "45+")</f>
        <v>Between 25-35</v>
      </c>
    </row>
    <row r="2309" spans="1:21" x14ac:dyDescent="0.3">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c r="T2309">
        <f>IF(Table1[[#This Row],[Discount_Applied]]="Yes", 1,0)</f>
        <v>0</v>
      </c>
      <c r="U2309" t="str">
        <f>_xlfn.IFS(Table1[[#This Row],[Age]]&lt;=25, "Below 25", Table1[[#This Row],[Age]]&lt;=35, "Between 25-35", Table1[[#This Row],[Age]]&lt;=45, "Between 36-45", Table1[[#This Row],[Age]]&gt;45, "45+")</f>
        <v>Between 25-35</v>
      </c>
    </row>
    <row r="2310" spans="1:21" x14ac:dyDescent="0.3">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c r="T2310">
        <f>IF(Table1[[#This Row],[Discount_Applied]]="Yes", 1,0)</f>
        <v>0</v>
      </c>
      <c r="U2310" t="str">
        <f>_xlfn.IFS(Table1[[#This Row],[Age]]&lt;=25, "Below 25", Table1[[#This Row],[Age]]&lt;=35, "Between 25-35", Table1[[#This Row],[Age]]&lt;=45, "Between 36-45", Table1[[#This Row],[Age]]&gt;45, "45+")</f>
        <v>45+</v>
      </c>
    </row>
    <row r="2311" spans="1:21" x14ac:dyDescent="0.3">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c r="T2311">
        <f>IF(Table1[[#This Row],[Discount_Applied]]="Yes", 1,0)</f>
        <v>0</v>
      </c>
      <c r="U2311" t="str">
        <f>_xlfn.IFS(Table1[[#This Row],[Age]]&lt;=25, "Below 25", Table1[[#This Row],[Age]]&lt;=35, "Between 25-35", Table1[[#This Row],[Age]]&lt;=45, "Between 36-45", Table1[[#This Row],[Age]]&gt;45, "45+")</f>
        <v>45+</v>
      </c>
    </row>
    <row r="2312" spans="1:21" x14ac:dyDescent="0.3">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c r="T2312">
        <f>IF(Table1[[#This Row],[Discount_Applied]]="Yes", 1,0)</f>
        <v>0</v>
      </c>
      <c r="U2312" t="str">
        <f>_xlfn.IFS(Table1[[#This Row],[Age]]&lt;=25, "Below 25", Table1[[#This Row],[Age]]&lt;=35, "Between 25-35", Table1[[#This Row],[Age]]&lt;=45, "Between 36-45", Table1[[#This Row],[Age]]&gt;45, "45+")</f>
        <v>Between 25-35</v>
      </c>
    </row>
    <row r="2313" spans="1:21" x14ac:dyDescent="0.3">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c r="T2313">
        <f>IF(Table1[[#This Row],[Discount_Applied]]="Yes", 1,0)</f>
        <v>0</v>
      </c>
      <c r="U2313" t="str">
        <f>_xlfn.IFS(Table1[[#This Row],[Age]]&lt;=25, "Below 25", Table1[[#This Row],[Age]]&lt;=35, "Between 25-35", Table1[[#This Row],[Age]]&lt;=45, "Between 36-45", Table1[[#This Row],[Age]]&gt;45, "45+")</f>
        <v>Between 25-35</v>
      </c>
    </row>
    <row r="2314" spans="1:21" x14ac:dyDescent="0.3">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c r="T2314">
        <f>IF(Table1[[#This Row],[Discount_Applied]]="Yes", 1,0)</f>
        <v>0</v>
      </c>
      <c r="U2314" t="str">
        <f>_xlfn.IFS(Table1[[#This Row],[Age]]&lt;=25, "Below 25", Table1[[#This Row],[Age]]&lt;=35, "Between 25-35", Table1[[#This Row],[Age]]&lt;=45, "Between 36-45", Table1[[#This Row],[Age]]&gt;45, "45+")</f>
        <v>Below 25</v>
      </c>
    </row>
    <row r="2315" spans="1:21" x14ac:dyDescent="0.3">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c r="T2315">
        <f>IF(Table1[[#This Row],[Discount_Applied]]="Yes", 1,0)</f>
        <v>0</v>
      </c>
      <c r="U2315" t="str">
        <f>_xlfn.IFS(Table1[[#This Row],[Age]]&lt;=25, "Below 25", Table1[[#This Row],[Age]]&lt;=35, "Between 25-35", Table1[[#This Row],[Age]]&lt;=45, "Between 36-45", Table1[[#This Row],[Age]]&gt;45, "45+")</f>
        <v>45+</v>
      </c>
    </row>
    <row r="2316" spans="1:21" x14ac:dyDescent="0.3">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c r="T2316">
        <f>IF(Table1[[#This Row],[Discount_Applied]]="Yes", 1,0)</f>
        <v>0</v>
      </c>
      <c r="U2316" t="str">
        <f>_xlfn.IFS(Table1[[#This Row],[Age]]&lt;=25, "Below 25", Table1[[#This Row],[Age]]&lt;=35, "Between 25-35", Table1[[#This Row],[Age]]&lt;=45, "Between 36-45", Table1[[#This Row],[Age]]&gt;45, "45+")</f>
        <v>Between 36-45</v>
      </c>
    </row>
    <row r="2317" spans="1:21" x14ac:dyDescent="0.3">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c r="T2317">
        <f>IF(Table1[[#This Row],[Discount_Applied]]="Yes", 1,0)</f>
        <v>0</v>
      </c>
      <c r="U2317" t="str">
        <f>_xlfn.IFS(Table1[[#This Row],[Age]]&lt;=25, "Below 25", Table1[[#This Row],[Age]]&lt;=35, "Between 25-35", Table1[[#This Row],[Age]]&lt;=45, "Between 36-45", Table1[[#This Row],[Age]]&gt;45, "45+")</f>
        <v>45+</v>
      </c>
    </row>
    <row r="2318" spans="1:21" x14ac:dyDescent="0.3">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c r="T2318">
        <f>IF(Table1[[#This Row],[Discount_Applied]]="Yes", 1,0)</f>
        <v>0</v>
      </c>
      <c r="U2318" t="str">
        <f>_xlfn.IFS(Table1[[#This Row],[Age]]&lt;=25, "Below 25", Table1[[#This Row],[Age]]&lt;=35, "Between 25-35", Table1[[#This Row],[Age]]&lt;=45, "Between 36-45", Table1[[#This Row],[Age]]&gt;45, "45+")</f>
        <v>Between 25-35</v>
      </c>
    </row>
    <row r="2319" spans="1:21" x14ac:dyDescent="0.3">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c r="T2319">
        <f>IF(Table1[[#This Row],[Discount_Applied]]="Yes", 1,0)</f>
        <v>0</v>
      </c>
      <c r="U2319" t="str">
        <f>_xlfn.IFS(Table1[[#This Row],[Age]]&lt;=25, "Below 25", Table1[[#This Row],[Age]]&lt;=35, "Between 25-35", Table1[[#This Row],[Age]]&lt;=45, "Between 36-45", Table1[[#This Row],[Age]]&gt;45, "45+")</f>
        <v>45+</v>
      </c>
    </row>
    <row r="2320" spans="1:21" x14ac:dyDescent="0.3">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c r="T2320">
        <f>IF(Table1[[#This Row],[Discount_Applied]]="Yes", 1,0)</f>
        <v>0</v>
      </c>
      <c r="U2320" t="str">
        <f>_xlfn.IFS(Table1[[#This Row],[Age]]&lt;=25, "Below 25", Table1[[#This Row],[Age]]&lt;=35, "Between 25-35", Table1[[#This Row],[Age]]&lt;=45, "Between 36-45", Table1[[#This Row],[Age]]&gt;45, "45+")</f>
        <v>45+</v>
      </c>
    </row>
    <row r="2321" spans="1:21" x14ac:dyDescent="0.3">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c r="T2321">
        <f>IF(Table1[[#This Row],[Discount_Applied]]="Yes", 1,0)</f>
        <v>0</v>
      </c>
      <c r="U2321" t="str">
        <f>_xlfn.IFS(Table1[[#This Row],[Age]]&lt;=25, "Below 25", Table1[[#This Row],[Age]]&lt;=35, "Between 25-35", Table1[[#This Row],[Age]]&lt;=45, "Between 36-45", Table1[[#This Row],[Age]]&gt;45, "45+")</f>
        <v>45+</v>
      </c>
    </row>
    <row r="2322" spans="1:21" x14ac:dyDescent="0.3">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c r="T2322">
        <f>IF(Table1[[#This Row],[Discount_Applied]]="Yes", 1,0)</f>
        <v>0</v>
      </c>
      <c r="U2322" t="str">
        <f>_xlfn.IFS(Table1[[#This Row],[Age]]&lt;=25, "Below 25", Table1[[#This Row],[Age]]&lt;=35, "Between 25-35", Table1[[#This Row],[Age]]&lt;=45, "Between 36-45", Table1[[#This Row],[Age]]&gt;45, "45+")</f>
        <v>Between 25-35</v>
      </c>
    </row>
    <row r="2323" spans="1:21" x14ac:dyDescent="0.3">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c r="T2323">
        <f>IF(Table1[[#This Row],[Discount_Applied]]="Yes", 1,0)</f>
        <v>0</v>
      </c>
      <c r="U2323" t="str">
        <f>_xlfn.IFS(Table1[[#This Row],[Age]]&lt;=25, "Below 25", Table1[[#This Row],[Age]]&lt;=35, "Between 25-35", Table1[[#This Row],[Age]]&lt;=45, "Between 36-45", Table1[[#This Row],[Age]]&gt;45, "45+")</f>
        <v>45+</v>
      </c>
    </row>
    <row r="2324" spans="1:21" x14ac:dyDescent="0.3">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c r="T2324">
        <f>IF(Table1[[#This Row],[Discount_Applied]]="Yes", 1,0)</f>
        <v>0</v>
      </c>
      <c r="U2324" t="str">
        <f>_xlfn.IFS(Table1[[#This Row],[Age]]&lt;=25, "Below 25", Table1[[#This Row],[Age]]&lt;=35, "Between 25-35", Table1[[#This Row],[Age]]&lt;=45, "Between 36-45", Table1[[#This Row],[Age]]&gt;45, "45+")</f>
        <v>Between 36-45</v>
      </c>
    </row>
    <row r="2325" spans="1:21" x14ac:dyDescent="0.3">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c r="T2325">
        <f>IF(Table1[[#This Row],[Discount_Applied]]="Yes", 1,0)</f>
        <v>0</v>
      </c>
      <c r="U2325" t="str">
        <f>_xlfn.IFS(Table1[[#This Row],[Age]]&lt;=25, "Below 25", Table1[[#This Row],[Age]]&lt;=35, "Between 25-35", Table1[[#This Row],[Age]]&lt;=45, "Between 36-45", Table1[[#This Row],[Age]]&gt;45, "45+")</f>
        <v>Between 25-35</v>
      </c>
    </row>
    <row r="2326" spans="1:21" x14ac:dyDescent="0.3">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c r="T2326">
        <f>IF(Table1[[#This Row],[Discount_Applied]]="Yes", 1,0)</f>
        <v>0</v>
      </c>
      <c r="U2326" t="str">
        <f>_xlfn.IFS(Table1[[#This Row],[Age]]&lt;=25, "Below 25", Table1[[#This Row],[Age]]&lt;=35, "Between 25-35", Table1[[#This Row],[Age]]&lt;=45, "Between 36-45", Table1[[#This Row],[Age]]&gt;45, "45+")</f>
        <v>45+</v>
      </c>
    </row>
    <row r="2327" spans="1:21" x14ac:dyDescent="0.3">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c r="T2327">
        <f>IF(Table1[[#This Row],[Discount_Applied]]="Yes", 1,0)</f>
        <v>0</v>
      </c>
      <c r="U2327" t="str">
        <f>_xlfn.IFS(Table1[[#This Row],[Age]]&lt;=25, "Below 25", Table1[[#This Row],[Age]]&lt;=35, "Between 25-35", Table1[[#This Row],[Age]]&lt;=45, "Between 36-45", Table1[[#This Row],[Age]]&gt;45, "45+")</f>
        <v>Between 36-45</v>
      </c>
    </row>
    <row r="2328" spans="1:21" x14ac:dyDescent="0.3">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c r="T2328">
        <f>IF(Table1[[#This Row],[Discount_Applied]]="Yes", 1,0)</f>
        <v>0</v>
      </c>
      <c r="U2328" t="str">
        <f>_xlfn.IFS(Table1[[#This Row],[Age]]&lt;=25, "Below 25", Table1[[#This Row],[Age]]&lt;=35, "Between 25-35", Table1[[#This Row],[Age]]&lt;=45, "Between 36-45", Table1[[#This Row],[Age]]&gt;45, "45+")</f>
        <v>45+</v>
      </c>
    </row>
    <row r="2329" spans="1:21" x14ac:dyDescent="0.3">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c r="T2329">
        <f>IF(Table1[[#This Row],[Discount_Applied]]="Yes", 1,0)</f>
        <v>0</v>
      </c>
      <c r="U2329" t="str">
        <f>_xlfn.IFS(Table1[[#This Row],[Age]]&lt;=25, "Below 25", Table1[[#This Row],[Age]]&lt;=35, "Between 25-35", Table1[[#This Row],[Age]]&lt;=45, "Between 36-45", Table1[[#This Row],[Age]]&gt;45, "45+")</f>
        <v>Below 25</v>
      </c>
    </row>
    <row r="2330" spans="1:21" x14ac:dyDescent="0.3">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c r="T2330">
        <f>IF(Table1[[#This Row],[Discount_Applied]]="Yes", 1,0)</f>
        <v>0</v>
      </c>
      <c r="U2330" t="str">
        <f>_xlfn.IFS(Table1[[#This Row],[Age]]&lt;=25, "Below 25", Table1[[#This Row],[Age]]&lt;=35, "Between 25-35", Table1[[#This Row],[Age]]&lt;=45, "Between 36-45", Table1[[#This Row],[Age]]&gt;45, "45+")</f>
        <v>Between 36-45</v>
      </c>
    </row>
    <row r="2331" spans="1:21" x14ac:dyDescent="0.3">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c r="T2331">
        <f>IF(Table1[[#This Row],[Discount_Applied]]="Yes", 1,0)</f>
        <v>0</v>
      </c>
      <c r="U2331" t="str">
        <f>_xlfn.IFS(Table1[[#This Row],[Age]]&lt;=25, "Below 25", Table1[[#This Row],[Age]]&lt;=35, "Between 25-35", Table1[[#This Row],[Age]]&lt;=45, "Between 36-45", Table1[[#This Row],[Age]]&gt;45, "45+")</f>
        <v>45+</v>
      </c>
    </row>
    <row r="2332" spans="1:21" x14ac:dyDescent="0.3">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c r="T2332">
        <f>IF(Table1[[#This Row],[Discount_Applied]]="Yes", 1,0)</f>
        <v>0</v>
      </c>
      <c r="U2332" t="str">
        <f>_xlfn.IFS(Table1[[#This Row],[Age]]&lt;=25, "Below 25", Table1[[#This Row],[Age]]&lt;=35, "Between 25-35", Table1[[#This Row],[Age]]&lt;=45, "Between 36-45", Table1[[#This Row],[Age]]&gt;45, "45+")</f>
        <v>45+</v>
      </c>
    </row>
    <row r="2333" spans="1:21" x14ac:dyDescent="0.3">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c r="T2333">
        <f>IF(Table1[[#This Row],[Discount_Applied]]="Yes", 1,0)</f>
        <v>0</v>
      </c>
      <c r="U2333" t="str">
        <f>_xlfn.IFS(Table1[[#This Row],[Age]]&lt;=25, "Below 25", Table1[[#This Row],[Age]]&lt;=35, "Between 25-35", Table1[[#This Row],[Age]]&lt;=45, "Between 36-45", Table1[[#This Row],[Age]]&gt;45, "45+")</f>
        <v>45+</v>
      </c>
    </row>
    <row r="2334" spans="1:21" x14ac:dyDescent="0.3">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c r="T2334">
        <f>IF(Table1[[#This Row],[Discount_Applied]]="Yes", 1,0)</f>
        <v>0</v>
      </c>
      <c r="U2334" t="str">
        <f>_xlfn.IFS(Table1[[#This Row],[Age]]&lt;=25, "Below 25", Table1[[#This Row],[Age]]&lt;=35, "Between 25-35", Table1[[#This Row],[Age]]&lt;=45, "Between 36-45", Table1[[#This Row],[Age]]&gt;45, "45+")</f>
        <v>Between 36-45</v>
      </c>
    </row>
    <row r="2335" spans="1:21" x14ac:dyDescent="0.3">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c r="T2335">
        <f>IF(Table1[[#This Row],[Discount_Applied]]="Yes", 1,0)</f>
        <v>0</v>
      </c>
      <c r="U2335" t="str">
        <f>_xlfn.IFS(Table1[[#This Row],[Age]]&lt;=25, "Below 25", Table1[[#This Row],[Age]]&lt;=35, "Between 25-35", Table1[[#This Row],[Age]]&lt;=45, "Between 36-45", Table1[[#This Row],[Age]]&gt;45, "45+")</f>
        <v>Between 25-35</v>
      </c>
    </row>
    <row r="2336" spans="1:21" x14ac:dyDescent="0.3">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c r="T2336">
        <f>IF(Table1[[#This Row],[Discount_Applied]]="Yes", 1,0)</f>
        <v>0</v>
      </c>
      <c r="U2336" t="str">
        <f>_xlfn.IFS(Table1[[#This Row],[Age]]&lt;=25, "Below 25", Table1[[#This Row],[Age]]&lt;=35, "Between 25-35", Table1[[#This Row],[Age]]&lt;=45, "Between 36-45", Table1[[#This Row],[Age]]&gt;45, "45+")</f>
        <v>45+</v>
      </c>
    </row>
    <row r="2337" spans="1:21" x14ac:dyDescent="0.3">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c r="T2337">
        <f>IF(Table1[[#This Row],[Discount_Applied]]="Yes", 1,0)</f>
        <v>0</v>
      </c>
      <c r="U2337" t="str">
        <f>_xlfn.IFS(Table1[[#This Row],[Age]]&lt;=25, "Below 25", Table1[[#This Row],[Age]]&lt;=35, "Between 25-35", Table1[[#This Row],[Age]]&lt;=45, "Between 36-45", Table1[[#This Row],[Age]]&gt;45, "45+")</f>
        <v>Between 25-35</v>
      </c>
    </row>
    <row r="2338" spans="1:21" x14ac:dyDescent="0.3">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c r="T2338">
        <f>IF(Table1[[#This Row],[Discount_Applied]]="Yes", 1,0)</f>
        <v>0</v>
      </c>
      <c r="U2338" t="str">
        <f>_xlfn.IFS(Table1[[#This Row],[Age]]&lt;=25, "Below 25", Table1[[#This Row],[Age]]&lt;=35, "Between 25-35", Table1[[#This Row],[Age]]&lt;=45, "Between 36-45", Table1[[#This Row],[Age]]&gt;45, "45+")</f>
        <v>Below 25</v>
      </c>
    </row>
    <row r="2339" spans="1:21" x14ac:dyDescent="0.3">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c r="T2339">
        <f>IF(Table1[[#This Row],[Discount_Applied]]="Yes", 1,0)</f>
        <v>0</v>
      </c>
      <c r="U2339" t="str">
        <f>_xlfn.IFS(Table1[[#This Row],[Age]]&lt;=25, "Below 25", Table1[[#This Row],[Age]]&lt;=35, "Between 25-35", Table1[[#This Row],[Age]]&lt;=45, "Between 36-45", Table1[[#This Row],[Age]]&gt;45, "45+")</f>
        <v>Between 36-45</v>
      </c>
    </row>
    <row r="2340" spans="1:21" x14ac:dyDescent="0.3">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c r="T2340">
        <f>IF(Table1[[#This Row],[Discount_Applied]]="Yes", 1,0)</f>
        <v>0</v>
      </c>
      <c r="U2340" t="str">
        <f>_xlfn.IFS(Table1[[#This Row],[Age]]&lt;=25, "Below 25", Table1[[#This Row],[Age]]&lt;=35, "Between 25-35", Table1[[#This Row],[Age]]&lt;=45, "Between 36-45", Table1[[#This Row],[Age]]&gt;45, "45+")</f>
        <v>45+</v>
      </c>
    </row>
    <row r="2341" spans="1:21" x14ac:dyDescent="0.3">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c r="T2341">
        <f>IF(Table1[[#This Row],[Discount_Applied]]="Yes", 1,0)</f>
        <v>0</v>
      </c>
      <c r="U2341" t="str">
        <f>_xlfn.IFS(Table1[[#This Row],[Age]]&lt;=25, "Below 25", Table1[[#This Row],[Age]]&lt;=35, "Between 25-35", Table1[[#This Row],[Age]]&lt;=45, "Between 36-45", Table1[[#This Row],[Age]]&gt;45, "45+")</f>
        <v>Below 25</v>
      </c>
    </row>
    <row r="2342" spans="1:21" x14ac:dyDescent="0.3">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c r="T2342">
        <f>IF(Table1[[#This Row],[Discount_Applied]]="Yes", 1,0)</f>
        <v>0</v>
      </c>
      <c r="U2342" t="str">
        <f>_xlfn.IFS(Table1[[#This Row],[Age]]&lt;=25, "Below 25", Table1[[#This Row],[Age]]&lt;=35, "Between 25-35", Table1[[#This Row],[Age]]&lt;=45, "Between 36-45", Table1[[#This Row],[Age]]&gt;45, "45+")</f>
        <v>45+</v>
      </c>
    </row>
    <row r="2343" spans="1:21" x14ac:dyDescent="0.3">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c r="T2343">
        <f>IF(Table1[[#This Row],[Discount_Applied]]="Yes", 1,0)</f>
        <v>0</v>
      </c>
      <c r="U2343" t="str">
        <f>_xlfn.IFS(Table1[[#This Row],[Age]]&lt;=25, "Below 25", Table1[[#This Row],[Age]]&lt;=35, "Between 25-35", Table1[[#This Row],[Age]]&lt;=45, "Between 36-45", Table1[[#This Row],[Age]]&gt;45, "45+")</f>
        <v>45+</v>
      </c>
    </row>
    <row r="2344" spans="1:21" x14ac:dyDescent="0.3">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c r="T2344">
        <f>IF(Table1[[#This Row],[Discount_Applied]]="Yes", 1,0)</f>
        <v>0</v>
      </c>
      <c r="U2344" t="str">
        <f>_xlfn.IFS(Table1[[#This Row],[Age]]&lt;=25, "Below 25", Table1[[#This Row],[Age]]&lt;=35, "Between 25-35", Table1[[#This Row],[Age]]&lt;=45, "Between 36-45", Table1[[#This Row],[Age]]&gt;45, "45+")</f>
        <v>Below 25</v>
      </c>
    </row>
    <row r="2345" spans="1:21" x14ac:dyDescent="0.3">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c r="T2345">
        <f>IF(Table1[[#This Row],[Discount_Applied]]="Yes", 1,0)</f>
        <v>0</v>
      </c>
      <c r="U2345" t="str">
        <f>_xlfn.IFS(Table1[[#This Row],[Age]]&lt;=25, "Below 25", Table1[[#This Row],[Age]]&lt;=35, "Between 25-35", Table1[[#This Row],[Age]]&lt;=45, "Between 36-45", Table1[[#This Row],[Age]]&gt;45, "45+")</f>
        <v>45+</v>
      </c>
    </row>
    <row r="2346" spans="1:21" x14ac:dyDescent="0.3">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c r="T2346">
        <f>IF(Table1[[#This Row],[Discount_Applied]]="Yes", 1,0)</f>
        <v>0</v>
      </c>
      <c r="U2346" t="str">
        <f>_xlfn.IFS(Table1[[#This Row],[Age]]&lt;=25, "Below 25", Table1[[#This Row],[Age]]&lt;=35, "Between 25-35", Table1[[#This Row],[Age]]&lt;=45, "Between 36-45", Table1[[#This Row],[Age]]&gt;45, "45+")</f>
        <v>Between 25-35</v>
      </c>
    </row>
    <row r="2347" spans="1:21" x14ac:dyDescent="0.3">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c r="T2347">
        <f>IF(Table1[[#This Row],[Discount_Applied]]="Yes", 1,0)</f>
        <v>0</v>
      </c>
      <c r="U2347" t="str">
        <f>_xlfn.IFS(Table1[[#This Row],[Age]]&lt;=25, "Below 25", Table1[[#This Row],[Age]]&lt;=35, "Between 25-35", Table1[[#This Row],[Age]]&lt;=45, "Between 36-45", Table1[[#This Row],[Age]]&gt;45, "45+")</f>
        <v>Between 25-35</v>
      </c>
    </row>
    <row r="2348" spans="1:21" x14ac:dyDescent="0.3">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c r="T2348">
        <f>IF(Table1[[#This Row],[Discount_Applied]]="Yes", 1,0)</f>
        <v>0</v>
      </c>
      <c r="U2348" t="str">
        <f>_xlfn.IFS(Table1[[#This Row],[Age]]&lt;=25, "Below 25", Table1[[#This Row],[Age]]&lt;=35, "Between 25-35", Table1[[#This Row],[Age]]&lt;=45, "Between 36-45", Table1[[#This Row],[Age]]&gt;45, "45+")</f>
        <v>Below 25</v>
      </c>
    </row>
    <row r="2349" spans="1:21" x14ac:dyDescent="0.3">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c r="T2349">
        <f>IF(Table1[[#This Row],[Discount_Applied]]="Yes", 1,0)</f>
        <v>0</v>
      </c>
      <c r="U2349" t="str">
        <f>_xlfn.IFS(Table1[[#This Row],[Age]]&lt;=25, "Below 25", Table1[[#This Row],[Age]]&lt;=35, "Between 25-35", Table1[[#This Row],[Age]]&lt;=45, "Between 36-45", Table1[[#This Row],[Age]]&gt;45, "45+")</f>
        <v>Between 36-45</v>
      </c>
    </row>
    <row r="2350" spans="1:21" x14ac:dyDescent="0.3">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c r="T2350">
        <f>IF(Table1[[#This Row],[Discount_Applied]]="Yes", 1,0)</f>
        <v>0</v>
      </c>
      <c r="U2350" t="str">
        <f>_xlfn.IFS(Table1[[#This Row],[Age]]&lt;=25, "Below 25", Table1[[#This Row],[Age]]&lt;=35, "Between 25-35", Table1[[#This Row],[Age]]&lt;=45, "Between 36-45", Table1[[#This Row],[Age]]&gt;45, "45+")</f>
        <v>45+</v>
      </c>
    </row>
    <row r="2351" spans="1:21" x14ac:dyDescent="0.3">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c r="T2351">
        <f>IF(Table1[[#This Row],[Discount_Applied]]="Yes", 1,0)</f>
        <v>0</v>
      </c>
      <c r="U2351" t="str">
        <f>_xlfn.IFS(Table1[[#This Row],[Age]]&lt;=25, "Below 25", Table1[[#This Row],[Age]]&lt;=35, "Between 25-35", Table1[[#This Row],[Age]]&lt;=45, "Between 36-45", Table1[[#This Row],[Age]]&gt;45, "45+")</f>
        <v>45+</v>
      </c>
    </row>
    <row r="2352" spans="1:21" x14ac:dyDescent="0.3">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c r="T2352">
        <f>IF(Table1[[#This Row],[Discount_Applied]]="Yes", 1,0)</f>
        <v>0</v>
      </c>
      <c r="U2352" t="str">
        <f>_xlfn.IFS(Table1[[#This Row],[Age]]&lt;=25, "Below 25", Table1[[#This Row],[Age]]&lt;=35, "Between 25-35", Table1[[#This Row],[Age]]&lt;=45, "Between 36-45", Table1[[#This Row],[Age]]&gt;45, "45+")</f>
        <v>45+</v>
      </c>
    </row>
    <row r="2353" spans="1:21" x14ac:dyDescent="0.3">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c r="T2353">
        <f>IF(Table1[[#This Row],[Discount_Applied]]="Yes", 1,0)</f>
        <v>0</v>
      </c>
      <c r="U2353" t="str">
        <f>_xlfn.IFS(Table1[[#This Row],[Age]]&lt;=25, "Below 25", Table1[[#This Row],[Age]]&lt;=35, "Between 25-35", Table1[[#This Row],[Age]]&lt;=45, "Between 36-45", Table1[[#This Row],[Age]]&gt;45, "45+")</f>
        <v>Between 36-45</v>
      </c>
    </row>
    <row r="2354" spans="1:21" x14ac:dyDescent="0.3">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c r="T2354">
        <f>IF(Table1[[#This Row],[Discount_Applied]]="Yes", 1,0)</f>
        <v>0</v>
      </c>
      <c r="U2354" t="str">
        <f>_xlfn.IFS(Table1[[#This Row],[Age]]&lt;=25, "Below 25", Table1[[#This Row],[Age]]&lt;=35, "Between 25-35", Table1[[#This Row],[Age]]&lt;=45, "Between 36-45", Table1[[#This Row],[Age]]&gt;45, "45+")</f>
        <v>45+</v>
      </c>
    </row>
    <row r="2355" spans="1:21" x14ac:dyDescent="0.3">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c r="T2355">
        <f>IF(Table1[[#This Row],[Discount_Applied]]="Yes", 1,0)</f>
        <v>0</v>
      </c>
      <c r="U2355" t="str">
        <f>_xlfn.IFS(Table1[[#This Row],[Age]]&lt;=25, "Below 25", Table1[[#This Row],[Age]]&lt;=35, "Between 25-35", Table1[[#This Row],[Age]]&lt;=45, "Between 36-45", Table1[[#This Row],[Age]]&gt;45, "45+")</f>
        <v>45+</v>
      </c>
    </row>
    <row r="2356" spans="1:21" x14ac:dyDescent="0.3">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c r="T2356">
        <f>IF(Table1[[#This Row],[Discount_Applied]]="Yes", 1,0)</f>
        <v>0</v>
      </c>
      <c r="U2356" t="str">
        <f>_xlfn.IFS(Table1[[#This Row],[Age]]&lt;=25, "Below 25", Table1[[#This Row],[Age]]&lt;=35, "Between 25-35", Table1[[#This Row],[Age]]&lt;=45, "Between 36-45", Table1[[#This Row],[Age]]&gt;45, "45+")</f>
        <v>45+</v>
      </c>
    </row>
    <row r="2357" spans="1:21" x14ac:dyDescent="0.3">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c r="T2357">
        <f>IF(Table1[[#This Row],[Discount_Applied]]="Yes", 1,0)</f>
        <v>0</v>
      </c>
      <c r="U2357" t="str">
        <f>_xlfn.IFS(Table1[[#This Row],[Age]]&lt;=25, "Below 25", Table1[[#This Row],[Age]]&lt;=35, "Between 25-35", Table1[[#This Row],[Age]]&lt;=45, "Between 36-45", Table1[[#This Row],[Age]]&gt;45, "45+")</f>
        <v>Below 25</v>
      </c>
    </row>
    <row r="2358" spans="1:21" x14ac:dyDescent="0.3">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c r="T2358">
        <f>IF(Table1[[#This Row],[Discount_Applied]]="Yes", 1,0)</f>
        <v>0</v>
      </c>
      <c r="U2358" t="str">
        <f>_xlfn.IFS(Table1[[#This Row],[Age]]&lt;=25, "Below 25", Table1[[#This Row],[Age]]&lt;=35, "Between 25-35", Table1[[#This Row],[Age]]&lt;=45, "Between 36-45", Table1[[#This Row],[Age]]&gt;45, "45+")</f>
        <v>45+</v>
      </c>
    </row>
    <row r="2359" spans="1:21" x14ac:dyDescent="0.3">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c r="T2359">
        <f>IF(Table1[[#This Row],[Discount_Applied]]="Yes", 1,0)</f>
        <v>0</v>
      </c>
      <c r="U2359" t="str">
        <f>_xlfn.IFS(Table1[[#This Row],[Age]]&lt;=25, "Below 25", Table1[[#This Row],[Age]]&lt;=35, "Between 25-35", Table1[[#This Row],[Age]]&lt;=45, "Between 36-45", Table1[[#This Row],[Age]]&gt;45, "45+")</f>
        <v>45+</v>
      </c>
    </row>
    <row r="2360" spans="1:21" x14ac:dyDescent="0.3">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c r="T2360">
        <f>IF(Table1[[#This Row],[Discount_Applied]]="Yes", 1,0)</f>
        <v>0</v>
      </c>
      <c r="U2360" t="str">
        <f>_xlfn.IFS(Table1[[#This Row],[Age]]&lt;=25, "Below 25", Table1[[#This Row],[Age]]&lt;=35, "Between 25-35", Table1[[#This Row],[Age]]&lt;=45, "Between 36-45", Table1[[#This Row],[Age]]&gt;45, "45+")</f>
        <v>45+</v>
      </c>
    </row>
    <row r="2361" spans="1:21" x14ac:dyDescent="0.3">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c r="T2361">
        <f>IF(Table1[[#This Row],[Discount_Applied]]="Yes", 1,0)</f>
        <v>0</v>
      </c>
      <c r="U2361" t="str">
        <f>_xlfn.IFS(Table1[[#This Row],[Age]]&lt;=25, "Below 25", Table1[[#This Row],[Age]]&lt;=35, "Between 25-35", Table1[[#This Row],[Age]]&lt;=45, "Between 36-45", Table1[[#This Row],[Age]]&gt;45, "45+")</f>
        <v>Below 25</v>
      </c>
    </row>
    <row r="2362" spans="1:21" x14ac:dyDescent="0.3">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c r="T2362">
        <f>IF(Table1[[#This Row],[Discount_Applied]]="Yes", 1,0)</f>
        <v>0</v>
      </c>
      <c r="U2362" t="str">
        <f>_xlfn.IFS(Table1[[#This Row],[Age]]&lt;=25, "Below 25", Table1[[#This Row],[Age]]&lt;=35, "Between 25-35", Table1[[#This Row],[Age]]&lt;=45, "Between 36-45", Table1[[#This Row],[Age]]&gt;45, "45+")</f>
        <v>45+</v>
      </c>
    </row>
    <row r="2363" spans="1:21" x14ac:dyDescent="0.3">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c r="T2363">
        <f>IF(Table1[[#This Row],[Discount_Applied]]="Yes", 1,0)</f>
        <v>0</v>
      </c>
      <c r="U2363" t="str">
        <f>_xlfn.IFS(Table1[[#This Row],[Age]]&lt;=25, "Below 25", Table1[[#This Row],[Age]]&lt;=35, "Between 25-35", Table1[[#This Row],[Age]]&lt;=45, "Between 36-45", Table1[[#This Row],[Age]]&gt;45, "45+")</f>
        <v>Between 36-45</v>
      </c>
    </row>
    <row r="2364" spans="1:21" x14ac:dyDescent="0.3">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c r="T2364">
        <f>IF(Table1[[#This Row],[Discount_Applied]]="Yes", 1,0)</f>
        <v>0</v>
      </c>
      <c r="U2364" t="str">
        <f>_xlfn.IFS(Table1[[#This Row],[Age]]&lt;=25, "Below 25", Table1[[#This Row],[Age]]&lt;=35, "Between 25-35", Table1[[#This Row],[Age]]&lt;=45, "Between 36-45", Table1[[#This Row],[Age]]&gt;45, "45+")</f>
        <v>Between 25-35</v>
      </c>
    </row>
    <row r="2365" spans="1:21" x14ac:dyDescent="0.3">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c r="T2365">
        <f>IF(Table1[[#This Row],[Discount_Applied]]="Yes", 1,0)</f>
        <v>0</v>
      </c>
      <c r="U2365" t="str">
        <f>_xlfn.IFS(Table1[[#This Row],[Age]]&lt;=25, "Below 25", Table1[[#This Row],[Age]]&lt;=35, "Between 25-35", Table1[[#This Row],[Age]]&lt;=45, "Between 36-45", Table1[[#This Row],[Age]]&gt;45, "45+")</f>
        <v>45+</v>
      </c>
    </row>
    <row r="2366" spans="1:21" x14ac:dyDescent="0.3">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c r="T2366">
        <f>IF(Table1[[#This Row],[Discount_Applied]]="Yes", 1,0)</f>
        <v>0</v>
      </c>
      <c r="U2366" t="str">
        <f>_xlfn.IFS(Table1[[#This Row],[Age]]&lt;=25, "Below 25", Table1[[#This Row],[Age]]&lt;=35, "Between 25-35", Table1[[#This Row],[Age]]&lt;=45, "Between 36-45", Table1[[#This Row],[Age]]&gt;45, "45+")</f>
        <v>45+</v>
      </c>
    </row>
    <row r="2367" spans="1:21" x14ac:dyDescent="0.3">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c r="T2367">
        <f>IF(Table1[[#This Row],[Discount_Applied]]="Yes", 1,0)</f>
        <v>0</v>
      </c>
      <c r="U2367" t="str">
        <f>_xlfn.IFS(Table1[[#This Row],[Age]]&lt;=25, "Below 25", Table1[[#This Row],[Age]]&lt;=35, "Between 25-35", Table1[[#This Row],[Age]]&lt;=45, "Between 36-45", Table1[[#This Row],[Age]]&gt;45, "45+")</f>
        <v>45+</v>
      </c>
    </row>
    <row r="2368" spans="1:21" x14ac:dyDescent="0.3">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c r="T2368">
        <f>IF(Table1[[#This Row],[Discount_Applied]]="Yes", 1,0)</f>
        <v>0</v>
      </c>
      <c r="U2368" t="str">
        <f>_xlfn.IFS(Table1[[#This Row],[Age]]&lt;=25, "Below 25", Table1[[#This Row],[Age]]&lt;=35, "Between 25-35", Table1[[#This Row],[Age]]&lt;=45, "Between 36-45", Table1[[#This Row],[Age]]&gt;45, "45+")</f>
        <v>Between 25-35</v>
      </c>
    </row>
    <row r="2369" spans="1:21" x14ac:dyDescent="0.3">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c r="T2369">
        <f>IF(Table1[[#This Row],[Discount_Applied]]="Yes", 1,0)</f>
        <v>0</v>
      </c>
      <c r="U2369" t="str">
        <f>_xlfn.IFS(Table1[[#This Row],[Age]]&lt;=25, "Below 25", Table1[[#This Row],[Age]]&lt;=35, "Between 25-35", Table1[[#This Row],[Age]]&lt;=45, "Between 36-45", Table1[[#This Row],[Age]]&gt;45, "45+")</f>
        <v>45+</v>
      </c>
    </row>
    <row r="2370" spans="1:21" x14ac:dyDescent="0.3">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c r="T2370">
        <f>IF(Table1[[#This Row],[Discount_Applied]]="Yes", 1,0)</f>
        <v>0</v>
      </c>
      <c r="U2370" t="str">
        <f>_xlfn.IFS(Table1[[#This Row],[Age]]&lt;=25, "Below 25", Table1[[#This Row],[Age]]&lt;=35, "Between 25-35", Table1[[#This Row],[Age]]&lt;=45, "Between 36-45", Table1[[#This Row],[Age]]&gt;45, "45+")</f>
        <v>Between 25-35</v>
      </c>
    </row>
    <row r="2371" spans="1:21" x14ac:dyDescent="0.3">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c r="T2371">
        <f>IF(Table1[[#This Row],[Discount_Applied]]="Yes", 1,0)</f>
        <v>0</v>
      </c>
      <c r="U2371" t="str">
        <f>_xlfn.IFS(Table1[[#This Row],[Age]]&lt;=25, "Below 25", Table1[[#This Row],[Age]]&lt;=35, "Between 25-35", Table1[[#This Row],[Age]]&lt;=45, "Between 36-45", Table1[[#This Row],[Age]]&gt;45, "45+")</f>
        <v>Below 25</v>
      </c>
    </row>
    <row r="2372" spans="1:21" x14ac:dyDescent="0.3">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c r="T2372">
        <f>IF(Table1[[#This Row],[Discount_Applied]]="Yes", 1,0)</f>
        <v>0</v>
      </c>
      <c r="U2372" t="str">
        <f>_xlfn.IFS(Table1[[#This Row],[Age]]&lt;=25, "Below 25", Table1[[#This Row],[Age]]&lt;=35, "Between 25-35", Table1[[#This Row],[Age]]&lt;=45, "Between 36-45", Table1[[#This Row],[Age]]&gt;45, "45+")</f>
        <v>45+</v>
      </c>
    </row>
    <row r="2373" spans="1:21" x14ac:dyDescent="0.3">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c r="T2373">
        <f>IF(Table1[[#This Row],[Discount_Applied]]="Yes", 1,0)</f>
        <v>0</v>
      </c>
      <c r="U2373" t="str">
        <f>_xlfn.IFS(Table1[[#This Row],[Age]]&lt;=25, "Below 25", Table1[[#This Row],[Age]]&lt;=35, "Between 25-35", Table1[[#This Row],[Age]]&lt;=45, "Between 36-45", Table1[[#This Row],[Age]]&gt;45, "45+")</f>
        <v>45+</v>
      </c>
    </row>
    <row r="2374" spans="1:21" x14ac:dyDescent="0.3">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c r="T2374">
        <f>IF(Table1[[#This Row],[Discount_Applied]]="Yes", 1,0)</f>
        <v>0</v>
      </c>
      <c r="U2374" t="str">
        <f>_xlfn.IFS(Table1[[#This Row],[Age]]&lt;=25, "Below 25", Table1[[#This Row],[Age]]&lt;=35, "Between 25-35", Table1[[#This Row],[Age]]&lt;=45, "Between 36-45", Table1[[#This Row],[Age]]&gt;45, "45+")</f>
        <v>45+</v>
      </c>
    </row>
    <row r="2375" spans="1:21" x14ac:dyDescent="0.3">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c r="T2375">
        <f>IF(Table1[[#This Row],[Discount_Applied]]="Yes", 1,0)</f>
        <v>0</v>
      </c>
      <c r="U2375" t="str">
        <f>_xlfn.IFS(Table1[[#This Row],[Age]]&lt;=25, "Below 25", Table1[[#This Row],[Age]]&lt;=35, "Between 25-35", Table1[[#This Row],[Age]]&lt;=45, "Between 36-45", Table1[[#This Row],[Age]]&gt;45, "45+")</f>
        <v>Between 36-45</v>
      </c>
    </row>
    <row r="2376" spans="1:21" x14ac:dyDescent="0.3">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c r="T2376">
        <f>IF(Table1[[#This Row],[Discount_Applied]]="Yes", 1,0)</f>
        <v>0</v>
      </c>
      <c r="U2376" t="str">
        <f>_xlfn.IFS(Table1[[#This Row],[Age]]&lt;=25, "Below 25", Table1[[#This Row],[Age]]&lt;=35, "Between 25-35", Table1[[#This Row],[Age]]&lt;=45, "Between 36-45", Table1[[#This Row],[Age]]&gt;45, "45+")</f>
        <v>45+</v>
      </c>
    </row>
    <row r="2377" spans="1:21" x14ac:dyDescent="0.3">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c r="T2377">
        <f>IF(Table1[[#This Row],[Discount_Applied]]="Yes", 1,0)</f>
        <v>0</v>
      </c>
      <c r="U2377" t="str">
        <f>_xlfn.IFS(Table1[[#This Row],[Age]]&lt;=25, "Below 25", Table1[[#This Row],[Age]]&lt;=35, "Between 25-35", Table1[[#This Row],[Age]]&lt;=45, "Between 36-45", Table1[[#This Row],[Age]]&gt;45, "45+")</f>
        <v>45+</v>
      </c>
    </row>
    <row r="2378" spans="1:21" x14ac:dyDescent="0.3">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c r="T2378">
        <f>IF(Table1[[#This Row],[Discount_Applied]]="Yes", 1,0)</f>
        <v>0</v>
      </c>
      <c r="U2378" t="str">
        <f>_xlfn.IFS(Table1[[#This Row],[Age]]&lt;=25, "Below 25", Table1[[#This Row],[Age]]&lt;=35, "Between 25-35", Table1[[#This Row],[Age]]&lt;=45, "Between 36-45", Table1[[#This Row],[Age]]&gt;45, "45+")</f>
        <v>Below 25</v>
      </c>
    </row>
    <row r="2379" spans="1:21" x14ac:dyDescent="0.3">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c r="T2379">
        <f>IF(Table1[[#This Row],[Discount_Applied]]="Yes", 1,0)</f>
        <v>0</v>
      </c>
      <c r="U2379" t="str">
        <f>_xlfn.IFS(Table1[[#This Row],[Age]]&lt;=25, "Below 25", Table1[[#This Row],[Age]]&lt;=35, "Between 25-35", Table1[[#This Row],[Age]]&lt;=45, "Between 36-45", Table1[[#This Row],[Age]]&gt;45, "45+")</f>
        <v>Between 36-45</v>
      </c>
    </row>
    <row r="2380" spans="1:21" x14ac:dyDescent="0.3">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c r="T2380">
        <f>IF(Table1[[#This Row],[Discount_Applied]]="Yes", 1,0)</f>
        <v>0</v>
      </c>
      <c r="U2380" t="str">
        <f>_xlfn.IFS(Table1[[#This Row],[Age]]&lt;=25, "Below 25", Table1[[#This Row],[Age]]&lt;=35, "Between 25-35", Table1[[#This Row],[Age]]&lt;=45, "Between 36-45", Table1[[#This Row],[Age]]&gt;45, "45+")</f>
        <v>Between 25-35</v>
      </c>
    </row>
    <row r="2381" spans="1:21" x14ac:dyDescent="0.3">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c r="T2381">
        <f>IF(Table1[[#This Row],[Discount_Applied]]="Yes", 1,0)</f>
        <v>0</v>
      </c>
      <c r="U2381" t="str">
        <f>_xlfn.IFS(Table1[[#This Row],[Age]]&lt;=25, "Below 25", Table1[[#This Row],[Age]]&lt;=35, "Between 25-35", Table1[[#This Row],[Age]]&lt;=45, "Between 36-45", Table1[[#This Row],[Age]]&gt;45, "45+")</f>
        <v>Between 36-45</v>
      </c>
    </row>
    <row r="2382" spans="1:21" x14ac:dyDescent="0.3">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c r="T2382">
        <f>IF(Table1[[#This Row],[Discount_Applied]]="Yes", 1,0)</f>
        <v>0</v>
      </c>
      <c r="U2382" t="str">
        <f>_xlfn.IFS(Table1[[#This Row],[Age]]&lt;=25, "Below 25", Table1[[#This Row],[Age]]&lt;=35, "Between 25-35", Table1[[#This Row],[Age]]&lt;=45, "Between 36-45", Table1[[#This Row],[Age]]&gt;45, "45+")</f>
        <v>Between 36-45</v>
      </c>
    </row>
    <row r="2383" spans="1:21" x14ac:dyDescent="0.3">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c r="T2383">
        <f>IF(Table1[[#This Row],[Discount_Applied]]="Yes", 1,0)</f>
        <v>0</v>
      </c>
      <c r="U2383" t="str">
        <f>_xlfn.IFS(Table1[[#This Row],[Age]]&lt;=25, "Below 25", Table1[[#This Row],[Age]]&lt;=35, "Between 25-35", Table1[[#This Row],[Age]]&lt;=45, "Between 36-45", Table1[[#This Row],[Age]]&gt;45, "45+")</f>
        <v>45+</v>
      </c>
    </row>
    <row r="2384" spans="1:21" x14ac:dyDescent="0.3">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c r="T2384">
        <f>IF(Table1[[#This Row],[Discount_Applied]]="Yes", 1,0)</f>
        <v>0</v>
      </c>
      <c r="U2384" t="str">
        <f>_xlfn.IFS(Table1[[#This Row],[Age]]&lt;=25, "Below 25", Table1[[#This Row],[Age]]&lt;=35, "Between 25-35", Table1[[#This Row],[Age]]&lt;=45, "Between 36-45", Table1[[#This Row],[Age]]&gt;45, "45+")</f>
        <v>Between 36-45</v>
      </c>
    </row>
    <row r="2385" spans="1:21" x14ac:dyDescent="0.3">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c r="T2385">
        <f>IF(Table1[[#This Row],[Discount_Applied]]="Yes", 1,0)</f>
        <v>0</v>
      </c>
      <c r="U2385" t="str">
        <f>_xlfn.IFS(Table1[[#This Row],[Age]]&lt;=25, "Below 25", Table1[[#This Row],[Age]]&lt;=35, "Between 25-35", Table1[[#This Row],[Age]]&lt;=45, "Between 36-45", Table1[[#This Row],[Age]]&gt;45, "45+")</f>
        <v>45+</v>
      </c>
    </row>
    <row r="2386" spans="1:21" x14ac:dyDescent="0.3">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c r="T2386">
        <f>IF(Table1[[#This Row],[Discount_Applied]]="Yes", 1,0)</f>
        <v>0</v>
      </c>
      <c r="U2386" t="str">
        <f>_xlfn.IFS(Table1[[#This Row],[Age]]&lt;=25, "Below 25", Table1[[#This Row],[Age]]&lt;=35, "Between 25-35", Table1[[#This Row],[Age]]&lt;=45, "Between 36-45", Table1[[#This Row],[Age]]&gt;45, "45+")</f>
        <v>Below 25</v>
      </c>
    </row>
    <row r="2387" spans="1:21" x14ac:dyDescent="0.3">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c r="T2387">
        <f>IF(Table1[[#This Row],[Discount_Applied]]="Yes", 1,0)</f>
        <v>0</v>
      </c>
      <c r="U2387" t="str">
        <f>_xlfn.IFS(Table1[[#This Row],[Age]]&lt;=25, "Below 25", Table1[[#This Row],[Age]]&lt;=35, "Between 25-35", Table1[[#This Row],[Age]]&lt;=45, "Between 36-45", Table1[[#This Row],[Age]]&gt;45, "45+")</f>
        <v>Between 36-45</v>
      </c>
    </row>
    <row r="2388" spans="1:21" x14ac:dyDescent="0.3">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c r="T2388">
        <f>IF(Table1[[#This Row],[Discount_Applied]]="Yes", 1,0)</f>
        <v>0</v>
      </c>
      <c r="U2388" t="str">
        <f>_xlfn.IFS(Table1[[#This Row],[Age]]&lt;=25, "Below 25", Table1[[#This Row],[Age]]&lt;=35, "Between 25-35", Table1[[#This Row],[Age]]&lt;=45, "Between 36-45", Table1[[#This Row],[Age]]&gt;45, "45+")</f>
        <v>Below 25</v>
      </c>
    </row>
    <row r="2389" spans="1:21" x14ac:dyDescent="0.3">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c r="T2389">
        <f>IF(Table1[[#This Row],[Discount_Applied]]="Yes", 1,0)</f>
        <v>0</v>
      </c>
      <c r="U2389" t="str">
        <f>_xlfn.IFS(Table1[[#This Row],[Age]]&lt;=25, "Below 25", Table1[[#This Row],[Age]]&lt;=35, "Between 25-35", Table1[[#This Row],[Age]]&lt;=45, "Between 36-45", Table1[[#This Row],[Age]]&gt;45, "45+")</f>
        <v>Between 36-45</v>
      </c>
    </row>
    <row r="2390" spans="1:21" x14ac:dyDescent="0.3">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c r="T2390">
        <f>IF(Table1[[#This Row],[Discount_Applied]]="Yes", 1,0)</f>
        <v>0</v>
      </c>
      <c r="U2390" t="str">
        <f>_xlfn.IFS(Table1[[#This Row],[Age]]&lt;=25, "Below 25", Table1[[#This Row],[Age]]&lt;=35, "Between 25-35", Table1[[#This Row],[Age]]&lt;=45, "Between 36-45", Table1[[#This Row],[Age]]&gt;45, "45+")</f>
        <v>Below 25</v>
      </c>
    </row>
    <row r="2391" spans="1:21" x14ac:dyDescent="0.3">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c r="T2391">
        <f>IF(Table1[[#This Row],[Discount_Applied]]="Yes", 1,0)</f>
        <v>0</v>
      </c>
      <c r="U2391" t="str">
        <f>_xlfn.IFS(Table1[[#This Row],[Age]]&lt;=25, "Below 25", Table1[[#This Row],[Age]]&lt;=35, "Between 25-35", Table1[[#This Row],[Age]]&lt;=45, "Between 36-45", Table1[[#This Row],[Age]]&gt;45, "45+")</f>
        <v>Below 25</v>
      </c>
    </row>
    <row r="2392" spans="1:21" x14ac:dyDescent="0.3">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c r="T2392">
        <f>IF(Table1[[#This Row],[Discount_Applied]]="Yes", 1,0)</f>
        <v>0</v>
      </c>
      <c r="U2392" t="str">
        <f>_xlfn.IFS(Table1[[#This Row],[Age]]&lt;=25, "Below 25", Table1[[#This Row],[Age]]&lt;=35, "Between 25-35", Table1[[#This Row],[Age]]&lt;=45, "Between 36-45", Table1[[#This Row],[Age]]&gt;45, "45+")</f>
        <v>45+</v>
      </c>
    </row>
    <row r="2393" spans="1:21" x14ac:dyDescent="0.3">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c r="T2393">
        <f>IF(Table1[[#This Row],[Discount_Applied]]="Yes", 1,0)</f>
        <v>0</v>
      </c>
      <c r="U2393" t="str">
        <f>_xlfn.IFS(Table1[[#This Row],[Age]]&lt;=25, "Below 25", Table1[[#This Row],[Age]]&lt;=35, "Between 25-35", Table1[[#This Row],[Age]]&lt;=45, "Between 36-45", Table1[[#This Row],[Age]]&gt;45, "45+")</f>
        <v>Between 36-45</v>
      </c>
    </row>
    <row r="2394" spans="1:21" x14ac:dyDescent="0.3">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c r="T2394">
        <f>IF(Table1[[#This Row],[Discount_Applied]]="Yes", 1,0)</f>
        <v>0</v>
      </c>
      <c r="U2394" t="str">
        <f>_xlfn.IFS(Table1[[#This Row],[Age]]&lt;=25, "Below 25", Table1[[#This Row],[Age]]&lt;=35, "Between 25-35", Table1[[#This Row],[Age]]&lt;=45, "Between 36-45", Table1[[#This Row],[Age]]&gt;45, "45+")</f>
        <v>Between 36-45</v>
      </c>
    </row>
    <row r="2395" spans="1:21" x14ac:dyDescent="0.3">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c r="T2395">
        <f>IF(Table1[[#This Row],[Discount_Applied]]="Yes", 1,0)</f>
        <v>0</v>
      </c>
      <c r="U2395" t="str">
        <f>_xlfn.IFS(Table1[[#This Row],[Age]]&lt;=25, "Below 25", Table1[[#This Row],[Age]]&lt;=35, "Between 25-35", Table1[[#This Row],[Age]]&lt;=45, "Between 36-45", Table1[[#This Row],[Age]]&gt;45, "45+")</f>
        <v>45+</v>
      </c>
    </row>
    <row r="2396" spans="1:21" x14ac:dyDescent="0.3">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c r="T2396">
        <f>IF(Table1[[#This Row],[Discount_Applied]]="Yes", 1,0)</f>
        <v>0</v>
      </c>
      <c r="U2396" t="str">
        <f>_xlfn.IFS(Table1[[#This Row],[Age]]&lt;=25, "Below 25", Table1[[#This Row],[Age]]&lt;=35, "Between 25-35", Table1[[#This Row],[Age]]&lt;=45, "Between 36-45", Table1[[#This Row],[Age]]&gt;45, "45+")</f>
        <v>Between 36-45</v>
      </c>
    </row>
    <row r="2397" spans="1:21" x14ac:dyDescent="0.3">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c r="T2397">
        <f>IF(Table1[[#This Row],[Discount_Applied]]="Yes", 1,0)</f>
        <v>0</v>
      </c>
      <c r="U2397" t="str">
        <f>_xlfn.IFS(Table1[[#This Row],[Age]]&lt;=25, "Below 25", Table1[[#This Row],[Age]]&lt;=35, "Between 25-35", Table1[[#This Row],[Age]]&lt;=45, "Between 36-45", Table1[[#This Row],[Age]]&gt;45, "45+")</f>
        <v>45+</v>
      </c>
    </row>
    <row r="2398" spans="1:21" x14ac:dyDescent="0.3">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c r="T2398">
        <f>IF(Table1[[#This Row],[Discount_Applied]]="Yes", 1,0)</f>
        <v>0</v>
      </c>
      <c r="U2398" t="str">
        <f>_xlfn.IFS(Table1[[#This Row],[Age]]&lt;=25, "Below 25", Table1[[#This Row],[Age]]&lt;=35, "Between 25-35", Table1[[#This Row],[Age]]&lt;=45, "Between 36-45", Table1[[#This Row],[Age]]&gt;45, "45+")</f>
        <v>Between 36-45</v>
      </c>
    </row>
    <row r="2399" spans="1:21" x14ac:dyDescent="0.3">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c r="T2399">
        <f>IF(Table1[[#This Row],[Discount_Applied]]="Yes", 1,0)</f>
        <v>0</v>
      </c>
      <c r="U2399" t="str">
        <f>_xlfn.IFS(Table1[[#This Row],[Age]]&lt;=25, "Below 25", Table1[[#This Row],[Age]]&lt;=35, "Between 25-35", Table1[[#This Row],[Age]]&lt;=45, "Between 36-45", Table1[[#This Row],[Age]]&gt;45, "45+")</f>
        <v>Between 36-45</v>
      </c>
    </row>
    <row r="2400" spans="1:21" x14ac:dyDescent="0.3">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c r="T2400">
        <f>IF(Table1[[#This Row],[Discount_Applied]]="Yes", 1,0)</f>
        <v>0</v>
      </c>
      <c r="U2400" t="str">
        <f>_xlfn.IFS(Table1[[#This Row],[Age]]&lt;=25, "Below 25", Table1[[#This Row],[Age]]&lt;=35, "Between 25-35", Table1[[#This Row],[Age]]&lt;=45, "Between 36-45", Table1[[#This Row],[Age]]&gt;45, "45+")</f>
        <v>45+</v>
      </c>
    </row>
    <row r="2401" spans="1:21" x14ac:dyDescent="0.3">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c r="T2401">
        <f>IF(Table1[[#This Row],[Discount_Applied]]="Yes", 1,0)</f>
        <v>0</v>
      </c>
      <c r="U2401" t="str">
        <f>_xlfn.IFS(Table1[[#This Row],[Age]]&lt;=25, "Below 25", Table1[[#This Row],[Age]]&lt;=35, "Between 25-35", Table1[[#This Row],[Age]]&lt;=45, "Between 36-45", Table1[[#This Row],[Age]]&gt;45, "45+")</f>
        <v>45+</v>
      </c>
    </row>
    <row r="2402" spans="1:21" x14ac:dyDescent="0.3">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c r="T2402">
        <f>IF(Table1[[#This Row],[Discount_Applied]]="Yes", 1,0)</f>
        <v>0</v>
      </c>
      <c r="U2402" t="str">
        <f>_xlfn.IFS(Table1[[#This Row],[Age]]&lt;=25, "Below 25", Table1[[#This Row],[Age]]&lt;=35, "Between 25-35", Table1[[#This Row],[Age]]&lt;=45, "Between 36-45", Table1[[#This Row],[Age]]&gt;45, "45+")</f>
        <v>Between 36-45</v>
      </c>
    </row>
    <row r="2403" spans="1:21" x14ac:dyDescent="0.3">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c r="T2403">
        <f>IF(Table1[[#This Row],[Discount_Applied]]="Yes", 1,0)</f>
        <v>0</v>
      </c>
      <c r="U2403" t="str">
        <f>_xlfn.IFS(Table1[[#This Row],[Age]]&lt;=25, "Below 25", Table1[[#This Row],[Age]]&lt;=35, "Between 25-35", Table1[[#This Row],[Age]]&lt;=45, "Between 36-45", Table1[[#This Row],[Age]]&gt;45, "45+")</f>
        <v>Between 36-45</v>
      </c>
    </row>
    <row r="2404" spans="1:21" x14ac:dyDescent="0.3">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c r="T2404">
        <f>IF(Table1[[#This Row],[Discount_Applied]]="Yes", 1,0)</f>
        <v>0</v>
      </c>
      <c r="U2404" t="str">
        <f>_xlfn.IFS(Table1[[#This Row],[Age]]&lt;=25, "Below 25", Table1[[#This Row],[Age]]&lt;=35, "Between 25-35", Table1[[#This Row],[Age]]&lt;=45, "Between 36-45", Table1[[#This Row],[Age]]&gt;45, "45+")</f>
        <v>Between 36-45</v>
      </c>
    </row>
    <row r="2405" spans="1:21" x14ac:dyDescent="0.3">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c r="T2405">
        <f>IF(Table1[[#This Row],[Discount_Applied]]="Yes", 1,0)</f>
        <v>0</v>
      </c>
      <c r="U2405" t="str">
        <f>_xlfn.IFS(Table1[[#This Row],[Age]]&lt;=25, "Below 25", Table1[[#This Row],[Age]]&lt;=35, "Between 25-35", Table1[[#This Row],[Age]]&lt;=45, "Between 36-45", Table1[[#This Row],[Age]]&gt;45, "45+")</f>
        <v>45+</v>
      </c>
    </row>
    <row r="2406" spans="1:21" x14ac:dyDescent="0.3">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c r="T2406">
        <f>IF(Table1[[#This Row],[Discount_Applied]]="Yes", 1,0)</f>
        <v>0</v>
      </c>
      <c r="U2406" t="str">
        <f>_xlfn.IFS(Table1[[#This Row],[Age]]&lt;=25, "Below 25", Table1[[#This Row],[Age]]&lt;=35, "Between 25-35", Table1[[#This Row],[Age]]&lt;=45, "Between 36-45", Table1[[#This Row],[Age]]&gt;45, "45+")</f>
        <v>Between 25-35</v>
      </c>
    </row>
    <row r="2407" spans="1:21" x14ac:dyDescent="0.3">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c r="T2407">
        <f>IF(Table1[[#This Row],[Discount_Applied]]="Yes", 1,0)</f>
        <v>0</v>
      </c>
      <c r="U2407" t="str">
        <f>_xlfn.IFS(Table1[[#This Row],[Age]]&lt;=25, "Below 25", Table1[[#This Row],[Age]]&lt;=35, "Between 25-35", Table1[[#This Row],[Age]]&lt;=45, "Between 36-45", Table1[[#This Row],[Age]]&gt;45, "45+")</f>
        <v>45+</v>
      </c>
    </row>
    <row r="2408" spans="1:21" x14ac:dyDescent="0.3">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c r="T2408">
        <f>IF(Table1[[#This Row],[Discount_Applied]]="Yes", 1,0)</f>
        <v>0</v>
      </c>
      <c r="U2408" t="str">
        <f>_xlfn.IFS(Table1[[#This Row],[Age]]&lt;=25, "Below 25", Table1[[#This Row],[Age]]&lt;=35, "Between 25-35", Table1[[#This Row],[Age]]&lt;=45, "Between 36-45", Table1[[#This Row],[Age]]&gt;45, "45+")</f>
        <v>45+</v>
      </c>
    </row>
    <row r="2409" spans="1:21" x14ac:dyDescent="0.3">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c r="T2409">
        <f>IF(Table1[[#This Row],[Discount_Applied]]="Yes", 1,0)</f>
        <v>0</v>
      </c>
      <c r="U2409" t="str">
        <f>_xlfn.IFS(Table1[[#This Row],[Age]]&lt;=25, "Below 25", Table1[[#This Row],[Age]]&lt;=35, "Between 25-35", Table1[[#This Row],[Age]]&lt;=45, "Between 36-45", Table1[[#This Row],[Age]]&gt;45, "45+")</f>
        <v>45+</v>
      </c>
    </row>
    <row r="2410" spans="1:21" x14ac:dyDescent="0.3">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c r="T2410">
        <f>IF(Table1[[#This Row],[Discount_Applied]]="Yes", 1,0)</f>
        <v>0</v>
      </c>
      <c r="U2410" t="str">
        <f>_xlfn.IFS(Table1[[#This Row],[Age]]&lt;=25, "Below 25", Table1[[#This Row],[Age]]&lt;=35, "Between 25-35", Table1[[#This Row],[Age]]&lt;=45, "Between 36-45", Table1[[#This Row],[Age]]&gt;45, "45+")</f>
        <v>Below 25</v>
      </c>
    </row>
    <row r="2411" spans="1:21" x14ac:dyDescent="0.3">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c r="T2411">
        <f>IF(Table1[[#This Row],[Discount_Applied]]="Yes", 1,0)</f>
        <v>0</v>
      </c>
      <c r="U2411" t="str">
        <f>_xlfn.IFS(Table1[[#This Row],[Age]]&lt;=25, "Below 25", Table1[[#This Row],[Age]]&lt;=35, "Between 25-35", Table1[[#This Row],[Age]]&lt;=45, "Between 36-45", Table1[[#This Row],[Age]]&gt;45, "45+")</f>
        <v>Between 25-35</v>
      </c>
    </row>
    <row r="2412" spans="1:21" x14ac:dyDescent="0.3">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c r="T2412">
        <f>IF(Table1[[#This Row],[Discount_Applied]]="Yes", 1,0)</f>
        <v>0</v>
      </c>
      <c r="U2412" t="str">
        <f>_xlfn.IFS(Table1[[#This Row],[Age]]&lt;=25, "Below 25", Table1[[#This Row],[Age]]&lt;=35, "Between 25-35", Table1[[#This Row],[Age]]&lt;=45, "Between 36-45", Table1[[#This Row],[Age]]&gt;45, "45+")</f>
        <v>45+</v>
      </c>
    </row>
    <row r="2413" spans="1:21" x14ac:dyDescent="0.3">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c r="T2413">
        <f>IF(Table1[[#This Row],[Discount_Applied]]="Yes", 1,0)</f>
        <v>0</v>
      </c>
      <c r="U2413" t="str">
        <f>_xlfn.IFS(Table1[[#This Row],[Age]]&lt;=25, "Below 25", Table1[[#This Row],[Age]]&lt;=35, "Between 25-35", Table1[[#This Row],[Age]]&lt;=45, "Between 36-45", Table1[[#This Row],[Age]]&gt;45, "45+")</f>
        <v>45+</v>
      </c>
    </row>
    <row r="2414" spans="1:21" x14ac:dyDescent="0.3">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c r="T2414">
        <f>IF(Table1[[#This Row],[Discount_Applied]]="Yes", 1,0)</f>
        <v>0</v>
      </c>
      <c r="U2414" t="str">
        <f>_xlfn.IFS(Table1[[#This Row],[Age]]&lt;=25, "Below 25", Table1[[#This Row],[Age]]&lt;=35, "Between 25-35", Table1[[#This Row],[Age]]&lt;=45, "Between 36-45", Table1[[#This Row],[Age]]&gt;45, "45+")</f>
        <v>45+</v>
      </c>
    </row>
    <row r="2415" spans="1:21" x14ac:dyDescent="0.3">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c r="T2415">
        <f>IF(Table1[[#This Row],[Discount_Applied]]="Yes", 1,0)</f>
        <v>0</v>
      </c>
      <c r="U2415" t="str">
        <f>_xlfn.IFS(Table1[[#This Row],[Age]]&lt;=25, "Below 25", Table1[[#This Row],[Age]]&lt;=35, "Between 25-35", Table1[[#This Row],[Age]]&lt;=45, "Between 36-45", Table1[[#This Row],[Age]]&gt;45, "45+")</f>
        <v>45+</v>
      </c>
    </row>
    <row r="2416" spans="1:21" x14ac:dyDescent="0.3">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c r="T2416">
        <f>IF(Table1[[#This Row],[Discount_Applied]]="Yes", 1,0)</f>
        <v>0</v>
      </c>
      <c r="U2416" t="str">
        <f>_xlfn.IFS(Table1[[#This Row],[Age]]&lt;=25, "Below 25", Table1[[#This Row],[Age]]&lt;=35, "Between 25-35", Table1[[#This Row],[Age]]&lt;=45, "Between 36-45", Table1[[#This Row],[Age]]&gt;45, "45+")</f>
        <v>Between 25-35</v>
      </c>
    </row>
    <row r="2417" spans="1:21" x14ac:dyDescent="0.3">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c r="T2417">
        <f>IF(Table1[[#This Row],[Discount_Applied]]="Yes", 1,0)</f>
        <v>0</v>
      </c>
      <c r="U2417" t="str">
        <f>_xlfn.IFS(Table1[[#This Row],[Age]]&lt;=25, "Below 25", Table1[[#This Row],[Age]]&lt;=35, "Between 25-35", Table1[[#This Row],[Age]]&lt;=45, "Between 36-45", Table1[[#This Row],[Age]]&gt;45, "45+")</f>
        <v>Below 25</v>
      </c>
    </row>
    <row r="2418" spans="1:21" x14ac:dyDescent="0.3">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c r="T2418">
        <f>IF(Table1[[#This Row],[Discount_Applied]]="Yes", 1,0)</f>
        <v>0</v>
      </c>
      <c r="U2418" t="str">
        <f>_xlfn.IFS(Table1[[#This Row],[Age]]&lt;=25, "Below 25", Table1[[#This Row],[Age]]&lt;=35, "Between 25-35", Table1[[#This Row],[Age]]&lt;=45, "Between 36-45", Table1[[#This Row],[Age]]&gt;45, "45+")</f>
        <v>45+</v>
      </c>
    </row>
    <row r="2419" spans="1:21" x14ac:dyDescent="0.3">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c r="T2419">
        <f>IF(Table1[[#This Row],[Discount_Applied]]="Yes", 1,0)</f>
        <v>0</v>
      </c>
      <c r="U2419" t="str">
        <f>_xlfn.IFS(Table1[[#This Row],[Age]]&lt;=25, "Below 25", Table1[[#This Row],[Age]]&lt;=35, "Between 25-35", Table1[[#This Row],[Age]]&lt;=45, "Between 36-45", Table1[[#This Row],[Age]]&gt;45, "45+")</f>
        <v>Below 25</v>
      </c>
    </row>
    <row r="2420" spans="1:21" x14ac:dyDescent="0.3">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c r="T2420">
        <f>IF(Table1[[#This Row],[Discount_Applied]]="Yes", 1,0)</f>
        <v>0</v>
      </c>
      <c r="U2420" t="str">
        <f>_xlfn.IFS(Table1[[#This Row],[Age]]&lt;=25, "Below 25", Table1[[#This Row],[Age]]&lt;=35, "Between 25-35", Table1[[#This Row],[Age]]&lt;=45, "Between 36-45", Table1[[#This Row],[Age]]&gt;45, "45+")</f>
        <v>Below 25</v>
      </c>
    </row>
    <row r="2421" spans="1:21" x14ac:dyDescent="0.3">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c r="T2421">
        <f>IF(Table1[[#This Row],[Discount_Applied]]="Yes", 1,0)</f>
        <v>0</v>
      </c>
      <c r="U2421" t="str">
        <f>_xlfn.IFS(Table1[[#This Row],[Age]]&lt;=25, "Below 25", Table1[[#This Row],[Age]]&lt;=35, "Between 25-35", Table1[[#This Row],[Age]]&lt;=45, "Between 36-45", Table1[[#This Row],[Age]]&gt;45, "45+")</f>
        <v>Between 25-35</v>
      </c>
    </row>
    <row r="2422" spans="1:21" x14ac:dyDescent="0.3">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c r="T2422">
        <f>IF(Table1[[#This Row],[Discount_Applied]]="Yes", 1,0)</f>
        <v>0</v>
      </c>
      <c r="U2422" t="str">
        <f>_xlfn.IFS(Table1[[#This Row],[Age]]&lt;=25, "Below 25", Table1[[#This Row],[Age]]&lt;=35, "Between 25-35", Table1[[#This Row],[Age]]&lt;=45, "Between 36-45", Table1[[#This Row],[Age]]&gt;45, "45+")</f>
        <v>Between 36-45</v>
      </c>
    </row>
    <row r="2423" spans="1:21" x14ac:dyDescent="0.3">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c r="T2423">
        <f>IF(Table1[[#This Row],[Discount_Applied]]="Yes", 1,0)</f>
        <v>0</v>
      </c>
      <c r="U2423" t="str">
        <f>_xlfn.IFS(Table1[[#This Row],[Age]]&lt;=25, "Below 25", Table1[[#This Row],[Age]]&lt;=35, "Between 25-35", Table1[[#This Row],[Age]]&lt;=45, "Between 36-45", Table1[[#This Row],[Age]]&gt;45, "45+")</f>
        <v>Between 36-45</v>
      </c>
    </row>
    <row r="2424" spans="1:21" x14ac:dyDescent="0.3">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c r="T2424">
        <f>IF(Table1[[#This Row],[Discount_Applied]]="Yes", 1,0)</f>
        <v>0</v>
      </c>
      <c r="U2424" t="str">
        <f>_xlfn.IFS(Table1[[#This Row],[Age]]&lt;=25, "Below 25", Table1[[#This Row],[Age]]&lt;=35, "Between 25-35", Table1[[#This Row],[Age]]&lt;=45, "Between 36-45", Table1[[#This Row],[Age]]&gt;45, "45+")</f>
        <v>Between 25-35</v>
      </c>
    </row>
    <row r="2425" spans="1:21" x14ac:dyDescent="0.3">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c r="T2425">
        <f>IF(Table1[[#This Row],[Discount_Applied]]="Yes", 1,0)</f>
        <v>0</v>
      </c>
      <c r="U2425" t="str">
        <f>_xlfn.IFS(Table1[[#This Row],[Age]]&lt;=25, "Below 25", Table1[[#This Row],[Age]]&lt;=35, "Between 25-35", Table1[[#This Row],[Age]]&lt;=45, "Between 36-45", Table1[[#This Row],[Age]]&gt;45, "45+")</f>
        <v>45+</v>
      </c>
    </row>
    <row r="2426" spans="1:21" x14ac:dyDescent="0.3">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c r="T2426">
        <f>IF(Table1[[#This Row],[Discount_Applied]]="Yes", 1,0)</f>
        <v>0</v>
      </c>
      <c r="U2426" t="str">
        <f>_xlfn.IFS(Table1[[#This Row],[Age]]&lt;=25, "Below 25", Table1[[#This Row],[Age]]&lt;=35, "Between 25-35", Table1[[#This Row],[Age]]&lt;=45, "Between 36-45", Table1[[#This Row],[Age]]&gt;45, "45+")</f>
        <v>45+</v>
      </c>
    </row>
    <row r="2427" spans="1:21" x14ac:dyDescent="0.3">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c r="T2427">
        <f>IF(Table1[[#This Row],[Discount_Applied]]="Yes", 1,0)</f>
        <v>0</v>
      </c>
      <c r="U2427" t="str">
        <f>_xlfn.IFS(Table1[[#This Row],[Age]]&lt;=25, "Below 25", Table1[[#This Row],[Age]]&lt;=35, "Between 25-35", Table1[[#This Row],[Age]]&lt;=45, "Between 36-45", Table1[[#This Row],[Age]]&gt;45, "45+")</f>
        <v>45+</v>
      </c>
    </row>
    <row r="2428" spans="1:21" x14ac:dyDescent="0.3">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c r="T2428">
        <f>IF(Table1[[#This Row],[Discount_Applied]]="Yes", 1,0)</f>
        <v>0</v>
      </c>
      <c r="U2428" t="str">
        <f>_xlfn.IFS(Table1[[#This Row],[Age]]&lt;=25, "Below 25", Table1[[#This Row],[Age]]&lt;=35, "Between 25-35", Table1[[#This Row],[Age]]&lt;=45, "Between 36-45", Table1[[#This Row],[Age]]&gt;45, "45+")</f>
        <v>45+</v>
      </c>
    </row>
    <row r="2429" spans="1:21" x14ac:dyDescent="0.3">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c r="T2429">
        <f>IF(Table1[[#This Row],[Discount_Applied]]="Yes", 1,0)</f>
        <v>0</v>
      </c>
      <c r="U2429" t="str">
        <f>_xlfn.IFS(Table1[[#This Row],[Age]]&lt;=25, "Below 25", Table1[[#This Row],[Age]]&lt;=35, "Between 25-35", Table1[[#This Row],[Age]]&lt;=45, "Between 36-45", Table1[[#This Row],[Age]]&gt;45, "45+")</f>
        <v>Between 25-35</v>
      </c>
    </row>
    <row r="2430" spans="1:21" x14ac:dyDescent="0.3">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c r="T2430">
        <f>IF(Table1[[#This Row],[Discount_Applied]]="Yes", 1,0)</f>
        <v>0</v>
      </c>
      <c r="U2430" t="str">
        <f>_xlfn.IFS(Table1[[#This Row],[Age]]&lt;=25, "Below 25", Table1[[#This Row],[Age]]&lt;=35, "Between 25-35", Table1[[#This Row],[Age]]&lt;=45, "Between 36-45", Table1[[#This Row],[Age]]&gt;45, "45+")</f>
        <v>45+</v>
      </c>
    </row>
    <row r="2431" spans="1:21" x14ac:dyDescent="0.3">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c r="T2431">
        <f>IF(Table1[[#This Row],[Discount_Applied]]="Yes", 1,0)</f>
        <v>0</v>
      </c>
      <c r="U2431" t="str">
        <f>_xlfn.IFS(Table1[[#This Row],[Age]]&lt;=25, "Below 25", Table1[[#This Row],[Age]]&lt;=35, "Between 25-35", Table1[[#This Row],[Age]]&lt;=45, "Between 36-45", Table1[[#This Row],[Age]]&gt;45, "45+")</f>
        <v>45+</v>
      </c>
    </row>
    <row r="2432" spans="1:21" x14ac:dyDescent="0.3">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c r="T2432">
        <f>IF(Table1[[#This Row],[Discount_Applied]]="Yes", 1,0)</f>
        <v>0</v>
      </c>
      <c r="U2432" t="str">
        <f>_xlfn.IFS(Table1[[#This Row],[Age]]&lt;=25, "Below 25", Table1[[#This Row],[Age]]&lt;=35, "Between 25-35", Table1[[#This Row],[Age]]&lt;=45, "Between 36-45", Table1[[#This Row],[Age]]&gt;45, "45+")</f>
        <v>Below 25</v>
      </c>
    </row>
    <row r="2433" spans="1:21" x14ac:dyDescent="0.3">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c r="T2433">
        <f>IF(Table1[[#This Row],[Discount_Applied]]="Yes", 1,0)</f>
        <v>0</v>
      </c>
      <c r="U2433" t="str">
        <f>_xlfn.IFS(Table1[[#This Row],[Age]]&lt;=25, "Below 25", Table1[[#This Row],[Age]]&lt;=35, "Between 25-35", Table1[[#This Row],[Age]]&lt;=45, "Between 36-45", Table1[[#This Row],[Age]]&gt;45, "45+")</f>
        <v>Between 25-35</v>
      </c>
    </row>
    <row r="2434" spans="1:21" x14ac:dyDescent="0.3">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c r="T2434">
        <f>IF(Table1[[#This Row],[Discount_Applied]]="Yes", 1,0)</f>
        <v>0</v>
      </c>
      <c r="U2434" t="str">
        <f>_xlfn.IFS(Table1[[#This Row],[Age]]&lt;=25, "Below 25", Table1[[#This Row],[Age]]&lt;=35, "Between 25-35", Table1[[#This Row],[Age]]&lt;=45, "Between 36-45", Table1[[#This Row],[Age]]&gt;45, "45+")</f>
        <v>45+</v>
      </c>
    </row>
    <row r="2435" spans="1:21" x14ac:dyDescent="0.3">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c r="T2435">
        <f>IF(Table1[[#This Row],[Discount_Applied]]="Yes", 1,0)</f>
        <v>0</v>
      </c>
      <c r="U2435" t="str">
        <f>_xlfn.IFS(Table1[[#This Row],[Age]]&lt;=25, "Below 25", Table1[[#This Row],[Age]]&lt;=35, "Between 25-35", Table1[[#This Row],[Age]]&lt;=45, "Between 36-45", Table1[[#This Row],[Age]]&gt;45, "45+")</f>
        <v>45+</v>
      </c>
    </row>
    <row r="2436" spans="1:21" x14ac:dyDescent="0.3">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c r="T2436">
        <f>IF(Table1[[#This Row],[Discount_Applied]]="Yes", 1,0)</f>
        <v>0</v>
      </c>
      <c r="U2436" t="str">
        <f>_xlfn.IFS(Table1[[#This Row],[Age]]&lt;=25, "Below 25", Table1[[#This Row],[Age]]&lt;=35, "Between 25-35", Table1[[#This Row],[Age]]&lt;=45, "Between 36-45", Table1[[#This Row],[Age]]&gt;45, "45+")</f>
        <v>Between 36-45</v>
      </c>
    </row>
    <row r="2437" spans="1:21" x14ac:dyDescent="0.3">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c r="T2437">
        <f>IF(Table1[[#This Row],[Discount_Applied]]="Yes", 1,0)</f>
        <v>0</v>
      </c>
      <c r="U2437" t="str">
        <f>_xlfn.IFS(Table1[[#This Row],[Age]]&lt;=25, "Below 25", Table1[[#This Row],[Age]]&lt;=35, "Between 25-35", Table1[[#This Row],[Age]]&lt;=45, "Between 36-45", Table1[[#This Row],[Age]]&gt;45, "45+")</f>
        <v>Below 25</v>
      </c>
    </row>
    <row r="2438" spans="1:21" x14ac:dyDescent="0.3">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c r="T2438">
        <f>IF(Table1[[#This Row],[Discount_Applied]]="Yes", 1,0)</f>
        <v>0</v>
      </c>
      <c r="U2438" t="str">
        <f>_xlfn.IFS(Table1[[#This Row],[Age]]&lt;=25, "Below 25", Table1[[#This Row],[Age]]&lt;=35, "Between 25-35", Table1[[#This Row],[Age]]&lt;=45, "Between 36-45", Table1[[#This Row],[Age]]&gt;45, "45+")</f>
        <v>45+</v>
      </c>
    </row>
    <row r="2439" spans="1:21" x14ac:dyDescent="0.3">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c r="T2439">
        <f>IF(Table1[[#This Row],[Discount_Applied]]="Yes", 1,0)</f>
        <v>0</v>
      </c>
      <c r="U2439" t="str">
        <f>_xlfn.IFS(Table1[[#This Row],[Age]]&lt;=25, "Below 25", Table1[[#This Row],[Age]]&lt;=35, "Between 25-35", Table1[[#This Row],[Age]]&lt;=45, "Between 36-45", Table1[[#This Row],[Age]]&gt;45, "45+")</f>
        <v>Between 36-45</v>
      </c>
    </row>
    <row r="2440" spans="1:21" x14ac:dyDescent="0.3">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c r="T2440">
        <f>IF(Table1[[#This Row],[Discount_Applied]]="Yes", 1,0)</f>
        <v>0</v>
      </c>
      <c r="U2440" t="str">
        <f>_xlfn.IFS(Table1[[#This Row],[Age]]&lt;=25, "Below 25", Table1[[#This Row],[Age]]&lt;=35, "Between 25-35", Table1[[#This Row],[Age]]&lt;=45, "Between 36-45", Table1[[#This Row],[Age]]&gt;45, "45+")</f>
        <v>Between 25-35</v>
      </c>
    </row>
    <row r="2441" spans="1:21" x14ac:dyDescent="0.3">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c r="T2441">
        <f>IF(Table1[[#This Row],[Discount_Applied]]="Yes", 1,0)</f>
        <v>0</v>
      </c>
      <c r="U2441" t="str">
        <f>_xlfn.IFS(Table1[[#This Row],[Age]]&lt;=25, "Below 25", Table1[[#This Row],[Age]]&lt;=35, "Between 25-35", Table1[[#This Row],[Age]]&lt;=45, "Between 36-45", Table1[[#This Row],[Age]]&gt;45, "45+")</f>
        <v>45+</v>
      </c>
    </row>
    <row r="2442" spans="1:21" x14ac:dyDescent="0.3">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c r="T2442">
        <f>IF(Table1[[#This Row],[Discount_Applied]]="Yes", 1,0)</f>
        <v>0</v>
      </c>
      <c r="U2442" t="str">
        <f>_xlfn.IFS(Table1[[#This Row],[Age]]&lt;=25, "Below 25", Table1[[#This Row],[Age]]&lt;=35, "Between 25-35", Table1[[#This Row],[Age]]&lt;=45, "Between 36-45", Table1[[#This Row],[Age]]&gt;45, "45+")</f>
        <v>Between 25-35</v>
      </c>
    </row>
    <row r="2443" spans="1:21" x14ac:dyDescent="0.3">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c r="T2443">
        <f>IF(Table1[[#This Row],[Discount_Applied]]="Yes", 1,0)</f>
        <v>0</v>
      </c>
      <c r="U2443" t="str">
        <f>_xlfn.IFS(Table1[[#This Row],[Age]]&lt;=25, "Below 25", Table1[[#This Row],[Age]]&lt;=35, "Between 25-35", Table1[[#This Row],[Age]]&lt;=45, "Between 36-45", Table1[[#This Row],[Age]]&gt;45, "45+")</f>
        <v>Between 36-45</v>
      </c>
    </row>
    <row r="2444" spans="1:21" x14ac:dyDescent="0.3">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c r="T2444">
        <f>IF(Table1[[#This Row],[Discount_Applied]]="Yes", 1,0)</f>
        <v>0</v>
      </c>
      <c r="U2444" t="str">
        <f>_xlfn.IFS(Table1[[#This Row],[Age]]&lt;=25, "Below 25", Table1[[#This Row],[Age]]&lt;=35, "Between 25-35", Table1[[#This Row],[Age]]&lt;=45, "Between 36-45", Table1[[#This Row],[Age]]&gt;45, "45+")</f>
        <v>45+</v>
      </c>
    </row>
    <row r="2445" spans="1:21" x14ac:dyDescent="0.3">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c r="T2445">
        <f>IF(Table1[[#This Row],[Discount_Applied]]="Yes", 1,0)</f>
        <v>0</v>
      </c>
      <c r="U2445" t="str">
        <f>_xlfn.IFS(Table1[[#This Row],[Age]]&lt;=25, "Below 25", Table1[[#This Row],[Age]]&lt;=35, "Between 25-35", Table1[[#This Row],[Age]]&lt;=45, "Between 36-45", Table1[[#This Row],[Age]]&gt;45, "45+")</f>
        <v>Below 25</v>
      </c>
    </row>
    <row r="2446" spans="1:21" x14ac:dyDescent="0.3">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c r="T2446">
        <f>IF(Table1[[#This Row],[Discount_Applied]]="Yes", 1,0)</f>
        <v>0</v>
      </c>
      <c r="U2446" t="str">
        <f>_xlfn.IFS(Table1[[#This Row],[Age]]&lt;=25, "Below 25", Table1[[#This Row],[Age]]&lt;=35, "Between 25-35", Table1[[#This Row],[Age]]&lt;=45, "Between 36-45", Table1[[#This Row],[Age]]&gt;45, "45+")</f>
        <v>45+</v>
      </c>
    </row>
    <row r="2447" spans="1:21" x14ac:dyDescent="0.3">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c r="T2447">
        <f>IF(Table1[[#This Row],[Discount_Applied]]="Yes", 1,0)</f>
        <v>0</v>
      </c>
      <c r="U2447" t="str">
        <f>_xlfn.IFS(Table1[[#This Row],[Age]]&lt;=25, "Below 25", Table1[[#This Row],[Age]]&lt;=35, "Between 25-35", Table1[[#This Row],[Age]]&lt;=45, "Between 36-45", Table1[[#This Row],[Age]]&gt;45, "45+")</f>
        <v>45+</v>
      </c>
    </row>
    <row r="2448" spans="1:21" x14ac:dyDescent="0.3">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c r="T2448">
        <f>IF(Table1[[#This Row],[Discount_Applied]]="Yes", 1,0)</f>
        <v>0</v>
      </c>
      <c r="U2448" t="str">
        <f>_xlfn.IFS(Table1[[#This Row],[Age]]&lt;=25, "Below 25", Table1[[#This Row],[Age]]&lt;=35, "Between 25-35", Table1[[#This Row],[Age]]&lt;=45, "Between 36-45", Table1[[#This Row],[Age]]&gt;45, "45+")</f>
        <v>Between 36-45</v>
      </c>
    </row>
    <row r="2449" spans="1:21" x14ac:dyDescent="0.3">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c r="T2449">
        <f>IF(Table1[[#This Row],[Discount_Applied]]="Yes", 1,0)</f>
        <v>0</v>
      </c>
      <c r="U2449" t="str">
        <f>_xlfn.IFS(Table1[[#This Row],[Age]]&lt;=25, "Below 25", Table1[[#This Row],[Age]]&lt;=35, "Between 25-35", Table1[[#This Row],[Age]]&lt;=45, "Between 36-45", Table1[[#This Row],[Age]]&gt;45, "45+")</f>
        <v>45+</v>
      </c>
    </row>
    <row r="2450" spans="1:21" x14ac:dyDescent="0.3">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c r="T2450">
        <f>IF(Table1[[#This Row],[Discount_Applied]]="Yes", 1,0)</f>
        <v>0</v>
      </c>
      <c r="U2450" t="str">
        <f>_xlfn.IFS(Table1[[#This Row],[Age]]&lt;=25, "Below 25", Table1[[#This Row],[Age]]&lt;=35, "Between 25-35", Table1[[#This Row],[Age]]&lt;=45, "Between 36-45", Table1[[#This Row],[Age]]&gt;45, "45+")</f>
        <v>45+</v>
      </c>
    </row>
    <row r="2451" spans="1:21" x14ac:dyDescent="0.3">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c r="T2451">
        <f>IF(Table1[[#This Row],[Discount_Applied]]="Yes", 1,0)</f>
        <v>0</v>
      </c>
      <c r="U2451" t="str">
        <f>_xlfn.IFS(Table1[[#This Row],[Age]]&lt;=25, "Below 25", Table1[[#This Row],[Age]]&lt;=35, "Between 25-35", Table1[[#This Row],[Age]]&lt;=45, "Between 36-45", Table1[[#This Row],[Age]]&gt;45, "45+")</f>
        <v>Between 25-35</v>
      </c>
    </row>
    <row r="2452" spans="1:21" x14ac:dyDescent="0.3">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c r="T2452">
        <f>IF(Table1[[#This Row],[Discount_Applied]]="Yes", 1,0)</f>
        <v>0</v>
      </c>
      <c r="U2452" t="str">
        <f>_xlfn.IFS(Table1[[#This Row],[Age]]&lt;=25, "Below 25", Table1[[#This Row],[Age]]&lt;=35, "Between 25-35", Table1[[#This Row],[Age]]&lt;=45, "Between 36-45", Table1[[#This Row],[Age]]&gt;45, "45+")</f>
        <v>45+</v>
      </c>
    </row>
    <row r="2453" spans="1:21" x14ac:dyDescent="0.3">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c r="T2453">
        <f>IF(Table1[[#This Row],[Discount_Applied]]="Yes", 1,0)</f>
        <v>0</v>
      </c>
      <c r="U2453" t="str">
        <f>_xlfn.IFS(Table1[[#This Row],[Age]]&lt;=25, "Below 25", Table1[[#This Row],[Age]]&lt;=35, "Between 25-35", Table1[[#This Row],[Age]]&lt;=45, "Between 36-45", Table1[[#This Row],[Age]]&gt;45, "45+")</f>
        <v>Between 36-45</v>
      </c>
    </row>
    <row r="2454" spans="1:21" x14ac:dyDescent="0.3">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c r="T2454">
        <f>IF(Table1[[#This Row],[Discount_Applied]]="Yes", 1,0)</f>
        <v>0</v>
      </c>
      <c r="U2454" t="str">
        <f>_xlfn.IFS(Table1[[#This Row],[Age]]&lt;=25, "Below 25", Table1[[#This Row],[Age]]&lt;=35, "Between 25-35", Table1[[#This Row],[Age]]&lt;=45, "Between 36-45", Table1[[#This Row],[Age]]&gt;45, "45+")</f>
        <v>45+</v>
      </c>
    </row>
    <row r="2455" spans="1:21" x14ac:dyDescent="0.3">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c r="T2455">
        <f>IF(Table1[[#This Row],[Discount_Applied]]="Yes", 1,0)</f>
        <v>0</v>
      </c>
      <c r="U2455" t="str">
        <f>_xlfn.IFS(Table1[[#This Row],[Age]]&lt;=25, "Below 25", Table1[[#This Row],[Age]]&lt;=35, "Between 25-35", Table1[[#This Row],[Age]]&lt;=45, "Between 36-45", Table1[[#This Row],[Age]]&gt;45, "45+")</f>
        <v>Below 25</v>
      </c>
    </row>
    <row r="2456" spans="1:21" x14ac:dyDescent="0.3">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c r="T2456">
        <f>IF(Table1[[#This Row],[Discount_Applied]]="Yes", 1,0)</f>
        <v>0</v>
      </c>
      <c r="U2456" t="str">
        <f>_xlfn.IFS(Table1[[#This Row],[Age]]&lt;=25, "Below 25", Table1[[#This Row],[Age]]&lt;=35, "Between 25-35", Table1[[#This Row],[Age]]&lt;=45, "Between 36-45", Table1[[#This Row],[Age]]&gt;45, "45+")</f>
        <v>Between 25-35</v>
      </c>
    </row>
    <row r="2457" spans="1:21" x14ac:dyDescent="0.3">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c r="T2457">
        <f>IF(Table1[[#This Row],[Discount_Applied]]="Yes", 1,0)</f>
        <v>0</v>
      </c>
      <c r="U2457" t="str">
        <f>_xlfn.IFS(Table1[[#This Row],[Age]]&lt;=25, "Below 25", Table1[[#This Row],[Age]]&lt;=35, "Between 25-35", Table1[[#This Row],[Age]]&lt;=45, "Between 36-45", Table1[[#This Row],[Age]]&gt;45, "45+")</f>
        <v>Below 25</v>
      </c>
    </row>
    <row r="2458" spans="1:21" x14ac:dyDescent="0.3">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c r="T2458">
        <f>IF(Table1[[#This Row],[Discount_Applied]]="Yes", 1,0)</f>
        <v>0</v>
      </c>
      <c r="U2458" t="str">
        <f>_xlfn.IFS(Table1[[#This Row],[Age]]&lt;=25, "Below 25", Table1[[#This Row],[Age]]&lt;=35, "Between 25-35", Table1[[#This Row],[Age]]&lt;=45, "Between 36-45", Table1[[#This Row],[Age]]&gt;45, "45+")</f>
        <v>45+</v>
      </c>
    </row>
    <row r="2459" spans="1:21" x14ac:dyDescent="0.3">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c r="T2459">
        <f>IF(Table1[[#This Row],[Discount_Applied]]="Yes", 1,0)</f>
        <v>0</v>
      </c>
      <c r="U2459" t="str">
        <f>_xlfn.IFS(Table1[[#This Row],[Age]]&lt;=25, "Below 25", Table1[[#This Row],[Age]]&lt;=35, "Between 25-35", Table1[[#This Row],[Age]]&lt;=45, "Between 36-45", Table1[[#This Row],[Age]]&gt;45, "45+")</f>
        <v>45+</v>
      </c>
    </row>
    <row r="2460" spans="1:21" x14ac:dyDescent="0.3">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c r="T2460">
        <f>IF(Table1[[#This Row],[Discount_Applied]]="Yes", 1,0)</f>
        <v>0</v>
      </c>
      <c r="U2460" t="str">
        <f>_xlfn.IFS(Table1[[#This Row],[Age]]&lt;=25, "Below 25", Table1[[#This Row],[Age]]&lt;=35, "Between 25-35", Table1[[#This Row],[Age]]&lt;=45, "Between 36-45", Table1[[#This Row],[Age]]&gt;45, "45+")</f>
        <v>45+</v>
      </c>
    </row>
    <row r="2461" spans="1:21" x14ac:dyDescent="0.3">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c r="T2461">
        <f>IF(Table1[[#This Row],[Discount_Applied]]="Yes", 1,0)</f>
        <v>0</v>
      </c>
      <c r="U2461" t="str">
        <f>_xlfn.IFS(Table1[[#This Row],[Age]]&lt;=25, "Below 25", Table1[[#This Row],[Age]]&lt;=35, "Between 25-35", Table1[[#This Row],[Age]]&lt;=45, "Between 36-45", Table1[[#This Row],[Age]]&gt;45, "45+")</f>
        <v>45+</v>
      </c>
    </row>
    <row r="2462" spans="1:21" x14ac:dyDescent="0.3">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c r="T2462">
        <f>IF(Table1[[#This Row],[Discount_Applied]]="Yes", 1,0)</f>
        <v>0</v>
      </c>
      <c r="U2462" t="str">
        <f>_xlfn.IFS(Table1[[#This Row],[Age]]&lt;=25, "Below 25", Table1[[#This Row],[Age]]&lt;=35, "Between 25-35", Table1[[#This Row],[Age]]&lt;=45, "Between 36-45", Table1[[#This Row],[Age]]&gt;45, "45+")</f>
        <v>45+</v>
      </c>
    </row>
    <row r="2463" spans="1:21" x14ac:dyDescent="0.3">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c r="T2463">
        <f>IF(Table1[[#This Row],[Discount_Applied]]="Yes", 1,0)</f>
        <v>0</v>
      </c>
      <c r="U2463" t="str">
        <f>_xlfn.IFS(Table1[[#This Row],[Age]]&lt;=25, "Below 25", Table1[[#This Row],[Age]]&lt;=35, "Between 25-35", Table1[[#This Row],[Age]]&lt;=45, "Between 36-45", Table1[[#This Row],[Age]]&gt;45, "45+")</f>
        <v>Between 25-35</v>
      </c>
    </row>
    <row r="2464" spans="1:21" x14ac:dyDescent="0.3">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c r="T2464">
        <f>IF(Table1[[#This Row],[Discount_Applied]]="Yes", 1,0)</f>
        <v>0</v>
      </c>
      <c r="U2464" t="str">
        <f>_xlfn.IFS(Table1[[#This Row],[Age]]&lt;=25, "Below 25", Table1[[#This Row],[Age]]&lt;=35, "Between 25-35", Table1[[#This Row],[Age]]&lt;=45, "Between 36-45", Table1[[#This Row],[Age]]&gt;45, "45+")</f>
        <v>45+</v>
      </c>
    </row>
    <row r="2465" spans="1:21" x14ac:dyDescent="0.3">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c r="T2465">
        <f>IF(Table1[[#This Row],[Discount_Applied]]="Yes", 1,0)</f>
        <v>0</v>
      </c>
      <c r="U2465" t="str">
        <f>_xlfn.IFS(Table1[[#This Row],[Age]]&lt;=25, "Below 25", Table1[[#This Row],[Age]]&lt;=35, "Between 25-35", Table1[[#This Row],[Age]]&lt;=45, "Between 36-45", Table1[[#This Row],[Age]]&gt;45, "45+")</f>
        <v>45+</v>
      </c>
    </row>
    <row r="2466" spans="1:21" x14ac:dyDescent="0.3">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c r="T2466">
        <f>IF(Table1[[#This Row],[Discount_Applied]]="Yes", 1,0)</f>
        <v>0</v>
      </c>
      <c r="U2466" t="str">
        <f>_xlfn.IFS(Table1[[#This Row],[Age]]&lt;=25, "Below 25", Table1[[#This Row],[Age]]&lt;=35, "Between 25-35", Table1[[#This Row],[Age]]&lt;=45, "Between 36-45", Table1[[#This Row],[Age]]&gt;45, "45+")</f>
        <v>45+</v>
      </c>
    </row>
    <row r="2467" spans="1:21" x14ac:dyDescent="0.3">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c r="T2467">
        <f>IF(Table1[[#This Row],[Discount_Applied]]="Yes", 1,0)</f>
        <v>0</v>
      </c>
      <c r="U2467" t="str">
        <f>_xlfn.IFS(Table1[[#This Row],[Age]]&lt;=25, "Below 25", Table1[[#This Row],[Age]]&lt;=35, "Between 25-35", Table1[[#This Row],[Age]]&lt;=45, "Between 36-45", Table1[[#This Row],[Age]]&gt;45, "45+")</f>
        <v>Below 25</v>
      </c>
    </row>
    <row r="2468" spans="1:21" x14ac:dyDescent="0.3">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c r="T2468">
        <f>IF(Table1[[#This Row],[Discount_Applied]]="Yes", 1,0)</f>
        <v>0</v>
      </c>
      <c r="U2468" t="str">
        <f>_xlfn.IFS(Table1[[#This Row],[Age]]&lt;=25, "Below 25", Table1[[#This Row],[Age]]&lt;=35, "Between 25-35", Table1[[#This Row],[Age]]&lt;=45, "Between 36-45", Table1[[#This Row],[Age]]&gt;45, "45+")</f>
        <v>Between 25-35</v>
      </c>
    </row>
    <row r="2469" spans="1:21" x14ac:dyDescent="0.3">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c r="T2469">
        <f>IF(Table1[[#This Row],[Discount_Applied]]="Yes", 1,0)</f>
        <v>0</v>
      </c>
      <c r="U2469" t="str">
        <f>_xlfn.IFS(Table1[[#This Row],[Age]]&lt;=25, "Below 25", Table1[[#This Row],[Age]]&lt;=35, "Between 25-35", Table1[[#This Row],[Age]]&lt;=45, "Between 36-45", Table1[[#This Row],[Age]]&gt;45, "45+")</f>
        <v>Between 25-35</v>
      </c>
    </row>
    <row r="2470" spans="1:21" x14ac:dyDescent="0.3">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c r="T2470">
        <f>IF(Table1[[#This Row],[Discount_Applied]]="Yes", 1,0)</f>
        <v>0</v>
      </c>
      <c r="U2470" t="str">
        <f>_xlfn.IFS(Table1[[#This Row],[Age]]&lt;=25, "Below 25", Table1[[#This Row],[Age]]&lt;=35, "Between 25-35", Table1[[#This Row],[Age]]&lt;=45, "Between 36-45", Table1[[#This Row],[Age]]&gt;45, "45+")</f>
        <v>45+</v>
      </c>
    </row>
    <row r="2471" spans="1:21" x14ac:dyDescent="0.3">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c r="T2471">
        <f>IF(Table1[[#This Row],[Discount_Applied]]="Yes", 1,0)</f>
        <v>0</v>
      </c>
      <c r="U2471" t="str">
        <f>_xlfn.IFS(Table1[[#This Row],[Age]]&lt;=25, "Below 25", Table1[[#This Row],[Age]]&lt;=35, "Between 25-35", Table1[[#This Row],[Age]]&lt;=45, "Between 36-45", Table1[[#This Row],[Age]]&gt;45, "45+")</f>
        <v>45+</v>
      </c>
    </row>
    <row r="2472" spans="1:21" x14ac:dyDescent="0.3">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c r="T2472">
        <f>IF(Table1[[#This Row],[Discount_Applied]]="Yes", 1,0)</f>
        <v>0</v>
      </c>
      <c r="U2472" t="str">
        <f>_xlfn.IFS(Table1[[#This Row],[Age]]&lt;=25, "Below 25", Table1[[#This Row],[Age]]&lt;=35, "Between 25-35", Table1[[#This Row],[Age]]&lt;=45, "Between 36-45", Table1[[#This Row],[Age]]&gt;45, "45+")</f>
        <v>45+</v>
      </c>
    </row>
    <row r="2473" spans="1:21" x14ac:dyDescent="0.3">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c r="T2473">
        <f>IF(Table1[[#This Row],[Discount_Applied]]="Yes", 1,0)</f>
        <v>0</v>
      </c>
      <c r="U2473" t="str">
        <f>_xlfn.IFS(Table1[[#This Row],[Age]]&lt;=25, "Below 25", Table1[[#This Row],[Age]]&lt;=35, "Between 25-35", Table1[[#This Row],[Age]]&lt;=45, "Between 36-45", Table1[[#This Row],[Age]]&gt;45, "45+")</f>
        <v>Between 25-35</v>
      </c>
    </row>
    <row r="2474" spans="1:21" x14ac:dyDescent="0.3">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c r="T2474">
        <f>IF(Table1[[#This Row],[Discount_Applied]]="Yes", 1,0)</f>
        <v>0</v>
      </c>
      <c r="U2474" t="str">
        <f>_xlfn.IFS(Table1[[#This Row],[Age]]&lt;=25, "Below 25", Table1[[#This Row],[Age]]&lt;=35, "Between 25-35", Table1[[#This Row],[Age]]&lt;=45, "Between 36-45", Table1[[#This Row],[Age]]&gt;45, "45+")</f>
        <v>Below 25</v>
      </c>
    </row>
    <row r="2475" spans="1:21" x14ac:dyDescent="0.3">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c r="T2475">
        <f>IF(Table1[[#This Row],[Discount_Applied]]="Yes", 1,0)</f>
        <v>0</v>
      </c>
      <c r="U2475" t="str">
        <f>_xlfn.IFS(Table1[[#This Row],[Age]]&lt;=25, "Below 25", Table1[[#This Row],[Age]]&lt;=35, "Between 25-35", Table1[[#This Row],[Age]]&lt;=45, "Between 36-45", Table1[[#This Row],[Age]]&gt;45, "45+")</f>
        <v>45+</v>
      </c>
    </row>
    <row r="2476" spans="1:21" x14ac:dyDescent="0.3">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c r="T2476">
        <f>IF(Table1[[#This Row],[Discount_Applied]]="Yes", 1,0)</f>
        <v>0</v>
      </c>
      <c r="U2476" t="str">
        <f>_xlfn.IFS(Table1[[#This Row],[Age]]&lt;=25, "Below 25", Table1[[#This Row],[Age]]&lt;=35, "Between 25-35", Table1[[#This Row],[Age]]&lt;=45, "Between 36-45", Table1[[#This Row],[Age]]&gt;45, "45+")</f>
        <v>Below 25</v>
      </c>
    </row>
    <row r="2477" spans="1:21" x14ac:dyDescent="0.3">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c r="T2477">
        <f>IF(Table1[[#This Row],[Discount_Applied]]="Yes", 1,0)</f>
        <v>0</v>
      </c>
      <c r="U2477" t="str">
        <f>_xlfn.IFS(Table1[[#This Row],[Age]]&lt;=25, "Below 25", Table1[[#This Row],[Age]]&lt;=35, "Between 25-35", Table1[[#This Row],[Age]]&lt;=45, "Between 36-45", Table1[[#This Row],[Age]]&gt;45, "45+")</f>
        <v>45+</v>
      </c>
    </row>
    <row r="2478" spans="1:21" x14ac:dyDescent="0.3">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c r="T2478">
        <f>IF(Table1[[#This Row],[Discount_Applied]]="Yes", 1,0)</f>
        <v>0</v>
      </c>
      <c r="U2478" t="str">
        <f>_xlfn.IFS(Table1[[#This Row],[Age]]&lt;=25, "Below 25", Table1[[#This Row],[Age]]&lt;=35, "Between 25-35", Table1[[#This Row],[Age]]&lt;=45, "Between 36-45", Table1[[#This Row],[Age]]&gt;45, "45+")</f>
        <v>45+</v>
      </c>
    </row>
    <row r="2479" spans="1:21" x14ac:dyDescent="0.3">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c r="T2479">
        <f>IF(Table1[[#This Row],[Discount_Applied]]="Yes", 1,0)</f>
        <v>0</v>
      </c>
      <c r="U2479" t="str">
        <f>_xlfn.IFS(Table1[[#This Row],[Age]]&lt;=25, "Below 25", Table1[[#This Row],[Age]]&lt;=35, "Between 25-35", Table1[[#This Row],[Age]]&lt;=45, "Between 36-45", Table1[[#This Row],[Age]]&gt;45, "45+")</f>
        <v>Below 25</v>
      </c>
    </row>
    <row r="2480" spans="1:21" x14ac:dyDescent="0.3">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c r="T2480">
        <f>IF(Table1[[#This Row],[Discount_Applied]]="Yes", 1,0)</f>
        <v>0</v>
      </c>
      <c r="U2480" t="str">
        <f>_xlfn.IFS(Table1[[#This Row],[Age]]&lt;=25, "Below 25", Table1[[#This Row],[Age]]&lt;=35, "Between 25-35", Table1[[#This Row],[Age]]&lt;=45, "Between 36-45", Table1[[#This Row],[Age]]&gt;45, "45+")</f>
        <v>Below 25</v>
      </c>
    </row>
    <row r="2481" spans="1:21" x14ac:dyDescent="0.3">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c r="T2481">
        <f>IF(Table1[[#This Row],[Discount_Applied]]="Yes", 1,0)</f>
        <v>0</v>
      </c>
      <c r="U2481" t="str">
        <f>_xlfn.IFS(Table1[[#This Row],[Age]]&lt;=25, "Below 25", Table1[[#This Row],[Age]]&lt;=35, "Between 25-35", Table1[[#This Row],[Age]]&lt;=45, "Between 36-45", Table1[[#This Row],[Age]]&gt;45, "45+")</f>
        <v>Between 36-45</v>
      </c>
    </row>
    <row r="2482" spans="1:21" x14ac:dyDescent="0.3">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c r="T2482">
        <f>IF(Table1[[#This Row],[Discount_Applied]]="Yes", 1,0)</f>
        <v>0</v>
      </c>
      <c r="U2482" t="str">
        <f>_xlfn.IFS(Table1[[#This Row],[Age]]&lt;=25, "Below 25", Table1[[#This Row],[Age]]&lt;=35, "Between 25-35", Table1[[#This Row],[Age]]&lt;=45, "Between 36-45", Table1[[#This Row],[Age]]&gt;45, "45+")</f>
        <v>45+</v>
      </c>
    </row>
    <row r="2483" spans="1:21" x14ac:dyDescent="0.3">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c r="T2483">
        <f>IF(Table1[[#This Row],[Discount_Applied]]="Yes", 1,0)</f>
        <v>0</v>
      </c>
      <c r="U2483" t="str">
        <f>_xlfn.IFS(Table1[[#This Row],[Age]]&lt;=25, "Below 25", Table1[[#This Row],[Age]]&lt;=35, "Between 25-35", Table1[[#This Row],[Age]]&lt;=45, "Between 36-45", Table1[[#This Row],[Age]]&gt;45, "45+")</f>
        <v>Between 36-45</v>
      </c>
    </row>
    <row r="2484" spans="1:21" x14ac:dyDescent="0.3">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c r="T2484">
        <f>IF(Table1[[#This Row],[Discount_Applied]]="Yes", 1,0)</f>
        <v>0</v>
      </c>
      <c r="U2484" t="str">
        <f>_xlfn.IFS(Table1[[#This Row],[Age]]&lt;=25, "Below 25", Table1[[#This Row],[Age]]&lt;=35, "Between 25-35", Table1[[#This Row],[Age]]&lt;=45, "Between 36-45", Table1[[#This Row],[Age]]&gt;45, "45+")</f>
        <v>45+</v>
      </c>
    </row>
    <row r="2485" spans="1:21" x14ac:dyDescent="0.3">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c r="T2485">
        <f>IF(Table1[[#This Row],[Discount_Applied]]="Yes", 1,0)</f>
        <v>0</v>
      </c>
      <c r="U2485" t="str">
        <f>_xlfn.IFS(Table1[[#This Row],[Age]]&lt;=25, "Below 25", Table1[[#This Row],[Age]]&lt;=35, "Between 25-35", Table1[[#This Row],[Age]]&lt;=45, "Between 36-45", Table1[[#This Row],[Age]]&gt;45, "45+")</f>
        <v>Between 25-35</v>
      </c>
    </row>
    <row r="2486" spans="1:21" x14ac:dyDescent="0.3">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c r="T2486">
        <f>IF(Table1[[#This Row],[Discount_Applied]]="Yes", 1,0)</f>
        <v>0</v>
      </c>
      <c r="U2486" t="str">
        <f>_xlfn.IFS(Table1[[#This Row],[Age]]&lt;=25, "Below 25", Table1[[#This Row],[Age]]&lt;=35, "Between 25-35", Table1[[#This Row],[Age]]&lt;=45, "Between 36-45", Table1[[#This Row],[Age]]&gt;45, "45+")</f>
        <v>45+</v>
      </c>
    </row>
    <row r="2487" spans="1:21" x14ac:dyDescent="0.3">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c r="T2487">
        <f>IF(Table1[[#This Row],[Discount_Applied]]="Yes", 1,0)</f>
        <v>0</v>
      </c>
      <c r="U2487" t="str">
        <f>_xlfn.IFS(Table1[[#This Row],[Age]]&lt;=25, "Below 25", Table1[[#This Row],[Age]]&lt;=35, "Between 25-35", Table1[[#This Row],[Age]]&lt;=45, "Between 36-45", Table1[[#This Row],[Age]]&gt;45, "45+")</f>
        <v>Between 36-45</v>
      </c>
    </row>
    <row r="2488" spans="1:21" x14ac:dyDescent="0.3">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c r="T2488">
        <f>IF(Table1[[#This Row],[Discount_Applied]]="Yes", 1,0)</f>
        <v>0</v>
      </c>
      <c r="U2488" t="str">
        <f>_xlfn.IFS(Table1[[#This Row],[Age]]&lt;=25, "Below 25", Table1[[#This Row],[Age]]&lt;=35, "Between 25-35", Table1[[#This Row],[Age]]&lt;=45, "Between 36-45", Table1[[#This Row],[Age]]&gt;45, "45+")</f>
        <v>45+</v>
      </c>
    </row>
    <row r="2489" spans="1:21" x14ac:dyDescent="0.3">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c r="T2489">
        <f>IF(Table1[[#This Row],[Discount_Applied]]="Yes", 1,0)</f>
        <v>0</v>
      </c>
      <c r="U2489" t="str">
        <f>_xlfn.IFS(Table1[[#This Row],[Age]]&lt;=25, "Below 25", Table1[[#This Row],[Age]]&lt;=35, "Between 25-35", Table1[[#This Row],[Age]]&lt;=45, "Between 36-45", Table1[[#This Row],[Age]]&gt;45, "45+")</f>
        <v>45+</v>
      </c>
    </row>
    <row r="2490" spans="1:21" x14ac:dyDescent="0.3">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c r="T2490">
        <f>IF(Table1[[#This Row],[Discount_Applied]]="Yes", 1,0)</f>
        <v>0</v>
      </c>
      <c r="U2490" t="str">
        <f>_xlfn.IFS(Table1[[#This Row],[Age]]&lt;=25, "Below 25", Table1[[#This Row],[Age]]&lt;=35, "Between 25-35", Table1[[#This Row],[Age]]&lt;=45, "Between 36-45", Table1[[#This Row],[Age]]&gt;45, "45+")</f>
        <v>45+</v>
      </c>
    </row>
    <row r="2491" spans="1:21" x14ac:dyDescent="0.3">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c r="T2491">
        <f>IF(Table1[[#This Row],[Discount_Applied]]="Yes", 1,0)</f>
        <v>0</v>
      </c>
      <c r="U2491" t="str">
        <f>_xlfn.IFS(Table1[[#This Row],[Age]]&lt;=25, "Below 25", Table1[[#This Row],[Age]]&lt;=35, "Between 25-35", Table1[[#This Row],[Age]]&lt;=45, "Between 36-45", Table1[[#This Row],[Age]]&gt;45, "45+")</f>
        <v>45+</v>
      </c>
    </row>
    <row r="2492" spans="1:21" x14ac:dyDescent="0.3">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c r="T2492">
        <f>IF(Table1[[#This Row],[Discount_Applied]]="Yes", 1,0)</f>
        <v>0</v>
      </c>
      <c r="U2492" t="str">
        <f>_xlfn.IFS(Table1[[#This Row],[Age]]&lt;=25, "Below 25", Table1[[#This Row],[Age]]&lt;=35, "Between 25-35", Table1[[#This Row],[Age]]&lt;=45, "Between 36-45", Table1[[#This Row],[Age]]&gt;45, "45+")</f>
        <v>45+</v>
      </c>
    </row>
    <row r="2493" spans="1:21" x14ac:dyDescent="0.3">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c r="T2493">
        <f>IF(Table1[[#This Row],[Discount_Applied]]="Yes", 1,0)</f>
        <v>0</v>
      </c>
      <c r="U2493" t="str">
        <f>_xlfn.IFS(Table1[[#This Row],[Age]]&lt;=25, "Below 25", Table1[[#This Row],[Age]]&lt;=35, "Between 25-35", Table1[[#This Row],[Age]]&lt;=45, "Between 36-45", Table1[[#This Row],[Age]]&gt;45, "45+")</f>
        <v>45+</v>
      </c>
    </row>
    <row r="2494" spans="1:21" x14ac:dyDescent="0.3">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c r="T2494">
        <f>IF(Table1[[#This Row],[Discount_Applied]]="Yes", 1,0)</f>
        <v>0</v>
      </c>
      <c r="U2494" t="str">
        <f>_xlfn.IFS(Table1[[#This Row],[Age]]&lt;=25, "Below 25", Table1[[#This Row],[Age]]&lt;=35, "Between 25-35", Table1[[#This Row],[Age]]&lt;=45, "Between 36-45", Table1[[#This Row],[Age]]&gt;45, "45+")</f>
        <v>45+</v>
      </c>
    </row>
    <row r="2495" spans="1:21" x14ac:dyDescent="0.3">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c r="T2495">
        <f>IF(Table1[[#This Row],[Discount_Applied]]="Yes", 1,0)</f>
        <v>0</v>
      </c>
      <c r="U2495" t="str">
        <f>_xlfn.IFS(Table1[[#This Row],[Age]]&lt;=25, "Below 25", Table1[[#This Row],[Age]]&lt;=35, "Between 25-35", Table1[[#This Row],[Age]]&lt;=45, "Between 36-45", Table1[[#This Row],[Age]]&gt;45, "45+")</f>
        <v>Below 25</v>
      </c>
    </row>
    <row r="2496" spans="1:21" x14ac:dyDescent="0.3">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c r="T2496">
        <f>IF(Table1[[#This Row],[Discount_Applied]]="Yes", 1,0)</f>
        <v>0</v>
      </c>
      <c r="U2496" t="str">
        <f>_xlfn.IFS(Table1[[#This Row],[Age]]&lt;=25, "Below 25", Table1[[#This Row],[Age]]&lt;=35, "Between 25-35", Table1[[#This Row],[Age]]&lt;=45, "Between 36-45", Table1[[#This Row],[Age]]&gt;45, "45+")</f>
        <v>Between 36-45</v>
      </c>
    </row>
    <row r="2497" spans="1:21" x14ac:dyDescent="0.3">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c r="T2497">
        <f>IF(Table1[[#This Row],[Discount_Applied]]="Yes", 1,0)</f>
        <v>0</v>
      </c>
      <c r="U2497" t="str">
        <f>_xlfn.IFS(Table1[[#This Row],[Age]]&lt;=25, "Below 25", Table1[[#This Row],[Age]]&lt;=35, "Between 25-35", Table1[[#This Row],[Age]]&lt;=45, "Between 36-45", Table1[[#This Row],[Age]]&gt;45, "45+")</f>
        <v>Between 36-45</v>
      </c>
    </row>
    <row r="2498" spans="1:21" x14ac:dyDescent="0.3">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c r="T2498">
        <f>IF(Table1[[#This Row],[Discount_Applied]]="Yes", 1,0)</f>
        <v>0</v>
      </c>
      <c r="U2498" t="str">
        <f>_xlfn.IFS(Table1[[#This Row],[Age]]&lt;=25, "Below 25", Table1[[#This Row],[Age]]&lt;=35, "Between 25-35", Table1[[#This Row],[Age]]&lt;=45, "Between 36-45", Table1[[#This Row],[Age]]&gt;45, "45+")</f>
        <v>45+</v>
      </c>
    </row>
    <row r="2499" spans="1:21" x14ac:dyDescent="0.3">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c r="T2499">
        <f>IF(Table1[[#This Row],[Discount_Applied]]="Yes", 1,0)</f>
        <v>0</v>
      </c>
      <c r="U2499" t="str">
        <f>_xlfn.IFS(Table1[[#This Row],[Age]]&lt;=25, "Below 25", Table1[[#This Row],[Age]]&lt;=35, "Between 25-35", Table1[[#This Row],[Age]]&lt;=45, "Between 36-45", Table1[[#This Row],[Age]]&gt;45, "45+")</f>
        <v>Between 25-35</v>
      </c>
    </row>
    <row r="2500" spans="1:21" x14ac:dyDescent="0.3">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c r="T2500">
        <f>IF(Table1[[#This Row],[Discount_Applied]]="Yes", 1,0)</f>
        <v>0</v>
      </c>
      <c r="U2500" t="str">
        <f>_xlfn.IFS(Table1[[#This Row],[Age]]&lt;=25, "Below 25", Table1[[#This Row],[Age]]&lt;=35, "Between 25-35", Table1[[#This Row],[Age]]&lt;=45, "Between 36-45", Table1[[#This Row],[Age]]&gt;45, "45+")</f>
        <v>Below 25</v>
      </c>
    </row>
    <row r="2501" spans="1:21" x14ac:dyDescent="0.3">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c r="T2501">
        <f>IF(Table1[[#This Row],[Discount_Applied]]="Yes", 1,0)</f>
        <v>0</v>
      </c>
      <c r="U2501" t="str">
        <f>_xlfn.IFS(Table1[[#This Row],[Age]]&lt;=25, "Below 25", Table1[[#This Row],[Age]]&lt;=35, "Between 25-35", Table1[[#This Row],[Age]]&lt;=45, "Between 36-45", Table1[[#This Row],[Age]]&gt;45, "45+")</f>
        <v>45+</v>
      </c>
    </row>
    <row r="2502" spans="1:21" x14ac:dyDescent="0.3">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c r="T2502">
        <f>IF(Table1[[#This Row],[Discount_Applied]]="Yes", 1,0)</f>
        <v>0</v>
      </c>
      <c r="U2502" t="str">
        <f>_xlfn.IFS(Table1[[#This Row],[Age]]&lt;=25, "Below 25", Table1[[#This Row],[Age]]&lt;=35, "Between 25-35", Table1[[#This Row],[Age]]&lt;=45, "Between 36-45", Table1[[#This Row],[Age]]&gt;45, "45+")</f>
        <v>45+</v>
      </c>
    </row>
    <row r="2503" spans="1:21" x14ac:dyDescent="0.3">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c r="T2503">
        <f>IF(Table1[[#This Row],[Discount_Applied]]="Yes", 1,0)</f>
        <v>0</v>
      </c>
      <c r="U2503" t="str">
        <f>_xlfn.IFS(Table1[[#This Row],[Age]]&lt;=25, "Below 25", Table1[[#This Row],[Age]]&lt;=35, "Between 25-35", Table1[[#This Row],[Age]]&lt;=45, "Between 36-45", Table1[[#This Row],[Age]]&gt;45, "45+")</f>
        <v>45+</v>
      </c>
    </row>
    <row r="2504" spans="1:21" x14ac:dyDescent="0.3">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c r="T2504">
        <f>IF(Table1[[#This Row],[Discount_Applied]]="Yes", 1,0)</f>
        <v>0</v>
      </c>
      <c r="U2504" t="str">
        <f>_xlfn.IFS(Table1[[#This Row],[Age]]&lt;=25, "Below 25", Table1[[#This Row],[Age]]&lt;=35, "Between 25-35", Table1[[#This Row],[Age]]&lt;=45, "Between 36-45", Table1[[#This Row],[Age]]&gt;45, "45+")</f>
        <v>45+</v>
      </c>
    </row>
    <row r="2505" spans="1:21" x14ac:dyDescent="0.3">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c r="T2505">
        <f>IF(Table1[[#This Row],[Discount_Applied]]="Yes", 1,0)</f>
        <v>0</v>
      </c>
      <c r="U2505" t="str">
        <f>_xlfn.IFS(Table1[[#This Row],[Age]]&lt;=25, "Below 25", Table1[[#This Row],[Age]]&lt;=35, "Between 25-35", Table1[[#This Row],[Age]]&lt;=45, "Between 36-45", Table1[[#This Row],[Age]]&gt;45, "45+")</f>
        <v>45+</v>
      </c>
    </row>
    <row r="2506" spans="1:21" x14ac:dyDescent="0.3">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c r="T2506">
        <f>IF(Table1[[#This Row],[Discount_Applied]]="Yes", 1,0)</f>
        <v>0</v>
      </c>
      <c r="U2506" t="str">
        <f>_xlfn.IFS(Table1[[#This Row],[Age]]&lt;=25, "Below 25", Table1[[#This Row],[Age]]&lt;=35, "Between 25-35", Table1[[#This Row],[Age]]&lt;=45, "Between 36-45", Table1[[#This Row],[Age]]&gt;45, "45+")</f>
        <v>45+</v>
      </c>
    </row>
    <row r="2507" spans="1:21" x14ac:dyDescent="0.3">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c r="T2507">
        <f>IF(Table1[[#This Row],[Discount_Applied]]="Yes", 1,0)</f>
        <v>0</v>
      </c>
      <c r="U2507" t="str">
        <f>_xlfn.IFS(Table1[[#This Row],[Age]]&lt;=25, "Below 25", Table1[[#This Row],[Age]]&lt;=35, "Between 25-35", Table1[[#This Row],[Age]]&lt;=45, "Between 36-45", Table1[[#This Row],[Age]]&gt;45, "45+")</f>
        <v>Between 25-35</v>
      </c>
    </row>
    <row r="2508" spans="1:21" x14ac:dyDescent="0.3">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c r="T2508">
        <f>IF(Table1[[#This Row],[Discount_Applied]]="Yes", 1,0)</f>
        <v>0</v>
      </c>
      <c r="U2508" t="str">
        <f>_xlfn.IFS(Table1[[#This Row],[Age]]&lt;=25, "Below 25", Table1[[#This Row],[Age]]&lt;=35, "Between 25-35", Table1[[#This Row],[Age]]&lt;=45, "Between 36-45", Table1[[#This Row],[Age]]&gt;45, "45+")</f>
        <v>45+</v>
      </c>
    </row>
    <row r="2509" spans="1:21" x14ac:dyDescent="0.3">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c r="T2509">
        <f>IF(Table1[[#This Row],[Discount_Applied]]="Yes", 1,0)</f>
        <v>0</v>
      </c>
      <c r="U2509" t="str">
        <f>_xlfn.IFS(Table1[[#This Row],[Age]]&lt;=25, "Below 25", Table1[[#This Row],[Age]]&lt;=35, "Between 25-35", Table1[[#This Row],[Age]]&lt;=45, "Between 36-45", Table1[[#This Row],[Age]]&gt;45, "45+")</f>
        <v>45+</v>
      </c>
    </row>
    <row r="2510" spans="1:21" x14ac:dyDescent="0.3">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c r="T2510">
        <f>IF(Table1[[#This Row],[Discount_Applied]]="Yes", 1,0)</f>
        <v>0</v>
      </c>
      <c r="U2510" t="str">
        <f>_xlfn.IFS(Table1[[#This Row],[Age]]&lt;=25, "Below 25", Table1[[#This Row],[Age]]&lt;=35, "Between 25-35", Table1[[#This Row],[Age]]&lt;=45, "Between 36-45", Table1[[#This Row],[Age]]&gt;45, "45+")</f>
        <v>Below 25</v>
      </c>
    </row>
    <row r="2511" spans="1:21" x14ac:dyDescent="0.3">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c r="T2511">
        <f>IF(Table1[[#This Row],[Discount_Applied]]="Yes", 1,0)</f>
        <v>0</v>
      </c>
      <c r="U2511" t="str">
        <f>_xlfn.IFS(Table1[[#This Row],[Age]]&lt;=25, "Below 25", Table1[[#This Row],[Age]]&lt;=35, "Between 25-35", Table1[[#This Row],[Age]]&lt;=45, "Between 36-45", Table1[[#This Row],[Age]]&gt;45, "45+")</f>
        <v>Below 25</v>
      </c>
    </row>
    <row r="2512" spans="1:21" x14ac:dyDescent="0.3">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c r="T2512">
        <f>IF(Table1[[#This Row],[Discount_Applied]]="Yes", 1,0)</f>
        <v>0</v>
      </c>
      <c r="U2512" t="str">
        <f>_xlfn.IFS(Table1[[#This Row],[Age]]&lt;=25, "Below 25", Table1[[#This Row],[Age]]&lt;=35, "Between 25-35", Table1[[#This Row],[Age]]&lt;=45, "Between 36-45", Table1[[#This Row],[Age]]&gt;45, "45+")</f>
        <v>Between 36-45</v>
      </c>
    </row>
    <row r="2513" spans="1:21" x14ac:dyDescent="0.3">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c r="T2513">
        <f>IF(Table1[[#This Row],[Discount_Applied]]="Yes", 1,0)</f>
        <v>0</v>
      </c>
      <c r="U2513" t="str">
        <f>_xlfn.IFS(Table1[[#This Row],[Age]]&lt;=25, "Below 25", Table1[[#This Row],[Age]]&lt;=35, "Between 25-35", Table1[[#This Row],[Age]]&lt;=45, "Between 36-45", Table1[[#This Row],[Age]]&gt;45, "45+")</f>
        <v>45+</v>
      </c>
    </row>
    <row r="2514" spans="1:21" x14ac:dyDescent="0.3">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c r="T2514">
        <f>IF(Table1[[#This Row],[Discount_Applied]]="Yes", 1,0)</f>
        <v>0</v>
      </c>
      <c r="U2514" t="str">
        <f>_xlfn.IFS(Table1[[#This Row],[Age]]&lt;=25, "Below 25", Table1[[#This Row],[Age]]&lt;=35, "Between 25-35", Table1[[#This Row],[Age]]&lt;=45, "Between 36-45", Table1[[#This Row],[Age]]&gt;45, "45+")</f>
        <v>45+</v>
      </c>
    </row>
    <row r="2515" spans="1:21" x14ac:dyDescent="0.3">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c r="T2515">
        <f>IF(Table1[[#This Row],[Discount_Applied]]="Yes", 1,0)</f>
        <v>0</v>
      </c>
      <c r="U2515" t="str">
        <f>_xlfn.IFS(Table1[[#This Row],[Age]]&lt;=25, "Below 25", Table1[[#This Row],[Age]]&lt;=35, "Between 25-35", Table1[[#This Row],[Age]]&lt;=45, "Between 36-45", Table1[[#This Row],[Age]]&gt;45, "45+")</f>
        <v>45+</v>
      </c>
    </row>
    <row r="2516" spans="1:21" x14ac:dyDescent="0.3">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c r="T2516">
        <f>IF(Table1[[#This Row],[Discount_Applied]]="Yes", 1,0)</f>
        <v>0</v>
      </c>
      <c r="U2516" t="str">
        <f>_xlfn.IFS(Table1[[#This Row],[Age]]&lt;=25, "Below 25", Table1[[#This Row],[Age]]&lt;=35, "Between 25-35", Table1[[#This Row],[Age]]&lt;=45, "Between 36-45", Table1[[#This Row],[Age]]&gt;45, "45+")</f>
        <v>Between 36-45</v>
      </c>
    </row>
    <row r="2517" spans="1:21" x14ac:dyDescent="0.3">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c r="T2517">
        <f>IF(Table1[[#This Row],[Discount_Applied]]="Yes", 1,0)</f>
        <v>0</v>
      </c>
      <c r="U2517" t="str">
        <f>_xlfn.IFS(Table1[[#This Row],[Age]]&lt;=25, "Below 25", Table1[[#This Row],[Age]]&lt;=35, "Between 25-35", Table1[[#This Row],[Age]]&lt;=45, "Between 36-45", Table1[[#This Row],[Age]]&gt;45, "45+")</f>
        <v>Between 36-45</v>
      </c>
    </row>
    <row r="2518" spans="1:21" x14ac:dyDescent="0.3">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c r="T2518">
        <f>IF(Table1[[#This Row],[Discount_Applied]]="Yes", 1,0)</f>
        <v>0</v>
      </c>
      <c r="U2518" t="str">
        <f>_xlfn.IFS(Table1[[#This Row],[Age]]&lt;=25, "Below 25", Table1[[#This Row],[Age]]&lt;=35, "Between 25-35", Table1[[#This Row],[Age]]&lt;=45, "Between 36-45", Table1[[#This Row],[Age]]&gt;45, "45+")</f>
        <v>45+</v>
      </c>
    </row>
    <row r="2519" spans="1:21" x14ac:dyDescent="0.3">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c r="T2519">
        <f>IF(Table1[[#This Row],[Discount_Applied]]="Yes", 1,0)</f>
        <v>0</v>
      </c>
      <c r="U2519" t="str">
        <f>_xlfn.IFS(Table1[[#This Row],[Age]]&lt;=25, "Below 25", Table1[[#This Row],[Age]]&lt;=35, "Between 25-35", Table1[[#This Row],[Age]]&lt;=45, "Between 36-45", Table1[[#This Row],[Age]]&gt;45, "45+")</f>
        <v>45+</v>
      </c>
    </row>
    <row r="2520" spans="1:21" x14ac:dyDescent="0.3">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c r="T2520">
        <f>IF(Table1[[#This Row],[Discount_Applied]]="Yes", 1,0)</f>
        <v>0</v>
      </c>
      <c r="U2520" t="str">
        <f>_xlfn.IFS(Table1[[#This Row],[Age]]&lt;=25, "Below 25", Table1[[#This Row],[Age]]&lt;=35, "Between 25-35", Table1[[#This Row],[Age]]&lt;=45, "Between 36-45", Table1[[#This Row],[Age]]&gt;45, "45+")</f>
        <v>Below 25</v>
      </c>
    </row>
    <row r="2521" spans="1:21" x14ac:dyDescent="0.3">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c r="T2521">
        <f>IF(Table1[[#This Row],[Discount_Applied]]="Yes", 1,0)</f>
        <v>0</v>
      </c>
      <c r="U2521" t="str">
        <f>_xlfn.IFS(Table1[[#This Row],[Age]]&lt;=25, "Below 25", Table1[[#This Row],[Age]]&lt;=35, "Between 25-35", Table1[[#This Row],[Age]]&lt;=45, "Between 36-45", Table1[[#This Row],[Age]]&gt;45, "45+")</f>
        <v>Between 36-45</v>
      </c>
    </row>
    <row r="2522" spans="1:21" x14ac:dyDescent="0.3">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c r="T2522">
        <f>IF(Table1[[#This Row],[Discount_Applied]]="Yes", 1,0)</f>
        <v>0</v>
      </c>
      <c r="U2522" t="str">
        <f>_xlfn.IFS(Table1[[#This Row],[Age]]&lt;=25, "Below 25", Table1[[#This Row],[Age]]&lt;=35, "Between 25-35", Table1[[#This Row],[Age]]&lt;=45, "Between 36-45", Table1[[#This Row],[Age]]&gt;45, "45+")</f>
        <v>45+</v>
      </c>
    </row>
    <row r="2523" spans="1:21" x14ac:dyDescent="0.3">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c r="T2523">
        <f>IF(Table1[[#This Row],[Discount_Applied]]="Yes", 1,0)</f>
        <v>0</v>
      </c>
      <c r="U2523" t="str">
        <f>_xlfn.IFS(Table1[[#This Row],[Age]]&lt;=25, "Below 25", Table1[[#This Row],[Age]]&lt;=35, "Between 25-35", Table1[[#This Row],[Age]]&lt;=45, "Between 36-45", Table1[[#This Row],[Age]]&gt;45, "45+")</f>
        <v>Between 25-35</v>
      </c>
    </row>
    <row r="2524" spans="1:21" x14ac:dyDescent="0.3">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c r="T2524">
        <f>IF(Table1[[#This Row],[Discount_Applied]]="Yes", 1,0)</f>
        <v>0</v>
      </c>
      <c r="U2524" t="str">
        <f>_xlfn.IFS(Table1[[#This Row],[Age]]&lt;=25, "Below 25", Table1[[#This Row],[Age]]&lt;=35, "Between 25-35", Table1[[#This Row],[Age]]&lt;=45, "Between 36-45", Table1[[#This Row],[Age]]&gt;45, "45+")</f>
        <v>Below 25</v>
      </c>
    </row>
    <row r="2525" spans="1:21" x14ac:dyDescent="0.3">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c r="T2525">
        <f>IF(Table1[[#This Row],[Discount_Applied]]="Yes", 1,0)</f>
        <v>0</v>
      </c>
      <c r="U2525" t="str">
        <f>_xlfn.IFS(Table1[[#This Row],[Age]]&lt;=25, "Below 25", Table1[[#This Row],[Age]]&lt;=35, "Between 25-35", Table1[[#This Row],[Age]]&lt;=45, "Between 36-45", Table1[[#This Row],[Age]]&gt;45, "45+")</f>
        <v>Between 36-45</v>
      </c>
    </row>
    <row r="2526" spans="1:21" x14ac:dyDescent="0.3">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c r="T2526">
        <f>IF(Table1[[#This Row],[Discount_Applied]]="Yes", 1,0)</f>
        <v>0</v>
      </c>
      <c r="U2526" t="str">
        <f>_xlfn.IFS(Table1[[#This Row],[Age]]&lt;=25, "Below 25", Table1[[#This Row],[Age]]&lt;=35, "Between 25-35", Table1[[#This Row],[Age]]&lt;=45, "Between 36-45", Table1[[#This Row],[Age]]&gt;45, "45+")</f>
        <v>45+</v>
      </c>
    </row>
    <row r="2527" spans="1:21" x14ac:dyDescent="0.3">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c r="T2527">
        <f>IF(Table1[[#This Row],[Discount_Applied]]="Yes", 1,0)</f>
        <v>0</v>
      </c>
      <c r="U2527" t="str">
        <f>_xlfn.IFS(Table1[[#This Row],[Age]]&lt;=25, "Below 25", Table1[[#This Row],[Age]]&lt;=35, "Between 25-35", Table1[[#This Row],[Age]]&lt;=45, "Between 36-45", Table1[[#This Row],[Age]]&gt;45, "45+")</f>
        <v>Between 36-45</v>
      </c>
    </row>
    <row r="2528" spans="1:21" x14ac:dyDescent="0.3">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c r="T2528">
        <f>IF(Table1[[#This Row],[Discount_Applied]]="Yes", 1,0)</f>
        <v>0</v>
      </c>
      <c r="U2528" t="str">
        <f>_xlfn.IFS(Table1[[#This Row],[Age]]&lt;=25, "Below 25", Table1[[#This Row],[Age]]&lt;=35, "Between 25-35", Table1[[#This Row],[Age]]&lt;=45, "Between 36-45", Table1[[#This Row],[Age]]&gt;45, "45+")</f>
        <v>45+</v>
      </c>
    </row>
    <row r="2529" spans="1:21" x14ac:dyDescent="0.3">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c r="T2529">
        <f>IF(Table1[[#This Row],[Discount_Applied]]="Yes", 1,0)</f>
        <v>0</v>
      </c>
      <c r="U2529" t="str">
        <f>_xlfn.IFS(Table1[[#This Row],[Age]]&lt;=25, "Below 25", Table1[[#This Row],[Age]]&lt;=35, "Between 25-35", Table1[[#This Row],[Age]]&lt;=45, "Between 36-45", Table1[[#This Row],[Age]]&gt;45, "45+")</f>
        <v>Below 25</v>
      </c>
    </row>
    <row r="2530" spans="1:21" x14ac:dyDescent="0.3">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c r="T2530">
        <f>IF(Table1[[#This Row],[Discount_Applied]]="Yes", 1,0)</f>
        <v>0</v>
      </c>
      <c r="U2530" t="str">
        <f>_xlfn.IFS(Table1[[#This Row],[Age]]&lt;=25, "Below 25", Table1[[#This Row],[Age]]&lt;=35, "Between 25-35", Table1[[#This Row],[Age]]&lt;=45, "Between 36-45", Table1[[#This Row],[Age]]&gt;45, "45+")</f>
        <v>45+</v>
      </c>
    </row>
    <row r="2531" spans="1:21" x14ac:dyDescent="0.3">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c r="T2531">
        <f>IF(Table1[[#This Row],[Discount_Applied]]="Yes", 1,0)</f>
        <v>0</v>
      </c>
      <c r="U2531" t="str">
        <f>_xlfn.IFS(Table1[[#This Row],[Age]]&lt;=25, "Below 25", Table1[[#This Row],[Age]]&lt;=35, "Between 25-35", Table1[[#This Row],[Age]]&lt;=45, "Between 36-45", Table1[[#This Row],[Age]]&gt;45, "45+")</f>
        <v>Between 25-35</v>
      </c>
    </row>
    <row r="2532" spans="1:21" x14ac:dyDescent="0.3">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c r="T2532">
        <f>IF(Table1[[#This Row],[Discount_Applied]]="Yes", 1,0)</f>
        <v>0</v>
      </c>
      <c r="U2532" t="str">
        <f>_xlfn.IFS(Table1[[#This Row],[Age]]&lt;=25, "Below 25", Table1[[#This Row],[Age]]&lt;=35, "Between 25-35", Table1[[#This Row],[Age]]&lt;=45, "Between 36-45", Table1[[#This Row],[Age]]&gt;45, "45+")</f>
        <v>Below 25</v>
      </c>
    </row>
    <row r="2533" spans="1:21" x14ac:dyDescent="0.3">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c r="T2533">
        <f>IF(Table1[[#This Row],[Discount_Applied]]="Yes", 1,0)</f>
        <v>0</v>
      </c>
      <c r="U2533" t="str">
        <f>_xlfn.IFS(Table1[[#This Row],[Age]]&lt;=25, "Below 25", Table1[[#This Row],[Age]]&lt;=35, "Between 25-35", Table1[[#This Row],[Age]]&lt;=45, "Between 36-45", Table1[[#This Row],[Age]]&gt;45, "45+")</f>
        <v>Between 36-45</v>
      </c>
    </row>
    <row r="2534" spans="1:21" x14ac:dyDescent="0.3">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c r="T2534">
        <f>IF(Table1[[#This Row],[Discount_Applied]]="Yes", 1,0)</f>
        <v>0</v>
      </c>
      <c r="U2534" t="str">
        <f>_xlfn.IFS(Table1[[#This Row],[Age]]&lt;=25, "Below 25", Table1[[#This Row],[Age]]&lt;=35, "Between 25-35", Table1[[#This Row],[Age]]&lt;=45, "Between 36-45", Table1[[#This Row],[Age]]&gt;45, "45+")</f>
        <v>45+</v>
      </c>
    </row>
    <row r="2535" spans="1:21" x14ac:dyDescent="0.3">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c r="T2535">
        <f>IF(Table1[[#This Row],[Discount_Applied]]="Yes", 1,0)</f>
        <v>0</v>
      </c>
      <c r="U2535" t="str">
        <f>_xlfn.IFS(Table1[[#This Row],[Age]]&lt;=25, "Below 25", Table1[[#This Row],[Age]]&lt;=35, "Between 25-35", Table1[[#This Row],[Age]]&lt;=45, "Between 36-45", Table1[[#This Row],[Age]]&gt;45, "45+")</f>
        <v>45+</v>
      </c>
    </row>
    <row r="2536" spans="1:21" x14ac:dyDescent="0.3">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c r="T2536">
        <f>IF(Table1[[#This Row],[Discount_Applied]]="Yes", 1,0)</f>
        <v>0</v>
      </c>
      <c r="U2536" t="str">
        <f>_xlfn.IFS(Table1[[#This Row],[Age]]&lt;=25, "Below 25", Table1[[#This Row],[Age]]&lt;=35, "Between 25-35", Table1[[#This Row],[Age]]&lt;=45, "Between 36-45", Table1[[#This Row],[Age]]&gt;45, "45+")</f>
        <v>Between 36-45</v>
      </c>
    </row>
    <row r="2537" spans="1:21" x14ac:dyDescent="0.3">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c r="T2537">
        <f>IF(Table1[[#This Row],[Discount_Applied]]="Yes", 1,0)</f>
        <v>0</v>
      </c>
      <c r="U2537" t="str">
        <f>_xlfn.IFS(Table1[[#This Row],[Age]]&lt;=25, "Below 25", Table1[[#This Row],[Age]]&lt;=35, "Between 25-35", Table1[[#This Row],[Age]]&lt;=45, "Between 36-45", Table1[[#This Row],[Age]]&gt;45, "45+")</f>
        <v>45+</v>
      </c>
    </row>
    <row r="2538" spans="1:21" x14ac:dyDescent="0.3">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c r="T2538">
        <f>IF(Table1[[#This Row],[Discount_Applied]]="Yes", 1,0)</f>
        <v>0</v>
      </c>
      <c r="U2538" t="str">
        <f>_xlfn.IFS(Table1[[#This Row],[Age]]&lt;=25, "Below 25", Table1[[#This Row],[Age]]&lt;=35, "Between 25-35", Table1[[#This Row],[Age]]&lt;=45, "Between 36-45", Table1[[#This Row],[Age]]&gt;45, "45+")</f>
        <v>45+</v>
      </c>
    </row>
    <row r="2539" spans="1:21" x14ac:dyDescent="0.3">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c r="T2539">
        <f>IF(Table1[[#This Row],[Discount_Applied]]="Yes", 1,0)</f>
        <v>0</v>
      </c>
      <c r="U2539" t="str">
        <f>_xlfn.IFS(Table1[[#This Row],[Age]]&lt;=25, "Below 25", Table1[[#This Row],[Age]]&lt;=35, "Between 25-35", Table1[[#This Row],[Age]]&lt;=45, "Between 36-45", Table1[[#This Row],[Age]]&gt;45, "45+")</f>
        <v>Between 36-45</v>
      </c>
    </row>
    <row r="2540" spans="1:21" x14ac:dyDescent="0.3">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c r="T2540">
        <f>IF(Table1[[#This Row],[Discount_Applied]]="Yes", 1,0)</f>
        <v>0</v>
      </c>
      <c r="U2540" t="str">
        <f>_xlfn.IFS(Table1[[#This Row],[Age]]&lt;=25, "Below 25", Table1[[#This Row],[Age]]&lt;=35, "Between 25-35", Table1[[#This Row],[Age]]&lt;=45, "Between 36-45", Table1[[#This Row],[Age]]&gt;45, "45+")</f>
        <v>Below 25</v>
      </c>
    </row>
    <row r="2541" spans="1:21" x14ac:dyDescent="0.3">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c r="T2541">
        <f>IF(Table1[[#This Row],[Discount_Applied]]="Yes", 1,0)</f>
        <v>0</v>
      </c>
      <c r="U2541" t="str">
        <f>_xlfn.IFS(Table1[[#This Row],[Age]]&lt;=25, "Below 25", Table1[[#This Row],[Age]]&lt;=35, "Between 25-35", Table1[[#This Row],[Age]]&lt;=45, "Between 36-45", Table1[[#This Row],[Age]]&gt;45, "45+")</f>
        <v>Between 25-35</v>
      </c>
    </row>
    <row r="2542" spans="1:21" x14ac:dyDescent="0.3">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c r="T2542">
        <f>IF(Table1[[#This Row],[Discount_Applied]]="Yes", 1,0)</f>
        <v>0</v>
      </c>
      <c r="U2542" t="str">
        <f>_xlfn.IFS(Table1[[#This Row],[Age]]&lt;=25, "Below 25", Table1[[#This Row],[Age]]&lt;=35, "Between 25-35", Table1[[#This Row],[Age]]&lt;=45, "Between 36-45", Table1[[#This Row],[Age]]&gt;45, "45+")</f>
        <v>Below 25</v>
      </c>
    </row>
    <row r="2543" spans="1:21" x14ac:dyDescent="0.3">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c r="T2543">
        <f>IF(Table1[[#This Row],[Discount_Applied]]="Yes", 1,0)</f>
        <v>0</v>
      </c>
      <c r="U2543" t="str">
        <f>_xlfn.IFS(Table1[[#This Row],[Age]]&lt;=25, "Below 25", Table1[[#This Row],[Age]]&lt;=35, "Between 25-35", Table1[[#This Row],[Age]]&lt;=45, "Between 36-45", Table1[[#This Row],[Age]]&gt;45, "45+")</f>
        <v>Between 25-35</v>
      </c>
    </row>
    <row r="2544" spans="1:21" x14ac:dyDescent="0.3">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c r="T2544">
        <f>IF(Table1[[#This Row],[Discount_Applied]]="Yes", 1,0)</f>
        <v>0</v>
      </c>
      <c r="U2544" t="str">
        <f>_xlfn.IFS(Table1[[#This Row],[Age]]&lt;=25, "Below 25", Table1[[#This Row],[Age]]&lt;=35, "Between 25-35", Table1[[#This Row],[Age]]&lt;=45, "Between 36-45", Table1[[#This Row],[Age]]&gt;45, "45+")</f>
        <v>45+</v>
      </c>
    </row>
    <row r="2545" spans="1:21" x14ac:dyDescent="0.3">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c r="T2545">
        <f>IF(Table1[[#This Row],[Discount_Applied]]="Yes", 1,0)</f>
        <v>0</v>
      </c>
      <c r="U2545" t="str">
        <f>_xlfn.IFS(Table1[[#This Row],[Age]]&lt;=25, "Below 25", Table1[[#This Row],[Age]]&lt;=35, "Between 25-35", Table1[[#This Row],[Age]]&lt;=45, "Between 36-45", Table1[[#This Row],[Age]]&gt;45, "45+")</f>
        <v>Between 25-35</v>
      </c>
    </row>
    <row r="2546" spans="1:21" x14ac:dyDescent="0.3">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c r="T2546">
        <f>IF(Table1[[#This Row],[Discount_Applied]]="Yes", 1,0)</f>
        <v>0</v>
      </c>
      <c r="U2546" t="str">
        <f>_xlfn.IFS(Table1[[#This Row],[Age]]&lt;=25, "Below 25", Table1[[#This Row],[Age]]&lt;=35, "Between 25-35", Table1[[#This Row],[Age]]&lt;=45, "Between 36-45", Table1[[#This Row],[Age]]&gt;45, "45+")</f>
        <v>45+</v>
      </c>
    </row>
    <row r="2547" spans="1:21" x14ac:dyDescent="0.3">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c r="T2547">
        <f>IF(Table1[[#This Row],[Discount_Applied]]="Yes", 1,0)</f>
        <v>0</v>
      </c>
      <c r="U2547" t="str">
        <f>_xlfn.IFS(Table1[[#This Row],[Age]]&lt;=25, "Below 25", Table1[[#This Row],[Age]]&lt;=35, "Between 25-35", Table1[[#This Row],[Age]]&lt;=45, "Between 36-45", Table1[[#This Row],[Age]]&gt;45, "45+")</f>
        <v>Between 36-45</v>
      </c>
    </row>
    <row r="2548" spans="1:21" x14ac:dyDescent="0.3">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c r="T2548">
        <f>IF(Table1[[#This Row],[Discount_Applied]]="Yes", 1,0)</f>
        <v>0</v>
      </c>
      <c r="U2548" t="str">
        <f>_xlfn.IFS(Table1[[#This Row],[Age]]&lt;=25, "Below 25", Table1[[#This Row],[Age]]&lt;=35, "Between 25-35", Table1[[#This Row],[Age]]&lt;=45, "Between 36-45", Table1[[#This Row],[Age]]&gt;45, "45+")</f>
        <v>45+</v>
      </c>
    </row>
    <row r="2549" spans="1:21" x14ac:dyDescent="0.3">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c r="T2549">
        <f>IF(Table1[[#This Row],[Discount_Applied]]="Yes", 1,0)</f>
        <v>0</v>
      </c>
      <c r="U2549" t="str">
        <f>_xlfn.IFS(Table1[[#This Row],[Age]]&lt;=25, "Below 25", Table1[[#This Row],[Age]]&lt;=35, "Between 25-35", Table1[[#This Row],[Age]]&lt;=45, "Between 36-45", Table1[[#This Row],[Age]]&gt;45, "45+")</f>
        <v>45+</v>
      </c>
    </row>
    <row r="2550" spans="1:21" x14ac:dyDescent="0.3">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c r="T2550">
        <f>IF(Table1[[#This Row],[Discount_Applied]]="Yes", 1,0)</f>
        <v>0</v>
      </c>
      <c r="U2550" t="str">
        <f>_xlfn.IFS(Table1[[#This Row],[Age]]&lt;=25, "Below 25", Table1[[#This Row],[Age]]&lt;=35, "Between 25-35", Table1[[#This Row],[Age]]&lt;=45, "Between 36-45", Table1[[#This Row],[Age]]&gt;45, "45+")</f>
        <v>Between 36-45</v>
      </c>
    </row>
    <row r="2551" spans="1:21" x14ac:dyDescent="0.3">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c r="T2551">
        <f>IF(Table1[[#This Row],[Discount_Applied]]="Yes", 1,0)</f>
        <v>0</v>
      </c>
      <c r="U2551" t="str">
        <f>_xlfn.IFS(Table1[[#This Row],[Age]]&lt;=25, "Below 25", Table1[[#This Row],[Age]]&lt;=35, "Between 25-35", Table1[[#This Row],[Age]]&lt;=45, "Between 36-45", Table1[[#This Row],[Age]]&gt;45, "45+")</f>
        <v>Between 36-45</v>
      </c>
    </row>
    <row r="2552" spans="1:21" x14ac:dyDescent="0.3">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c r="T2552">
        <f>IF(Table1[[#This Row],[Discount_Applied]]="Yes", 1,0)</f>
        <v>0</v>
      </c>
      <c r="U2552" t="str">
        <f>_xlfn.IFS(Table1[[#This Row],[Age]]&lt;=25, "Below 25", Table1[[#This Row],[Age]]&lt;=35, "Between 25-35", Table1[[#This Row],[Age]]&lt;=45, "Between 36-45", Table1[[#This Row],[Age]]&gt;45, "45+")</f>
        <v>45+</v>
      </c>
    </row>
    <row r="2553" spans="1:21" x14ac:dyDescent="0.3">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c r="T2553">
        <f>IF(Table1[[#This Row],[Discount_Applied]]="Yes", 1,0)</f>
        <v>0</v>
      </c>
      <c r="U2553" t="str">
        <f>_xlfn.IFS(Table1[[#This Row],[Age]]&lt;=25, "Below 25", Table1[[#This Row],[Age]]&lt;=35, "Between 25-35", Table1[[#This Row],[Age]]&lt;=45, "Between 36-45", Table1[[#This Row],[Age]]&gt;45, "45+")</f>
        <v>Between 25-35</v>
      </c>
    </row>
    <row r="2554" spans="1:21" x14ac:dyDescent="0.3">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c r="T2554">
        <f>IF(Table1[[#This Row],[Discount_Applied]]="Yes", 1,0)</f>
        <v>0</v>
      </c>
      <c r="U2554" t="str">
        <f>_xlfn.IFS(Table1[[#This Row],[Age]]&lt;=25, "Below 25", Table1[[#This Row],[Age]]&lt;=35, "Between 25-35", Table1[[#This Row],[Age]]&lt;=45, "Between 36-45", Table1[[#This Row],[Age]]&gt;45, "45+")</f>
        <v>45+</v>
      </c>
    </row>
    <row r="2555" spans="1:21" x14ac:dyDescent="0.3">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c r="T2555">
        <f>IF(Table1[[#This Row],[Discount_Applied]]="Yes", 1,0)</f>
        <v>0</v>
      </c>
      <c r="U2555" t="str">
        <f>_xlfn.IFS(Table1[[#This Row],[Age]]&lt;=25, "Below 25", Table1[[#This Row],[Age]]&lt;=35, "Between 25-35", Table1[[#This Row],[Age]]&lt;=45, "Between 36-45", Table1[[#This Row],[Age]]&gt;45, "45+")</f>
        <v>45+</v>
      </c>
    </row>
    <row r="2556" spans="1:21" x14ac:dyDescent="0.3">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c r="T2556">
        <f>IF(Table1[[#This Row],[Discount_Applied]]="Yes", 1,0)</f>
        <v>0</v>
      </c>
      <c r="U2556" t="str">
        <f>_xlfn.IFS(Table1[[#This Row],[Age]]&lt;=25, "Below 25", Table1[[#This Row],[Age]]&lt;=35, "Between 25-35", Table1[[#This Row],[Age]]&lt;=45, "Between 36-45", Table1[[#This Row],[Age]]&gt;45, "45+")</f>
        <v>45+</v>
      </c>
    </row>
    <row r="2557" spans="1:21" x14ac:dyDescent="0.3">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c r="T2557">
        <f>IF(Table1[[#This Row],[Discount_Applied]]="Yes", 1,0)</f>
        <v>0</v>
      </c>
      <c r="U2557" t="str">
        <f>_xlfn.IFS(Table1[[#This Row],[Age]]&lt;=25, "Below 25", Table1[[#This Row],[Age]]&lt;=35, "Between 25-35", Table1[[#This Row],[Age]]&lt;=45, "Between 36-45", Table1[[#This Row],[Age]]&gt;45, "45+")</f>
        <v>Below 25</v>
      </c>
    </row>
    <row r="2558" spans="1:21" x14ac:dyDescent="0.3">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c r="T2558">
        <f>IF(Table1[[#This Row],[Discount_Applied]]="Yes", 1,0)</f>
        <v>0</v>
      </c>
      <c r="U2558" t="str">
        <f>_xlfn.IFS(Table1[[#This Row],[Age]]&lt;=25, "Below 25", Table1[[#This Row],[Age]]&lt;=35, "Between 25-35", Table1[[#This Row],[Age]]&lt;=45, "Between 36-45", Table1[[#This Row],[Age]]&gt;45, "45+")</f>
        <v>Below 25</v>
      </c>
    </row>
    <row r="2559" spans="1:21" x14ac:dyDescent="0.3">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c r="T2559">
        <f>IF(Table1[[#This Row],[Discount_Applied]]="Yes", 1,0)</f>
        <v>0</v>
      </c>
      <c r="U2559" t="str">
        <f>_xlfn.IFS(Table1[[#This Row],[Age]]&lt;=25, "Below 25", Table1[[#This Row],[Age]]&lt;=35, "Between 25-35", Table1[[#This Row],[Age]]&lt;=45, "Between 36-45", Table1[[#This Row],[Age]]&gt;45, "45+")</f>
        <v>45+</v>
      </c>
    </row>
    <row r="2560" spans="1:21" x14ac:dyDescent="0.3">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c r="T2560">
        <f>IF(Table1[[#This Row],[Discount_Applied]]="Yes", 1,0)</f>
        <v>0</v>
      </c>
      <c r="U2560" t="str">
        <f>_xlfn.IFS(Table1[[#This Row],[Age]]&lt;=25, "Below 25", Table1[[#This Row],[Age]]&lt;=35, "Between 25-35", Table1[[#This Row],[Age]]&lt;=45, "Between 36-45", Table1[[#This Row],[Age]]&gt;45, "45+")</f>
        <v>45+</v>
      </c>
    </row>
    <row r="2561" spans="1:21" x14ac:dyDescent="0.3">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c r="T2561">
        <f>IF(Table1[[#This Row],[Discount_Applied]]="Yes", 1,0)</f>
        <v>0</v>
      </c>
      <c r="U2561" t="str">
        <f>_xlfn.IFS(Table1[[#This Row],[Age]]&lt;=25, "Below 25", Table1[[#This Row],[Age]]&lt;=35, "Between 25-35", Table1[[#This Row],[Age]]&lt;=45, "Between 36-45", Table1[[#This Row],[Age]]&gt;45, "45+")</f>
        <v>45+</v>
      </c>
    </row>
    <row r="2562" spans="1:21" x14ac:dyDescent="0.3">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c r="T2562">
        <f>IF(Table1[[#This Row],[Discount_Applied]]="Yes", 1,0)</f>
        <v>0</v>
      </c>
      <c r="U2562" t="str">
        <f>_xlfn.IFS(Table1[[#This Row],[Age]]&lt;=25, "Below 25", Table1[[#This Row],[Age]]&lt;=35, "Between 25-35", Table1[[#This Row],[Age]]&lt;=45, "Between 36-45", Table1[[#This Row],[Age]]&gt;45, "45+")</f>
        <v>45+</v>
      </c>
    </row>
    <row r="2563" spans="1:21" x14ac:dyDescent="0.3">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c r="T2563">
        <f>IF(Table1[[#This Row],[Discount_Applied]]="Yes", 1,0)</f>
        <v>0</v>
      </c>
      <c r="U2563" t="str">
        <f>_xlfn.IFS(Table1[[#This Row],[Age]]&lt;=25, "Below 25", Table1[[#This Row],[Age]]&lt;=35, "Between 25-35", Table1[[#This Row],[Age]]&lt;=45, "Between 36-45", Table1[[#This Row],[Age]]&gt;45, "45+")</f>
        <v>Between 25-35</v>
      </c>
    </row>
    <row r="2564" spans="1:21" x14ac:dyDescent="0.3">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c r="T2564">
        <f>IF(Table1[[#This Row],[Discount_Applied]]="Yes", 1,0)</f>
        <v>0</v>
      </c>
      <c r="U2564" t="str">
        <f>_xlfn.IFS(Table1[[#This Row],[Age]]&lt;=25, "Below 25", Table1[[#This Row],[Age]]&lt;=35, "Between 25-35", Table1[[#This Row],[Age]]&lt;=45, "Between 36-45", Table1[[#This Row],[Age]]&gt;45, "45+")</f>
        <v>45+</v>
      </c>
    </row>
    <row r="2565" spans="1:21" x14ac:dyDescent="0.3">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c r="T2565">
        <f>IF(Table1[[#This Row],[Discount_Applied]]="Yes", 1,0)</f>
        <v>0</v>
      </c>
      <c r="U2565" t="str">
        <f>_xlfn.IFS(Table1[[#This Row],[Age]]&lt;=25, "Below 25", Table1[[#This Row],[Age]]&lt;=35, "Between 25-35", Table1[[#This Row],[Age]]&lt;=45, "Between 36-45", Table1[[#This Row],[Age]]&gt;45, "45+")</f>
        <v>45+</v>
      </c>
    </row>
    <row r="2566" spans="1:21" x14ac:dyDescent="0.3">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c r="T2566">
        <f>IF(Table1[[#This Row],[Discount_Applied]]="Yes", 1,0)</f>
        <v>0</v>
      </c>
      <c r="U2566" t="str">
        <f>_xlfn.IFS(Table1[[#This Row],[Age]]&lt;=25, "Below 25", Table1[[#This Row],[Age]]&lt;=35, "Between 25-35", Table1[[#This Row],[Age]]&lt;=45, "Between 36-45", Table1[[#This Row],[Age]]&gt;45, "45+")</f>
        <v>Between 36-45</v>
      </c>
    </row>
    <row r="2567" spans="1:21" x14ac:dyDescent="0.3">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c r="T2567">
        <f>IF(Table1[[#This Row],[Discount_Applied]]="Yes", 1,0)</f>
        <v>0</v>
      </c>
      <c r="U2567" t="str">
        <f>_xlfn.IFS(Table1[[#This Row],[Age]]&lt;=25, "Below 25", Table1[[#This Row],[Age]]&lt;=35, "Between 25-35", Table1[[#This Row],[Age]]&lt;=45, "Between 36-45", Table1[[#This Row],[Age]]&gt;45, "45+")</f>
        <v>Between 25-35</v>
      </c>
    </row>
    <row r="2568" spans="1:21" x14ac:dyDescent="0.3">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c r="T2568">
        <f>IF(Table1[[#This Row],[Discount_Applied]]="Yes", 1,0)</f>
        <v>0</v>
      </c>
      <c r="U2568" t="str">
        <f>_xlfn.IFS(Table1[[#This Row],[Age]]&lt;=25, "Below 25", Table1[[#This Row],[Age]]&lt;=35, "Between 25-35", Table1[[#This Row],[Age]]&lt;=45, "Between 36-45", Table1[[#This Row],[Age]]&gt;45, "45+")</f>
        <v>Between 25-35</v>
      </c>
    </row>
    <row r="2569" spans="1:21" x14ac:dyDescent="0.3">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c r="T2569">
        <f>IF(Table1[[#This Row],[Discount_Applied]]="Yes", 1,0)</f>
        <v>0</v>
      </c>
      <c r="U2569" t="str">
        <f>_xlfn.IFS(Table1[[#This Row],[Age]]&lt;=25, "Below 25", Table1[[#This Row],[Age]]&lt;=35, "Between 25-35", Table1[[#This Row],[Age]]&lt;=45, "Between 36-45", Table1[[#This Row],[Age]]&gt;45, "45+")</f>
        <v>Below 25</v>
      </c>
    </row>
    <row r="2570" spans="1:21" x14ac:dyDescent="0.3">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c r="T2570">
        <f>IF(Table1[[#This Row],[Discount_Applied]]="Yes", 1,0)</f>
        <v>0</v>
      </c>
      <c r="U2570" t="str">
        <f>_xlfn.IFS(Table1[[#This Row],[Age]]&lt;=25, "Below 25", Table1[[#This Row],[Age]]&lt;=35, "Between 25-35", Table1[[#This Row],[Age]]&lt;=45, "Between 36-45", Table1[[#This Row],[Age]]&gt;45, "45+")</f>
        <v>45+</v>
      </c>
    </row>
    <row r="2571" spans="1:21" x14ac:dyDescent="0.3">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c r="T2571">
        <f>IF(Table1[[#This Row],[Discount_Applied]]="Yes", 1,0)</f>
        <v>0</v>
      </c>
      <c r="U2571" t="str">
        <f>_xlfn.IFS(Table1[[#This Row],[Age]]&lt;=25, "Below 25", Table1[[#This Row],[Age]]&lt;=35, "Between 25-35", Table1[[#This Row],[Age]]&lt;=45, "Between 36-45", Table1[[#This Row],[Age]]&gt;45, "45+")</f>
        <v>Between 36-45</v>
      </c>
    </row>
    <row r="2572" spans="1:21" x14ac:dyDescent="0.3">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c r="T2572">
        <f>IF(Table1[[#This Row],[Discount_Applied]]="Yes", 1,0)</f>
        <v>0</v>
      </c>
      <c r="U2572" t="str">
        <f>_xlfn.IFS(Table1[[#This Row],[Age]]&lt;=25, "Below 25", Table1[[#This Row],[Age]]&lt;=35, "Between 25-35", Table1[[#This Row],[Age]]&lt;=45, "Between 36-45", Table1[[#This Row],[Age]]&gt;45, "45+")</f>
        <v>Between 36-45</v>
      </c>
    </row>
    <row r="2573" spans="1:21" x14ac:dyDescent="0.3">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c r="T2573">
        <f>IF(Table1[[#This Row],[Discount_Applied]]="Yes", 1,0)</f>
        <v>0</v>
      </c>
      <c r="U2573" t="str">
        <f>_xlfn.IFS(Table1[[#This Row],[Age]]&lt;=25, "Below 25", Table1[[#This Row],[Age]]&lt;=35, "Between 25-35", Table1[[#This Row],[Age]]&lt;=45, "Between 36-45", Table1[[#This Row],[Age]]&gt;45, "45+")</f>
        <v>Between 36-45</v>
      </c>
    </row>
    <row r="2574" spans="1:21" x14ac:dyDescent="0.3">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c r="T2574">
        <f>IF(Table1[[#This Row],[Discount_Applied]]="Yes", 1,0)</f>
        <v>0</v>
      </c>
      <c r="U2574" t="str">
        <f>_xlfn.IFS(Table1[[#This Row],[Age]]&lt;=25, "Below 25", Table1[[#This Row],[Age]]&lt;=35, "Between 25-35", Table1[[#This Row],[Age]]&lt;=45, "Between 36-45", Table1[[#This Row],[Age]]&gt;45, "45+")</f>
        <v>45+</v>
      </c>
    </row>
    <row r="2575" spans="1:21" x14ac:dyDescent="0.3">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c r="T2575">
        <f>IF(Table1[[#This Row],[Discount_Applied]]="Yes", 1,0)</f>
        <v>0</v>
      </c>
      <c r="U2575" t="str">
        <f>_xlfn.IFS(Table1[[#This Row],[Age]]&lt;=25, "Below 25", Table1[[#This Row],[Age]]&lt;=35, "Between 25-35", Table1[[#This Row],[Age]]&lt;=45, "Between 36-45", Table1[[#This Row],[Age]]&gt;45, "45+")</f>
        <v>45+</v>
      </c>
    </row>
    <row r="2576" spans="1:21" x14ac:dyDescent="0.3">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c r="T2576">
        <f>IF(Table1[[#This Row],[Discount_Applied]]="Yes", 1,0)</f>
        <v>0</v>
      </c>
      <c r="U2576" t="str">
        <f>_xlfn.IFS(Table1[[#This Row],[Age]]&lt;=25, "Below 25", Table1[[#This Row],[Age]]&lt;=35, "Between 25-35", Table1[[#This Row],[Age]]&lt;=45, "Between 36-45", Table1[[#This Row],[Age]]&gt;45, "45+")</f>
        <v>Between 25-35</v>
      </c>
    </row>
    <row r="2577" spans="1:21" x14ac:dyDescent="0.3">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c r="T2577">
        <f>IF(Table1[[#This Row],[Discount_Applied]]="Yes", 1,0)</f>
        <v>0</v>
      </c>
      <c r="U2577" t="str">
        <f>_xlfn.IFS(Table1[[#This Row],[Age]]&lt;=25, "Below 25", Table1[[#This Row],[Age]]&lt;=35, "Between 25-35", Table1[[#This Row],[Age]]&lt;=45, "Between 36-45", Table1[[#This Row],[Age]]&gt;45, "45+")</f>
        <v>45+</v>
      </c>
    </row>
    <row r="2578" spans="1:21" x14ac:dyDescent="0.3">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c r="T2578">
        <f>IF(Table1[[#This Row],[Discount_Applied]]="Yes", 1,0)</f>
        <v>0</v>
      </c>
      <c r="U2578" t="str">
        <f>_xlfn.IFS(Table1[[#This Row],[Age]]&lt;=25, "Below 25", Table1[[#This Row],[Age]]&lt;=35, "Between 25-35", Table1[[#This Row],[Age]]&lt;=45, "Between 36-45", Table1[[#This Row],[Age]]&gt;45, "45+")</f>
        <v>Below 25</v>
      </c>
    </row>
    <row r="2579" spans="1:21" x14ac:dyDescent="0.3">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c r="T2579">
        <f>IF(Table1[[#This Row],[Discount_Applied]]="Yes", 1,0)</f>
        <v>0</v>
      </c>
      <c r="U2579" t="str">
        <f>_xlfn.IFS(Table1[[#This Row],[Age]]&lt;=25, "Below 25", Table1[[#This Row],[Age]]&lt;=35, "Between 25-35", Table1[[#This Row],[Age]]&lt;=45, "Between 36-45", Table1[[#This Row],[Age]]&gt;45, "45+")</f>
        <v>45+</v>
      </c>
    </row>
    <row r="2580" spans="1:21" x14ac:dyDescent="0.3">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c r="T2580">
        <f>IF(Table1[[#This Row],[Discount_Applied]]="Yes", 1,0)</f>
        <v>0</v>
      </c>
      <c r="U2580" t="str">
        <f>_xlfn.IFS(Table1[[#This Row],[Age]]&lt;=25, "Below 25", Table1[[#This Row],[Age]]&lt;=35, "Between 25-35", Table1[[#This Row],[Age]]&lt;=45, "Between 36-45", Table1[[#This Row],[Age]]&gt;45, "45+")</f>
        <v>45+</v>
      </c>
    </row>
    <row r="2581" spans="1:21" x14ac:dyDescent="0.3">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c r="T2581">
        <f>IF(Table1[[#This Row],[Discount_Applied]]="Yes", 1,0)</f>
        <v>0</v>
      </c>
      <c r="U2581" t="str">
        <f>_xlfn.IFS(Table1[[#This Row],[Age]]&lt;=25, "Below 25", Table1[[#This Row],[Age]]&lt;=35, "Between 25-35", Table1[[#This Row],[Age]]&lt;=45, "Between 36-45", Table1[[#This Row],[Age]]&gt;45, "45+")</f>
        <v>45+</v>
      </c>
    </row>
    <row r="2582" spans="1:21" x14ac:dyDescent="0.3">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c r="T2582">
        <f>IF(Table1[[#This Row],[Discount_Applied]]="Yes", 1,0)</f>
        <v>0</v>
      </c>
      <c r="U2582" t="str">
        <f>_xlfn.IFS(Table1[[#This Row],[Age]]&lt;=25, "Below 25", Table1[[#This Row],[Age]]&lt;=35, "Between 25-35", Table1[[#This Row],[Age]]&lt;=45, "Between 36-45", Table1[[#This Row],[Age]]&gt;45, "45+")</f>
        <v>Between 36-45</v>
      </c>
    </row>
    <row r="2583" spans="1:21" x14ac:dyDescent="0.3">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c r="T2583">
        <f>IF(Table1[[#This Row],[Discount_Applied]]="Yes", 1,0)</f>
        <v>0</v>
      </c>
      <c r="U2583" t="str">
        <f>_xlfn.IFS(Table1[[#This Row],[Age]]&lt;=25, "Below 25", Table1[[#This Row],[Age]]&lt;=35, "Between 25-35", Table1[[#This Row],[Age]]&lt;=45, "Between 36-45", Table1[[#This Row],[Age]]&gt;45, "45+")</f>
        <v>45+</v>
      </c>
    </row>
    <row r="2584" spans="1:21" x14ac:dyDescent="0.3">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c r="T2584">
        <f>IF(Table1[[#This Row],[Discount_Applied]]="Yes", 1,0)</f>
        <v>0</v>
      </c>
      <c r="U2584" t="str">
        <f>_xlfn.IFS(Table1[[#This Row],[Age]]&lt;=25, "Below 25", Table1[[#This Row],[Age]]&lt;=35, "Between 25-35", Table1[[#This Row],[Age]]&lt;=45, "Between 36-45", Table1[[#This Row],[Age]]&gt;45, "45+")</f>
        <v>Below 25</v>
      </c>
    </row>
    <row r="2585" spans="1:21" x14ac:dyDescent="0.3">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c r="T2585">
        <f>IF(Table1[[#This Row],[Discount_Applied]]="Yes", 1,0)</f>
        <v>0</v>
      </c>
      <c r="U2585" t="str">
        <f>_xlfn.IFS(Table1[[#This Row],[Age]]&lt;=25, "Below 25", Table1[[#This Row],[Age]]&lt;=35, "Between 25-35", Table1[[#This Row],[Age]]&lt;=45, "Between 36-45", Table1[[#This Row],[Age]]&gt;45, "45+")</f>
        <v>45+</v>
      </c>
    </row>
    <row r="2586" spans="1:21" x14ac:dyDescent="0.3">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c r="T2586">
        <f>IF(Table1[[#This Row],[Discount_Applied]]="Yes", 1,0)</f>
        <v>0</v>
      </c>
      <c r="U2586" t="str">
        <f>_xlfn.IFS(Table1[[#This Row],[Age]]&lt;=25, "Below 25", Table1[[#This Row],[Age]]&lt;=35, "Between 25-35", Table1[[#This Row],[Age]]&lt;=45, "Between 36-45", Table1[[#This Row],[Age]]&gt;45, "45+")</f>
        <v>Between 25-35</v>
      </c>
    </row>
    <row r="2587" spans="1:21" x14ac:dyDescent="0.3">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c r="T2587">
        <f>IF(Table1[[#This Row],[Discount_Applied]]="Yes", 1,0)</f>
        <v>0</v>
      </c>
      <c r="U2587" t="str">
        <f>_xlfn.IFS(Table1[[#This Row],[Age]]&lt;=25, "Below 25", Table1[[#This Row],[Age]]&lt;=35, "Between 25-35", Table1[[#This Row],[Age]]&lt;=45, "Between 36-45", Table1[[#This Row],[Age]]&gt;45, "45+")</f>
        <v>45+</v>
      </c>
    </row>
    <row r="2588" spans="1:21" x14ac:dyDescent="0.3">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c r="T2588">
        <f>IF(Table1[[#This Row],[Discount_Applied]]="Yes", 1,0)</f>
        <v>0</v>
      </c>
      <c r="U2588" t="str">
        <f>_xlfn.IFS(Table1[[#This Row],[Age]]&lt;=25, "Below 25", Table1[[#This Row],[Age]]&lt;=35, "Between 25-35", Table1[[#This Row],[Age]]&lt;=45, "Between 36-45", Table1[[#This Row],[Age]]&gt;45, "45+")</f>
        <v>Below 25</v>
      </c>
    </row>
    <row r="2589" spans="1:21" x14ac:dyDescent="0.3">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c r="T2589">
        <f>IF(Table1[[#This Row],[Discount_Applied]]="Yes", 1,0)</f>
        <v>0</v>
      </c>
      <c r="U2589" t="str">
        <f>_xlfn.IFS(Table1[[#This Row],[Age]]&lt;=25, "Below 25", Table1[[#This Row],[Age]]&lt;=35, "Between 25-35", Table1[[#This Row],[Age]]&lt;=45, "Between 36-45", Table1[[#This Row],[Age]]&gt;45, "45+")</f>
        <v>45+</v>
      </c>
    </row>
    <row r="2590" spans="1:21" x14ac:dyDescent="0.3">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c r="T2590">
        <f>IF(Table1[[#This Row],[Discount_Applied]]="Yes", 1,0)</f>
        <v>0</v>
      </c>
      <c r="U2590" t="str">
        <f>_xlfn.IFS(Table1[[#This Row],[Age]]&lt;=25, "Below 25", Table1[[#This Row],[Age]]&lt;=35, "Between 25-35", Table1[[#This Row],[Age]]&lt;=45, "Between 36-45", Table1[[#This Row],[Age]]&gt;45, "45+")</f>
        <v>Between 36-45</v>
      </c>
    </row>
    <row r="2591" spans="1:21" x14ac:dyDescent="0.3">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c r="T2591">
        <f>IF(Table1[[#This Row],[Discount_Applied]]="Yes", 1,0)</f>
        <v>0</v>
      </c>
      <c r="U2591" t="str">
        <f>_xlfn.IFS(Table1[[#This Row],[Age]]&lt;=25, "Below 25", Table1[[#This Row],[Age]]&lt;=35, "Between 25-35", Table1[[#This Row],[Age]]&lt;=45, "Between 36-45", Table1[[#This Row],[Age]]&gt;45, "45+")</f>
        <v>45+</v>
      </c>
    </row>
    <row r="2592" spans="1:21" x14ac:dyDescent="0.3">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c r="T2592">
        <f>IF(Table1[[#This Row],[Discount_Applied]]="Yes", 1,0)</f>
        <v>0</v>
      </c>
      <c r="U2592" t="str">
        <f>_xlfn.IFS(Table1[[#This Row],[Age]]&lt;=25, "Below 25", Table1[[#This Row],[Age]]&lt;=35, "Between 25-35", Table1[[#This Row],[Age]]&lt;=45, "Between 36-45", Table1[[#This Row],[Age]]&gt;45, "45+")</f>
        <v>45+</v>
      </c>
    </row>
    <row r="2593" spans="1:21" x14ac:dyDescent="0.3">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c r="T2593">
        <f>IF(Table1[[#This Row],[Discount_Applied]]="Yes", 1,0)</f>
        <v>0</v>
      </c>
      <c r="U2593" t="str">
        <f>_xlfn.IFS(Table1[[#This Row],[Age]]&lt;=25, "Below 25", Table1[[#This Row],[Age]]&lt;=35, "Between 25-35", Table1[[#This Row],[Age]]&lt;=45, "Between 36-45", Table1[[#This Row],[Age]]&gt;45, "45+")</f>
        <v>Between 36-45</v>
      </c>
    </row>
    <row r="2594" spans="1:21" x14ac:dyDescent="0.3">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c r="T2594">
        <f>IF(Table1[[#This Row],[Discount_Applied]]="Yes", 1,0)</f>
        <v>0</v>
      </c>
      <c r="U2594" t="str">
        <f>_xlfn.IFS(Table1[[#This Row],[Age]]&lt;=25, "Below 25", Table1[[#This Row],[Age]]&lt;=35, "Between 25-35", Table1[[#This Row],[Age]]&lt;=45, "Between 36-45", Table1[[#This Row],[Age]]&gt;45, "45+")</f>
        <v>Below 25</v>
      </c>
    </row>
    <row r="2595" spans="1:21" x14ac:dyDescent="0.3">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c r="T2595">
        <f>IF(Table1[[#This Row],[Discount_Applied]]="Yes", 1,0)</f>
        <v>0</v>
      </c>
      <c r="U2595" t="str">
        <f>_xlfn.IFS(Table1[[#This Row],[Age]]&lt;=25, "Below 25", Table1[[#This Row],[Age]]&lt;=35, "Between 25-35", Table1[[#This Row],[Age]]&lt;=45, "Between 36-45", Table1[[#This Row],[Age]]&gt;45, "45+")</f>
        <v>Between 36-45</v>
      </c>
    </row>
    <row r="2596" spans="1:21" x14ac:dyDescent="0.3">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c r="T2596">
        <f>IF(Table1[[#This Row],[Discount_Applied]]="Yes", 1,0)</f>
        <v>0</v>
      </c>
      <c r="U2596" t="str">
        <f>_xlfn.IFS(Table1[[#This Row],[Age]]&lt;=25, "Below 25", Table1[[#This Row],[Age]]&lt;=35, "Between 25-35", Table1[[#This Row],[Age]]&lt;=45, "Between 36-45", Table1[[#This Row],[Age]]&gt;45, "45+")</f>
        <v>45+</v>
      </c>
    </row>
    <row r="2597" spans="1:21" x14ac:dyDescent="0.3">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c r="T2597">
        <f>IF(Table1[[#This Row],[Discount_Applied]]="Yes", 1,0)</f>
        <v>0</v>
      </c>
      <c r="U2597" t="str">
        <f>_xlfn.IFS(Table1[[#This Row],[Age]]&lt;=25, "Below 25", Table1[[#This Row],[Age]]&lt;=35, "Between 25-35", Table1[[#This Row],[Age]]&lt;=45, "Between 36-45", Table1[[#This Row],[Age]]&gt;45, "45+")</f>
        <v>Between 25-35</v>
      </c>
    </row>
    <row r="2598" spans="1:21" x14ac:dyDescent="0.3">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c r="T2598">
        <f>IF(Table1[[#This Row],[Discount_Applied]]="Yes", 1,0)</f>
        <v>0</v>
      </c>
      <c r="U2598" t="str">
        <f>_xlfn.IFS(Table1[[#This Row],[Age]]&lt;=25, "Below 25", Table1[[#This Row],[Age]]&lt;=35, "Between 25-35", Table1[[#This Row],[Age]]&lt;=45, "Between 36-45", Table1[[#This Row],[Age]]&gt;45, "45+")</f>
        <v>45+</v>
      </c>
    </row>
    <row r="2599" spans="1:21" x14ac:dyDescent="0.3">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c r="T2599">
        <f>IF(Table1[[#This Row],[Discount_Applied]]="Yes", 1,0)</f>
        <v>0</v>
      </c>
      <c r="U2599" t="str">
        <f>_xlfn.IFS(Table1[[#This Row],[Age]]&lt;=25, "Below 25", Table1[[#This Row],[Age]]&lt;=35, "Between 25-35", Table1[[#This Row],[Age]]&lt;=45, "Between 36-45", Table1[[#This Row],[Age]]&gt;45, "45+")</f>
        <v>45+</v>
      </c>
    </row>
    <row r="2600" spans="1:21" x14ac:dyDescent="0.3">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c r="T2600">
        <f>IF(Table1[[#This Row],[Discount_Applied]]="Yes", 1,0)</f>
        <v>0</v>
      </c>
      <c r="U2600" t="str">
        <f>_xlfn.IFS(Table1[[#This Row],[Age]]&lt;=25, "Below 25", Table1[[#This Row],[Age]]&lt;=35, "Between 25-35", Table1[[#This Row],[Age]]&lt;=45, "Between 36-45", Table1[[#This Row],[Age]]&gt;45, "45+")</f>
        <v>45+</v>
      </c>
    </row>
    <row r="2601" spans="1:21" x14ac:dyDescent="0.3">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c r="T2601">
        <f>IF(Table1[[#This Row],[Discount_Applied]]="Yes", 1,0)</f>
        <v>0</v>
      </c>
      <c r="U2601" t="str">
        <f>_xlfn.IFS(Table1[[#This Row],[Age]]&lt;=25, "Below 25", Table1[[#This Row],[Age]]&lt;=35, "Between 25-35", Table1[[#This Row],[Age]]&lt;=45, "Between 36-45", Table1[[#This Row],[Age]]&gt;45, "45+")</f>
        <v>45+</v>
      </c>
    </row>
    <row r="2602" spans="1:21" x14ac:dyDescent="0.3">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c r="T2602">
        <f>IF(Table1[[#This Row],[Discount_Applied]]="Yes", 1,0)</f>
        <v>0</v>
      </c>
      <c r="U2602" t="str">
        <f>_xlfn.IFS(Table1[[#This Row],[Age]]&lt;=25, "Below 25", Table1[[#This Row],[Age]]&lt;=35, "Between 25-35", Table1[[#This Row],[Age]]&lt;=45, "Between 36-45", Table1[[#This Row],[Age]]&gt;45, "45+")</f>
        <v>Below 25</v>
      </c>
    </row>
    <row r="2603" spans="1:21" x14ac:dyDescent="0.3">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c r="T2603">
        <f>IF(Table1[[#This Row],[Discount_Applied]]="Yes", 1,0)</f>
        <v>0</v>
      </c>
      <c r="U2603" t="str">
        <f>_xlfn.IFS(Table1[[#This Row],[Age]]&lt;=25, "Below 25", Table1[[#This Row],[Age]]&lt;=35, "Between 25-35", Table1[[#This Row],[Age]]&lt;=45, "Between 36-45", Table1[[#This Row],[Age]]&gt;45, "45+")</f>
        <v>45+</v>
      </c>
    </row>
    <row r="2604" spans="1:21" x14ac:dyDescent="0.3">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c r="T2604">
        <f>IF(Table1[[#This Row],[Discount_Applied]]="Yes", 1,0)</f>
        <v>0</v>
      </c>
      <c r="U2604" t="str">
        <f>_xlfn.IFS(Table1[[#This Row],[Age]]&lt;=25, "Below 25", Table1[[#This Row],[Age]]&lt;=35, "Between 25-35", Table1[[#This Row],[Age]]&lt;=45, "Between 36-45", Table1[[#This Row],[Age]]&gt;45, "45+")</f>
        <v>45+</v>
      </c>
    </row>
    <row r="2605" spans="1:21" x14ac:dyDescent="0.3">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c r="T2605">
        <f>IF(Table1[[#This Row],[Discount_Applied]]="Yes", 1,0)</f>
        <v>0</v>
      </c>
      <c r="U2605" t="str">
        <f>_xlfn.IFS(Table1[[#This Row],[Age]]&lt;=25, "Below 25", Table1[[#This Row],[Age]]&lt;=35, "Between 25-35", Table1[[#This Row],[Age]]&lt;=45, "Between 36-45", Table1[[#This Row],[Age]]&gt;45, "45+")</f>
        <v>45+</v>
      </c>
    </row>
    <row r="2606" spans="1:21" x14ac:dyDescent="0.3">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c r="T2606">
        <f>IF(Table1[[#This Row],[Discount_Applied]]="Yes", 1,0)</f>
        <v>0</v>
      </c>
      <c r="U2606" t="str">
        <f>_xlfn.IFS(Table1[[#This Row],[Age]]&lt;=25, "Below 25", Table1[[#This Row],[Age]]&lt;=35, "Between 25-35", Table1[[#This Row],[Age]]&lt;=45, "Between 36-45", Table1[[#This Row],[Age]]&gt;45, "45+")</f>
        <v>45+</v>
      </c>
    </row>
    <row r="2607" spans="1:21" x14ac:dyDescent="0.3">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c r="T2607">
        <f>IF(Table1[[#This Row],[Discount_Applied]]="Yes", 1,0)</f>
        <v>0</v>
      </c>
      <c r="U2607" t="str">
        <f>_xlfn.IFS(Table1[[#This Row],[Age]]&lt;=25, "Below 25", Table1[[#This Row],[Age]]&lt;=35, "Between 25-35", Table1[[#This Row],[Age]]&lt;=45, "Between 36-45", Table1[[#This Row],[Age]]&gt;45, "45+")</f>
        <v>Between 36-45</v>
      </c>
    </row>
    <row r="2608" spans="1:21" x14ac:dyDescent="0.3">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c r="T2608">
        <f>IF(Table1[[#This Row],[Discount_Applied]]="Yes", 1,0)</f>
        <v>0</v>
      </c>
      <c r="U2608" t="str">
        <f>_xlfn.IFS(Table1[[#This Row],[Age]]&lt;=25, "Below 25", Table1[[#This Row],[Age]]&lt;=35, "Between 25-35", Table1[[#This Row],[Age]]&lt;=45, "Between 36-45", Table1[[#This Row],[Age]]&gt;45, "45+")</f>
        <v>45+</v>
      </c>
    </row>
    <row r="2609" spans="1:21" x14ac:dyDescent="0.3">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c r="T2609">
        <f>IF(Table1[[#This Row],[Discount_Applied]]="Yes", 1,0)</f>
        <v>0</v>
      </c>
      <c r="U2609" t="str">
        <f>_xlfn.IFS(Table1[[#This Row],[Age]]&lt;=25, "Below 25", Table1[[#This Row],[Age]]&lt;=35, "Between 25-35", Table1[[#This Row],[Age]]&lt;=45, "Between 36-45", Table1[[#This Row],[Age]]&gt;45, "45+")</f>
        <v>Between 36-45</v>
      </c>
    </row>
    <row r="2610" spans="1:21" x14ac:dyDescent="0.3">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c r="T2610">
        <f>IF(Table1[[#This Row],[Discount_Applied]]="Yes", 1,0)</f>
        <v>0</v>
      </c>
      <c r="U2610" t="str">
        <f>_xlfn.IFS(Table1[[#This Row],[Age]]&lt;=25, "Below 25", Table1[[#This Row],[Age]]&lt;=35, "Between 25-35", Table1[[#This Row],[Age]]&lt;=45, "Between 36-45", Table1[[#This Row],[Age]]&gt;45, "45+")</f>
        <v>Between 36-45</v>
      </c>
    </row>
    <row r="2611" spans="1:21" x14ac:dyDescent="0.3">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c r="T2611">
        <f>IF(Table1[[#This Row],[Discount_Applied]]="Yes", 1,0)</f>
        <v>0</v>
      </c>
      <c r="U2611" t="str">
        <f>_xlfn.IFS(Table1[[#This Row],[Age]]&lt;=25, "Below 25", Table1[[#This Row],[Age]]&lt;=35, "Between 25-35", Table1[[#This Row],[Age]]&lt;=45, "Between 36-45", Table1[[#This Row],[Age]]&gt;45, "45+")</f>
        <v>45+</v>
      </c>
    </row>
    <row r="2612" spans="1:21" x14ac:dyDescent="0.3">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c r="T2612">
        <f>IF(Table1[[#This Row],[Discount_Applied]]="Yes", 1,0)</f>
        <v>0</v>
      </c>
      <c r="U2612" t="str">
        <f>_xlfn.IFS(Table1[[#This Row],[Age]]&lt;=25, "Below 25", Table1[[#This Row],[Age]]&lt;=35, "Between 25-35", Table1[[#This Row],[Age]]&lt;=45, "Between 36-45", Table1[[#This Row],[Age]]&gt;45, "45+")</f>
        <v>45+</v>
      </c>
    </row>
    <row r="2613" spans="1:21" x14ac:dyDescent="0.3">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c r="T2613">
        <f>IF(Table1[[#This Row],[Discount_Applied]]="Yes", 1,0)</f>
        <v>0</v>
      </c>
      <c r="U2613" t="str">
        <f>_xlfn.IFS(Table1[[#This Row],[Age]]&lt;=25, "Below 25", Table1[[#This Row],[Age]]&lt;=35, "Between 25-35", Table1[[#This Row],[Age]]&lt;=45, "Between 36-45", Table1[[#This Row],[Age]]&gt;45, "45+")</f>
        <v>Between 25-35</v>
      </c>
    </row>
    <row r="2614" spans="1:21" x14ac:dyDescent="0.3">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c r="T2614">
        <f>IF(Table1[[#This Row],[Discount_Applied]]="Yes", 1,0)</f>
        <v>0</v>
      </c>
      <c r="U2614" t="str">
        <f>_xlfn.IFS(Table1[[#This Row],[Age]]&lt;=25, "Below 25", Table1[[#This Row],[Age]]&lt;=35, "Between 25-35", Table1[[#This Row],[Age]]&lt;=45, "Between 36-45", Table1[[#This Row],[Age]]&gt;45, "45+")</f>
        <v>45+</v>
      </c>
    </row>
    <row r="2615" spans="1:21" x14ac:dyDescent="0.3">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c r="T2615">
        <f>IF(Table1[[#This Row],[Discount_Applied]]="Yes", 1,0)</f>
        <v>0</v>
      </c>
      <c r="U2615" t="str">
        <f>_xlfn.IFS(Table1[[#This Row],[Age]]&lt;=25, "Below 25", Table1[[#This Row],[Age]]&lt;=35, "Between 25-35", Table1[[#This Row],[Age]]&lt;=45, "Between 36-45", Table1[[#This Row],[Age]]&gt;45, "45+")</f>
        <v>45+</v>
      </c>
    </row>
    <row r="2616" spans="1:21" x14ac:dyDescent="0.3">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c r="T2616">
        <f>IF(Table1[[#This Row],[Discount_Applied]]="Yes", 1,0)</f>
        <v>0</v>
      </c>
      <c r="U2616" t="str">
        <f>_xlfn.IFS(Table1[[#This Row],[Age]]&lt;=25, "Below 25", Table1[[#This Row],[Age]]&lt;=35, "Between 25-35", Table1[[#This Row],[Age]]&lt;=45, "Between 36-45", Table1[[#This Row],[Age]]&gt;45, "45+")</f>
        <v>Below 25</v>
      </c>
    </row>
    <row r="2617" spans="1:21" x14ac:dyDescent="0.3">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c r="T2617">
        <f>IF(Table1[[#This Row],[Discount_Applied]]="Yes", 1,0)</f>
        <v>0</v>
      </c>
      <c r="U2617" t="str">
        <f>_xlfn.IFS(Table1[[#This Row],[Age]]&lt;=25, "Below 25", Table1[[#This Row],[Age]]&lt;=35, "Between 25-35", Table1[[#This Row],[Age]]&lt;=45, "Between 36-45", Table1[[#This Row],[Age]]&gt;45, "45+")</f>
        <v>45+</v>
      </c>
    </row>
    <row r="2618" spans="1:21" x14ac:dyDescent="0.3">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c r="T2618">
        <f>IF(Table1[[#This Row],[Discount_Applied]]="Yes", 1,0)</f>
        <v>0</v>
      </c>
      <c r="U2618" t="str">
        <f>_xlfn.IFS(Table1[[#This Row],[Age]]&lt;=25, "Below 25", Table1[[#This Row],[Age]]&lt;=35, "Between 25-35", Table1[[#This Row],[Age]]&lt;=45, "Between 36-45", Table1[[#This Row],[Age]]&gt;45, "45+")</f>
        <v>45+</v>
      </c>
    </row>
    <row r="2619" spans="1:21" x14ac:dyDescent="0.3">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c r="T2619">
        <f>IF(Table1[[#This Row],[Discount_Applied]]="Yes", 1,0)</f>
        <v>0</v>
      </c>
      <c r="U2619" t="str">
        <f>_xlfn.IFS(Table1[[#This Row],[Age]]&lt;=25, "Below 25", Table1[[#This Row],[Age]]&lt;=35, "Between 25-35", Table1[[#This Row],[Age]]&lt;=45, "Between 36-45", Table1[[#This Row],[Age]]&gt;45, "45+")</f>
        <v>Between 25-35</v>
      </c>
    </row>
    <row r="2620" spans="1:21" x14ac:dyDescent="0.3">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c r="T2620">
        <f>IF(Table1[[#This Row],[Discount_Applied]]="Yes", 1,0)</f>
        <v>0</v>
      </c>
      <c r="U2620" t="str">
        <f>_xlfn.IFS(Table1[[#This Row],[Age]]&lt;=25, "Below 25", Table1[[#This Row],[Age]]&lt;=35, "Between 25-35", Table1[[#This Row],[Age]]&lt;=45, "Between 36-45", Table1[[#This Row],[Age]]&gt;45, "45+")</f>
        <v>45+</v>
      </c>
    </row>
    <row r="2621" spans="1:21" x14ac:dyDescent="0.3">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c r="T2621">
        <f>IF(Table1[[#This Row],[Discount_Applied]]="Yes", 1,0)</f>
        <v>0</v>
      </c>
      <c r="U2621" t="str">
        <f>_xlfn.IFS(Table1[[#This Row],[Age]]&lt;=25, "Below 25", Table1[[#This Row],[Age]]&lt;=35, "Between 25-35", Table1[[#This Row],[Age]]&lt;=45, "Between 36-45", Table1[[#This Row],[Age]]&gt;45, "45+")</f>
        <v>45+</v>
      </c>
    </row>
    <row r="2622" spans="1:21" x14ac:dyDescent="0.3">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c r="T2622">
        <f>IF(Table1[[#This Row],[Discount_Applied]]="Yes", 1,0)</f>
        <v>0</v>
      </c>
      <c r="U2622" t="str">
        <f>_xlfn.IFS(Table1[[#This Row],[Age]]&lt;=25, "Below 25", Table1[[#This Row],[Age]]&lt;=35, "Between 25-35", Table1[[#This Row],[Age]]&lt;=45, "Between 36-45", Table1[[#This Row],[Age]]&gt;45, "45+")</f>
        <v>Between 25-35</v>
      </c>
    </row>
    <row r="2623" spans="1:21" x14ac:dyDescent="0.3">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c r="T2623">
        <f>IF(Table1[[#This Row],[Discount_Applied]]="Yes", 1,0)</f>
        <v>0</v>
      </c>
      <c r="U2623" t="str">
        <f>_xlfn.IFS(Table1[[#This Row],[Age]]&lt;=25, "Below 25", Table1[[#This Row],[Age]]&lt;=35, "Between 25-35", Table1[[#This Row],[Age]]&lt;=45, "Between 36-45", Table1[[#This Row],[Age]]&gt;45, "45+")</f>
        <v>45+</v>
      </c>
    </row>
    <row r="2624" spans="1:21" x14ac:dyDescent="0.3">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c r="T2624">
        <f>IF(Table1[[#This Row],[Discount_Applied]]="Yes", 1,0)</f>
        <v>0</v>
      </c>
      <c r="U2624" t="str">
        <f>_xlfn.IFS(Table1[[#This Row],[Age]]&lt;=25, "Below 25", Table1[[#This Row],[Age]]&lt;=35, "Between 25-35", Table1[[#This Row],[Age]]&lt;=45, "Between 36-45", Table1[[#This Row],[Age]]&gt;45, "45+")</f>
        <v>45+</v>
      </c>
    </row>
    <row r="2625" spans="1:21" x14ac:dyDescent="0.3">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c r="T2625">
        <f>IF(Table1[[#This Row],[Discount_Applied]]="Yes", 1,0)</f>
        <v>0</v>
      </c>
      <c r="U2625" t="str">
        <f>_xlfn.IFS(Table1[[#This Row],[Age]]&lt;=25, "Below 25", Table1[[#This Row],[Age]]&lt;=35, "Between 25-35", Table1[[#This Row],[Age]]&lt;=45, "Between 36-45", Table1[[#This Row],[Age]]&gt;45, "45+")</f>
        <v>45+</v>
      </c>
    </row>
    <row r="2626" spans="1:21" x14ac:dyDescent="0.3">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c r="T2626">
        <f>IF(Table1[[#This Row],[Discount_Applied]]="Yes", 1,0)</f>
        <v>0</v>
      </c>
      <c r="U2626" t="str">
        <f>_xlfn.IFS(Table1[[#This Row],[Age]]&lt;=25, "Below 25", Table1[[#This Row],[Age]]&lt;=35, "Between 25-35", Table1[[#This Row],[Age]]&lt;=45, "Between 36-45", Table1[[#This Row],[Age]]&gt;45, "45+")</f>
        <v>Below 25</v>
      </c>
    </row>
    <row r="2627" spans="1:21" x14ac:dyDescent="0.3">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c r="T2627">
        <f>IF(Table1[[#This Row],[Discount_Applied]]="Yes", 1,0)</f>
        <v>0</v>
      </c>
      <c r="U2627" t="str">
        <f>_xlfn.IFS(Table1[[#This Row],[Age]]&lt;=25, "Below 25", Table1[[#This Row],[Age]]&lt;=35, "Between 25-35", Table1[[#This Row],[Age]]&lt;=45, "Between 36-45", Table1[[#This Row],[Age]]&gt;45, "45+")</f>
        <v>Between 25-35</v>
      </c>
    </row>
    <row r="2628" spans="1:21" x14ac:dyDescent="0.3">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c r="T2628">
        <f>IF(Table1[[#This Row],[Discount_Applied]]="Yes", 1,0)</f>
        <v>0</v>
      </c>
      <c r="U2628" t="str">
        <f>_xlfn.IFS(Table1[[#This Row],[Age]]&lt;=25, "Below 25", Table1[[#This Row],[Age]]&lt;=35, "Between 25-35", Table1[[#This Row],[Age]]&lt;=45, "Between 36-45", Table1[[#This Row],[Age]]&gt;45, "45+")</f>
        <v>45+</v>
      </c>
    </row>
    <row r="2629" spans="1:21" x14ac:dyDescent="0.3">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c r="T2629">
        <f>IF(Table1[[#This Row],[Discount_Applied]]="Yes", 1,0)</f>
        <v>0</v>
      </c>
      <c r="U2629" t="str">
        <f>_xlfn.IFS(Table1[[#This Row],[Age]]&lt;=25, "Below 25", Table1[[#This Row],[Age]]&lt;=35, "Between 25-35", Table1[[#This Row],[Age]]&lt;=45, "Between 36-45", Table1[[#This Row],[Age]]&gt;45, "45+")</f>
        <v>45+</v>
      </c>
    </row>
    <row r="2630" spans="1:21" x14ac:dyDescent="0.3">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c r="T2630">
        <f>IF(Table1[[#This Row],[Discount_Applied]]="Yes", 1,0)</f>
        <v>0</v>
      </c>
      <c r="U2630" t="str">
        <f>_xlfn.IFS(Table1[[#This Row],[Age]]&lt;=25, "Below 25", Table1[[#This Row],[Age]]&lt;=35, "Between 25-35", Table1[[#This Row],[Age]]&lt;=45, "Between 36-45", Table1[[#This Row],[Age]]&gt;45, "45+")</f>
        <v>Below 25</v>
      </c>
    </row>
    <row r="2631" spans="1:21" x14ac:dyDescent="0.3">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c r="T2631">
        <f>IF(Table1[[#This Row],[Discount_Applied]]="Yes", 1,0)</f>
        <v>0</v>
      </c>
      <c r="U2631" t="str">
        <f>_xlfn.IFS(Table1[[#This Row],[Age]]&lt;=25, "Below 25", Table1[[#This Row],[Age]]&lt;=35, "Between 25-35", Table1[[#This Row],[Age]]&lt;=45, "Between 36-45", Table1[[#This Row],[Age]]&gt;45, "45+")</f>
        <v>45+</v>
      </c>
    </row>
    <row r="2632" spans="1:21" x14ac:dyDescent="0.3">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c r="T2632">
        <f>IF(Table1[[#This Row],[Discount_Applied]]="Yes", 1,0)</f>
        <v>0</v>
      </c>
      <c r="U2632" t="str">
        <f>_xlfn.IFS(Table1[[#This Row],[Age]]&lt;=25, "Below 25", Table1[[#This Row],[Age]]&lt;=35, "Between 25-35", Table1[[#This Row],[Age]]&lt;=45, "Between 36-45", Table1[[#This Row],[Age]]&gt;45, "45+")</f>
        <v>Between 25-35</v>
      </c>
    </row>
    <row r="2633" spans="1:21" x14ac:dyDescent="0.3">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c r="T2633">
        <f>IF(Table1[[#This Row],[Discount_Applied]]="Yes", 1,0)</f>
        <v>0</v>
      </c>
      <c r="U2633" t="str">
        <f>_xlfn.IFS(Table1[[#This Row],[Age]]&lt;=25, "Below 25", Table1[[#This Row],[Age]]&lt;=35, "Between 25-35", Table1[[#This Row],[Age]]&lt;=45, "Between 36-45", Table1[[#This Row],[Age]]&gt;45, "45+")</f>
        <v>45+</v>
      </c>
    </row>
    <row r="2634" spans="1:21" x14ac:dyDescent="0.3">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c r="T2634">
        <f>IF(Table1[[#This Row],[Discount_Applied]]="Yes", 1,0)</f>
        <v>0</v>
      </c>
      <c r="U2634" t="str">
        <f>_xlfn.IFS(Table1[[#This Row],[Age]]&lt;=25, "Below 25", Table1[[#This Row],[Age]]&lt;=35, "Between 25-35", Table1[[#This Row],[Age]]&lt;=45, "Between 36-45", Table1[[#This Row],[Age]]&gt;45, "45+")</f>
        <v>Below 25</v>
      </c>
    </row>
    <row r="2635" spans="1:21" x14ac:dyDescent="0.3">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c r="T2635">
        <f>IF(Table1[[#This Row],[Discount_Applied]]="Yes", 1,0)</f>
        <v>0</v>
      </c>
      <c r="U2635" t="str">
        <f>_xlfn.IFS(Table1[[#This Row],[Age]]&lt;=25, "Below 25", Table1[[#This Row],[Age]]&lt;=35, "Between 25-35", Table1[[#This Row],[Age]]&lt;=45, "Between 36-45", Table1[[#This Row],[Age]]&gt;45, "45+")</f>
        <v>45+</v>
      </c>
    </row>
    <row r="2636" spans="1:21" x14ac:dyDescent="0.3">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c r="T2636">
        <f>IF(Table1[[#This Row],[Discount_Applied]]="Yes", 1,0)</f>
        <v>0</v>
      </c>
      <c r="U2636" t="str">
        <f>_xlfn.IFS(Table1[[#This Row],[Age]]&lt;=25, "Below 25", Table1[[#This Row],[Age]]&lt;=35, "Between 25-35", Table1[[#This Row],[Age]]&lt;=45, "Between 36-45", Table1[[#This Row],[Age]]&gt;45, "45+")</f>
        <v>Between 25-35</v>
      </c>
    </row>
    <row r="2637" spans="1:21" x14ac:dyDescent="0.3">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c r="T2637">
        <f>IF(Table1[[#This Row],[Discount_Applied]]="Yes", 1,0)</f>
        <v>0</v>
      </c>
      <c r="U2637" t="str">
        <f>_xlfn.IFS(Table1[[#This Row],[Age]]&lt;=25, "Below 25", Table1[[#This Row],[Age]]&lt;=35, "Between 25-35", Table1[[#This Row],[Age]]&lt;=45, "Between 36-45", Table1[[#This Row],[Age]]&gt;45, "45+")</f>
        <v>45+</v>
      </c>
    </row>
    <row r="2638" spans="1:21" x14ac:dyDescent="0.3">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c r="T2638">
        <f>IF(Table1[[#This Row],[Discount_Applied]]="Yes", 1,0)</f>
        <v>0</v>
      </c>
      <c r="U2638" t="str">
        <f>_xlfn.IFS(Table1[[#This Row],[Age]]&lt;=25, "Below 25", Table1[[#This Row],[Age]]&lt;=35, "Between 25-35", Table1[[#This Row],[Age]]&lt;=45, "Between 36-45", Table1[[#This Row],[Age]]&gt;45, "45+")</f>
        <v>Between 36-45</v>
      </c>
    </row>
    <row r="2639" spans="1:21" x14ac:dyDescent="0.3">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c r="T2639">
        <f>IF(Table1[[#This Row],[Discount_Applied]]="Yes", 1,0)</f>
        <v>0</v>
      </c>
      <c r="U2639" t="str">
        <f>_xlfn.IFS(Table1[[#This Row],[Age]]&lt;=25, "Below 25", Table1[[#This Row],[Age]]&lt;=35, "Between 25-35", Table1[[#This Row],[Age]]&lt;=45, "Between 36-45", Table1[[#This Row],[Age]]&gt;45, "45+")</f>
        <v>Below 25</v>
      </c>
    </row>
    <row r="2640" spans="1:21" x14ac:dyDescent="0.3">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c r="T2640">
        <f>IF(Table1[[#This Row],[Discount_Applied]]="Yes", 1,0)</f>
        <v>0</v>
      </c>
      <c r="U2640" t="str">
        <f>_xlfn.IFS(Table1[[#This Row],[Age]]&lt;=25, "Below 25", Table1[[#This Row],[Age]]&lt;=35, "Between 25-35", Table1[[#This Row],[Age]]&lt;=45, "Between 36-45", Table1[[#This Row],[Age]]&gt;45, "45+")</f>
        <v>Below 25</v>
      </c>
    </row>
    <row r="2641" spans="1:21" x14ac:dyDescent="0.3">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c r="T2641">
        <f>IF(Table1[[#This Row],[Discount_Applied]]="Yes", 1,0)</f>
        <v>0</v>
      </c>
      <c r="U2641" t="str">
        <f>_xlfn.IFS(Table1[[#This Row],[Age]]&lt;=25, "Below 25", Table1[[#This Row],[Age]]&lt;=35, "Between 25-35", Table1[[#This Row],[Age]]&lt;=45, "Between 36-45", Table1[[#This Row],[Age]]&gt;45, "45+")</f>
        <v>Below 25</v>
      </c>
    </row>
    <row r="2642" spans="1:21" x14ac:dyDescent="0.3">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c r="T2642">
        <f>IF(Table1[[#This Row],[Discount_Applied]]="Yes", 1,0)</f>
        <v>0</v>
      </c>
      <c r="U2642" t="str">
        <f>_xlfn.IFS(Table1[[#This Row],[Age]]&lt;=25, "Below 25", Table1[[#This Row],[Age]]&lt;=35, "Between 25-35", Table1[[#This Row],[Age]]&lt;=45, "Between 36-45", Table1[[#This Row],[Age]]&gt;45, "45+")</f>
        <v>Between 25-35</v>
      </c>
    </row>
    <row r="2643" spans="1:21" x14ac:dyDescent="0.3">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c r="T2643">
        <f>IF(Table1[[#This Row],[Discount_Applied]]="Yes", 1,0)</f>
        <v>0</v>
      </c>
      <c r="U2643" t="str">
        <f>_xlfn.IFS(Table1[[#This Row],[Age]]&lt;=25, "Below 25", Table1[[#This Row],[Age]]&lt;=35, "Between 25-35", Table1[[#This Row],[Age]]&lt;=45, "Between 36-45", Table1[[#This Row],[Age]]&gt;45, "45+")</f>
        <v>Below 25</v>
      </c>
    </row>
    <row r="2644" spans="1:21" x14ac:dyDescent="0.3">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c r="T2644">
        <f>IF(Table1[[#This Row],[Discount_Applied]]="Yes", 1,0)</f>
        <v>0</v>
      </c>
      <c r="U2644" t="str">
        <f>_xlfn.IFS(Table1[[#This Row],[Age]]&lt;=25, "Below 25", Table1[[#This Row],[Age]]&lt;=35, "Between 25-35", Table1[[#This Row],[Age]]&lt;=45, "Between 36-45", Table1[[#This Row],[Age]]&gt;45, "45+")</f>
        <v>Between 36-45</v>
      </c>
    </row>
    <row r="2645" spans="1:21" x14ac:dyDescent="0.3">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c r="T2645">
        <f>IF(Table1[[#This Row],[Discount_Applied]]="Yes", 1,0)</f>
        <v>0</v>
      </c>
      <c r="U2645" t="str">
        <f>_xlfn.IFS(Table1[[#This Row],[Age]]&lt;=25, "Below 25", Table1[[#This Row],[Age]]&lt;=35, "Between 25-35", Table1[[#This Row],[Age]]&lt;=45, "Between 36-45", Table1[[#This Row],[Age]]&gt;45, "45+")</f>
        <v>45+</v>
      </c>
    </row>
    <row r="2646" spans="1:21" x14ac:dyDescent="0.3">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c r="T2646">
        <f>IF(Table1[[#This Row],[Discount_Applied]]="Yes", 1,0)</f>
        <v>0</v>
      </c>
      <c r="U2646" t="str">
        <f>_xlfn.IFS(Table1[[#This Row],[Age]]&lt;=25, "Below 25", Table1[[#This Row],[Age]]&lt;=35, "Between 25-35", Table1[[#This Row],[Age]]&lt;=45, "Between 36-45", Table1[[#This Row],[Age]]&gt;45, "45+")</f>
        <v>Below 25</v>
      </c>
    </row>
    <row r="2647" spans="1:21" x14ac:dyDescent="0.3">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c r="T2647">
        <f>IF(Table1[[#This Row],[Discount_Applied]]="Yes", 1,0)</f>
        <v>0</v>
      </c>
      <c r="U2647" t="str">
        <f>_xlfn.IFS(Table1[[#This Row],[Age]]&lt;=25, "Below 25", Table1[[#This Row],[Age]]&lt;=35, "Between 25-35", Table1[[#This Row],[Age]]&lt;=45, "Between 36-45", Table1[[#This Row],[Age]]&gt;45, "45+")</f>
        <v>Below 25</v>
      </c>
    </row>
    <row r="2648" spans="1:21" x14ac:dyDescent="0.3">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c r="T2648">
        <f>IF(Table1[[#This Row],[Discount_Applied]]="Yes", 1,0)</f>
        <v>0</v>
      </c>
      <c r="U2648" t="str">
        <f>_xlfn.IFS(Table1[[#This Row],[Age]]&lt;=25, "Below 25", Table1[[#This Row],[Age]]&lt;=35, "Between 25-35", Table1[[#This Row],[Age]]&lt;=45, "Between 36-45", Table1[[#This Row],[Age]]&gt;45, "45+")</f>
        <v>Between 25-35</v>
      </c>
    </row>
    <row r="2649" spans="1:21" x14ac:dyDescent="0.3">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c r="T2649">
        <f>IF(Table1[[#This Row],[Discount_Applied]]="Yes", 1,0)</f>
        <v>0</v>
      </c>
      <c r="U2649" t="str">
        <f>_xlfn.IFS(Table1[[#This Row],[Age]]&lt;=25, "Below 25", Table1[[#This Row],[Age]]&lt;=35, "Between 25-35", Table1[[#This Row],[Age]]&lt;=45, "Between 36-45", Table1[[#This Row],[Age]]&gt;45, "45+")</f>
        <v>45+</v>
      </c>
    </row>
    <row r="2650" spans="1:21" x14ac:dyDescent="0.3">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c r="T2650">
        <f>IF(Table1[[#This Row],[Discount_Applied]]="Yes", 1,0)</f>
        <v>0</v>
      </c>
      <c r="U2650" t="str">
        <f>_xlfn.IFS(Table1[[#This Row],[Age]]&lt;=25, "Below 25", Table1[[#This Row],[Age]]&lt;=35, "Between 25-35", Table1[[#This Row],[Age]]&lt;=45, "Between 36-45", Table1[[#This Row],[Age]]&gt;45, "45+")</f>
        <v>45+</v>
      </c>
    </row>
    <row r="2651" spans="1:21" x14ac:dyDescent="0.3">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c r="T2651">
        <f>IF(Table1[[#This Row],[Discount_Applied]]="Yes", 1,0)</f>
        <v>0</v>
      </c>
      <c r="U2651" t="str">
        <f>_xlfn.IFS(Table1[[#This Row],[Age]]&lt;=25, "Below 25", Table1[[#This Row],[Age]]&lt;=35, "Between 25-35", Table1[[#This Row],[Age]]&lt;=45, "Between 36-45", Table1[[#This Row],[Age]]&gt;45, "45+")</f>
        <v>Below 25</v>
      </c>
    </row>
    <row r="2652" spans="1:21" x14ac:dyDescent="0.3">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c r="T2652">
        <f>IF(Table1[[#This Row],[Discount_Applied]]="Yes", 1,0)</f>
        <v>0</v>
      </c>
      <c r="U2652" t="str">
        <f>_xlfn.IFS(Table1[[#This Row],[Age]]&lt;=25, "Below 25", Table1[[#This Row],[Age]]&lt;=35, "Between 25-35", Table1[[#This Row],[Age]]&lt;=45, "Between 36-45", Table1[[#This Row],[Age]]&gt;45, "45+")</f>
        <v>Below 25</v>
      </c>
    </row>
    <row r="2653" spans="1:21" x14ac:dyDescent="0.3">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c r="T2653">
        <f>IF(Table1[[#This Row],[Discount_Applied]]="Yes", 1,0)</f>
        <v>0</v>
      </c>
      <c r="U2653" t="str">
        <f>_xlfn.IFS(Table1[[#This Row],[Age]]&lt;=25, "Below 25", Table1[[#This Row],[Age]]&lt;=35, "Between 25-35", Table1[[#This Row],[Age]]&lt;=45, "Between 36-45", Table1[[#This Row],[Age]]&gt;45, "45+")</f>
        <v>45+</v>
      </c>
    </row>
    <row r="2654" spans="1:21" x14ac:dyDescent="0.3">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c r="T2654">
        <f>IF(Table1[[#This Row],[Discount_Applied]]="Yes", 1,0)</f>
        <v>0</v>
      </c>
      <c r="U2654" t="str">
        <f>_xlfn.IFS(Table1[[#This Row],[Age]]&lt;=25, "Below 25", Table1[[#This Row],[Age]]&lt;=35, "Between 25-35", Table1[[#This Row],[Age]]&lt;=45, "Between 36-45", Table1[[#This Row],[Age]]&gt;45, "45+")</f>
        <v>Below 25</v>
      </c>
    </row>
    <row r="2655" spans="1:21" x14ac:dyDescent="0.3">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c r="T2655">
        <f>IF(Table1[[#This Row],[Discount_Applied]]="Yes", 1,0)</f>
        <v>0</v>
      </c>
      <c r="U2655" t="str">
        <f>_xlfn.IFS(Table1[[#This Row],[Age]]&lt;=25, "Below 25", Table1[[#This Row],[Age]]&lt;=35, "Between 25-35", Table1[[#This Row],[Age]]&lt;=45, "Between 36-45", Table1[[#This Row],[Age]]&gt;45, "45+")</f>
        <v>45+</v>
      </c>
    </row>
    <row r="2656" spans="1:21" x14ac:dyDescent="0.3">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c r="T2656">
        <f>IF(Table1[[#This Row],[Discount_Applied]]="Yes", 1,0)</f>
        <v>0</v>
      </c>
      <c r="U2656" t="str">
        <f>_xlfn.IFS(Table1[[#This Row],[Age]]&lt;=25, "Below 25", Table1[[#This Row],[Age]]&lt;=35, "Between 25-35", Table1[[#This Row],[Age]]&lt;=45, "Between 36-45", Table1[[#This Row],[Age]]&gt;45, "45+")</f>
        <v>Below 25</v>
      </c>
    </row>
    <row r="2657" spans="1:21" x14ac:dyDescent="0.3">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c r="T2657">
        <f>IF(Table1[[#This Row],[Discount_Applied]]="Yes", 1,0)</f>
        <v>0</v>
      </c>
      <c r="U2657" t="str">
        <f>_xlfn.IFS(Table1[[#This Row],[Age]]&lt;=25, "Below 25", Table1[[#This Row],[Age]]&lt;=35, "Between 25-35", Table1[[#This Row],[Age]]&lt;=45, "Between 36-45", Table1[[#This Row],[Age]]&gt;45, "45+")</f>
        <v>Between 25-35</v>
      </c>
    </row>
    <row r="2658" spans="1:21" x14ac:dyDescent="0.3">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c r="T2658">
        <f>IF(Table1[[#This Row],[Discount_Applied]]="Yes", 1,0)</f>
        <v>0</v>
      </c>
      <c r="U2658" t="str">
        <f>_xlfn.IFS(Table1[[#This Row],[Age]]&lt;=25, "Below 25", Table1[[#This Row],[Age]]&lt;=35, "Between 25-35", Table1[[#This Row],[Age]]&lt;=45, "Between 36-45", Table1[[#This Row],[Age]]&gt;45, "45+")</f>
        <v>45+</v>
      </c>
    </row>
    <row r="2659" spans="1:21" x14ac:dyDescent="0.3">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c r="T2659">
        <f>IF(Table1[[#This Row],[Discount_Applied]]="Yes", 1,0)</f>
        <v>0</v>
      </c>
      <c r="U2659" t="str">
        <f>_xlfn.IFS(Table1[[#This Row],[Age]]&lt;=25, "Below 25", Table1[[#This Row],[Age]]&lt;=35, "Between 25-35", Table1[[#This Row],[Age]]&lt;=45, "Between 36-45", Table1[[#This Row],[Age]]&gt;45, "45+")</f>
        <v>45+</v>
      </c>
    </row>
    <row r="2660" spans="1:21" x14ac:dyDescent="0.3">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c r="T2660">
        <f>IF(Table1[[#This Row],[Discount_Applied]]="Yes", 1,0)</f>
        <v>0</v>
      </c>
      <c r="U2660" t="str">
        <f>_xlfn.IFS(Table1[[#This Row],[Age]]&lt;=25, "Below 25", Table1[[#This Row],[Age]]&lt;=35, "Between 25-35", Table1[[#This Row],[Age]]&lt;=45, "Between 36-45", Table1[[#This Row],[Age]]&gt;45, "45+")</f>
        <v>45+</v>
      </c>
    </row>
    <row r="2661" spans="1:21" x14ac:dyDescent="0.3">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c r="T2661">
        <f>IF(Table1[[#This Row],[Discount_Applied]]="Yes", 1,0)</f>
        <v>0</v>
      </c>
      <c r="U2661" t="str">
        <f>_xlfn.IFS(Table1[[#This Row],[Age]]&lt;=25, "Below 25", Table1[[#This Row],[Age]]&lt;=35, "Between 25-35", Table1[[#This Row],[Age]]&lt;=45, "Between 36-45", Table1[[#This Row],[Age]]&gt;45, "45+")</f>
        <v>Between 25-35</v>
      </c>
    </row>
    <row r="2662" spans="1:21" x14ac:dyDescent="0.3">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c r="T2662">
        <f>IF(Table1[[#This Row],[Discount_Applied]]="Yes", 1,0)</f>
        <v>0</v>
      </c>
      <c r="U2662" t="str">
        <f>_xlfn.IFS(Table1[[#This Row],[Age]]&lt;=25, "Below 25", Table1[[#This Row],[Age]]&lt;=35, "Between 25-35", Table1[[#This Row],[Age]]&lt;=45, "Between 36-45", Table1[[#This Row],[Age]]&gt;45, "45+")</f>
        <v>Below 25</v>
      </c>
    </row>
    <row r="2663" spans="1:21" x14ac:dyDescent="0.3">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c r="T2663">
        <f>IF(Table1[[#This Row],[Discount_Applied]]="Yes", 1,0)</f>
        <v>0</v>
      </c>
      <c r="U2663" t="str">
        <f>_xlfn.IFS(Table1[[#This Row],[Age]]&lt;=25, "Below 25", Table1[[#This Row],[Age]]&lt;=35, "Between 25-35", Table1[[#This Row],[Age]]&lt;=45, "Between 36-45", Table1[[#This Row],[Age]]&gt;45, "45+")</f>
        <v>Between 36-45</v>
      </c>
    </row>
    <row r="2664" spans="1:21" x14ac:dyDescent="0.3">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c r="T2664">
        <f>IF(Table1[[#This Row],[Discount_Applied]]="Yes", 1,0)</f>
        <v>0</v>
      </c>
      <c r="U2664" t="str">
        <f>_xlfn.IFS(Table1[[#This Row],[Age]]&lt;=25, "Below 25", Table1[[#This Row],[Age]]&lt;=35, "Between 25-35", Table1[[#This Row],[Age]]&lt;=45, "Between 36-45", Table1[[#This Row],[Age]]&gt;45, "45+")</f>
        <v>Below 25</v>
      </c>
    </row>
    <row r="2665" spans="1:21" x14ac:dyDescent="0.3">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c r="T2665">
        <f>IF(Table1[[#This Row],[Discount_Applied]]="Yes", 1,0)</f>
        <v>0</v>
      </c>
      <c r="U2665" t="str">
        <f>_xlfn.IFS(Table1[[#This Row],[Age]]&lt;=25, "Below 25", Table1[[#This Row],[Age]]&lt;=35, "Between 25-35", Table1[[#This Row],[Age]]&lt;=45, "Between 36-45", Table1[[#This Row],[Age]]&gt;45, "45+")</f>
        <v>45+</v>
      </c>
    </row>
    <row r="2666" spans="1:21" x14ac:dyDescent="0.3">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c r="T2666">
        <f>IF(Table1[[#This Row],[Discount_Applied]]="Yes", 1,0)</f>
        <v>0</v>
      </c>
      <c r="U2666" t="str">
        <f>_xlfn.IFS(Table1[[#This Row],[Age]]&lt;=25, "Below 25", Table1[[#This Row],[Age]]&lt;=35, "Between 25-35", Table1[[#This Row],[Age]]&lt;=45, "Between 36-45", Table1[[#This Row],[Age]]&gt;45, "45+")</f>
        <v>Below 25</v>
      </c>
    </row>
    <row r="2667" spans="1:21" x14ac:dyDescent="0.3">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c r="T2667">
        <f>IF(Table1[[#This Row],[Discount_Applied]]="Yes", 1,0)</f>
        <v>0</v>
      </c>
      <c r="U2667" t="str">
        <f>_xlfn.IFS(Table1[[#This Row],[Age]]&lt;=25, "Below 25", Table1[[#This Row],[Age]]&lt;=35, "Between 25-35", Table1[[#This Row],[Age]]&lt;=45, "Between 36-45", Table1[[#This Row],[Age]]&gt;45, "45+")</f>
        <v>45+</v>
      </c>
    </row>
    <row r="2668" spans="1:21" x14ac:dyDescent="0.3">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c r="T2668">
        <f>IF(Table1[[#This Row],[Discount_Applied]]="Yes", 1,0)</f>
        <v>0</v>
      </c>
      <c r="U2668" t="str">
        <f>_xlfn.IFS(Table1[[#This Row],[Age]]&lt;=25, "Below 25", Table1[[#This Row],[Age]]&lt;=35, "Between 25-35", Table1[[#This Row],[Age]]&lt;=45, "Between 36-45", Table1[[#This Row],[Age]]&gt;45, "45+")</f>
        <v>45+</v>
      </c>
    </row>
    <row r="2669" spans="1:21" x14ac:dyDescent="0.3">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c r="T2669">
        <f>IF(Table1[[#This Row],[Discount_Applied]]="Yes", 1,0)</f>
        <v>0</v>
      </c>
      <c r="U2669" t="str">
        <f>_xlfn.IFS(Table1[[#This Row],[Age]]&lt;=25, "Below 25", Table1[[#This Row],[Age]]&lt;=35, "Between 25-35", Table1[[#This Row],[Age]]&lt;=45, "Between 36-45", Table1[[#This Row],[Age]]&gt;45, "45+")</f>
        <v>45+</v>
      </c>
    </row>
    <row r="2670" spans="1:21" x14ac:dyDescent="0.3">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c r="T2670">
        <f>IF(Table1[[#This Row],[Discount_Applied]]="Yes", 1,0)</f>
        <v>0</v>
      </c>
      <c r="U2670" t="str">
        <f>_xlfn.IFS(Table1[[#This Row],[Age]]&lt;=25, "Below 25", Table1[[#This Row],[Age]]&lt;=35, "Between 25-35", Table1[[#This Row],[Age]]&lt;=45, "Between 36-45", Table1[[#This Row],[Age]]&gt;45, "45+")</f>
        <v>45+</v>
      </c>
    </row>
    <row r="2671" spans="1:21" x14ac:dyDescent="0.3">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c r="T2671">
        <f>IF(Table1[[#This Row],[Discount_Applied]]="Yes", 1,0)</f>
        <v>0</v>
      </c>
      <c r="U2671" t="str">
        <f>_xlfn.IFS(Table1[[#This Row],[Age]]&lt;=25, "Below 25", Table1[[#This Row],[Age]]&lt;=35, "Between 25-35", Table1[[#This Row],[Age]]&lt;=45, "Between 36-45", Table1[[#This Row],[Age]]&gt;45, "45+")</f>
        <v>Between 36-45</v>
      </c>
    </row>
    <row r="2672" spans="1:21" x14ac:dyDescent="0.3">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c r="T2672">
        <f>IF(Table1[[#This Row],[Discount_Applied]]="Yes", 1,0)</f>
        <v>0</v>
      </c>
      <c r="U2672" t="str">
        <f>_xlfn.IFS(Table1[[#This Row],[Age]]&lt;=25, "Below 25", Table1[[#This Row],[Age]]&lt;=35, "Between 25-35", Table1[[#This Row],[Age]]&lt;=45, "Between 36-45", Table1[[#This Row],[Age]]&gt;45, "45+")</f>
        <v>Between 25-35</v>
      </c>
    </row>
    <row r="2673" spans="1:21" x14ac:dyDescent="0.3">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c r="T2673">
        <f>IF(Table1[[#This Row],[Discount_Applied]]="Yes", 1,0)</f>
        <v>0</v>
      </c>
      <c r="U2673" t="str">
        <f>_xlfn.IFS(Table1[[#This Row],[Age]]&lt;=25, "Below 25", Table1[[#This Row],[Age]]&lt;=35, "Between 25-35", Table1[[#This Row],[Age]]&lt;=45, "Between 36-45", Table1[[#This Row],[Age]]&gt;45, "45+")</f>
        <v>Between 36-45</v>
      </c>
    </row>
    <row r="2674" spans="1:21" x14ac:dyDescent="0.3">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c r="T2674">
        <f>IF(Table1[[#This Row],[Discount_Applied]]="Yes", 1,0)</f>
        <v>0</v>
      </c>
      <c r="U2674" t="str">
        <f>_xlfn.IFS(Table1[[#This Row],[Age]]&lt;=25, "Below 25", Table1[[#This Row],[Age]]&lt;=35, "Between 25-35", Table1[[#This Row],[Age]]&lt;=45, "Between 36-45", Table1[[#This Row],[Age]]&gt;45, "45+")</f>
        <v>45+</v>
      </c>
    </row>
    <row r="2675" spans="1:21" x14ac:dyDescent="0.3">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c r="T2675">
        <f>IF(Table1[[#This Row],[Discount_Applied]]="Yes", 1,0)</f>
        <v>0</v>
      </c>
      <c r="U2675" t="str">
        <f>_xlfn.IFS(Table1[[#This Row],[Age]]&lt;=25, "Below 25", Table1[[#This Row],[Age]]&lt;=35, "Between 25-35", Table1[[#This Row],[Age]]&lt;=45, "Between 36-45", Table1[[#This Row],[Age]]&gt;45, "45+")</f>
        <v>45+</v>
      </c>
    </row>
    <row r="2676" spans="1:21" x14ac:dyDescent="0.3">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c r="T2676">
        <f>IF(Table1[[#This Row],[Discount_Applied]]="Yes", 1,0)</f>
        <v>0</v>
      </c>
      <c r="U2676" t="str">
        <f>_xlfn.IFS(Table1[[#This Row],[Age]]&lt;=25, "Below 25", Table1[[#This Row],[Age]]&lt;=35, "Between 25-35", Table1[[#This Row],[Age]]&lt;=45, "Between 36-45", Table1[[#This Row],[Age]]&gt;45, "45+")</f>
        <v>Between 36-45</v>
      </c>
    </row>
    <row r="2677" spans="1:21" x14ac:dyDescent="0.3">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c r="T2677">
        <f>IF(Table1[[#This Row],[Discount_Applied]]="Yes", 1,0)</f>
        <v>0</v>
      </c>
      <c r="U2677" t="str">
        <f>_xlfn.IFS(Table1[[#This Row],[Age]]&lt;=25, "Below 25", Table1[[#This Row],[Age]]&lt;=35, "Between 25-35", Table1[[#This Row],[Age]]&lt;=45, "Between 36-45", Table1[[#This Row],[Age]]&gt;45, "45+")</f>
        <v>Below 25</v>
      </c>
    </row>
    <row r="2678" spans="1:21" x14ac:dyDescent="0.3">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c r="T2678">
        <f>IF(Table1[[#This Row],[Discount_Applied]]="Yes", 1,0)</f>
        <v>0</v>
      </c>
      <c r="U2678" t="str">
        <f>_xlfn.IFS(Table1[[#This Row],[Age]]&lt;=25, "Below 25", Table1[[#This Row],[Age]]&lt;=35, "Between 25-35", Table1[[#This Row],[Age]]&lt;=45, "Between 36-45", Table1[[#This Row],[Age]]&gt;45, "45+")</f>
        <v>Between 36-45</v>
      </c>
    </row>
    <row r="2679" spans="1:21" x14ac:dyDescent="0.3">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c r="T2679">
        <f>IF(Table1[[#This Row],[Discount_Applied]]="Yes", 1,0)</f>
        <v>0</v>
      </c>
      <c r="U2679" t="str">
        <f>_xlfn.IFS(Table1[[#This Row],[Age]]&lt;=25, "Below 25", Table1[[#This Row],[Age]]&lt;=35, "Between 25-35", Table1[[#This Row],[Age]]&lt;=45, "Between 36-45", Table1[[#This Row],[Age]]&gt;45, "45+")</f>
        <v>Between 36-45</v>
      </c>
    </row>
    <row r="2680" spans="1:21" x14ac:dyDescent="0.3">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c r="T2680">
        <f>IF(Table1[[#This Row],[Discount_Applied]]="Yes", 1,0)</f>
        <v>0</v>
      </c>
      <c r="U2680" t="str">
        <f>_xlfn.IFS(Table1[[#This Row],[Age]]&lt;=25, "Below 25", Table1[[#This Row],[Age]]&lt;=35, "Between 25-35", Table1[[#This Row],[Age]]&lt;=45, "Between 36-45", Table1[[#This Row],[Age]]&gt;45, "45+")</f>
        <v>Between 25-35</v>
      </c>
    </row>
    <row r="2681" spans="1:21" x14ac:dyDescent="0.3">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c r="T2681">
        <f>IF(Table1[[#This Row],[Discount_Applied]]="Yes", 1,0)</f>
        <v>0</v>
      </c>
      <c r="U2681" t="str">
        <f>_xlfn.IFS(Table1[[#This Row],[Age]]&lt;=25, "Below 25", Table1[[#This Row],[Age]]&lt;=35, "Between 25-35", Table1[[#This Row],[Age]]&lt;=45, "Between 36-45", Table1[[#This Row],[Age]]&gt;45, "45+")</f>
        <v>45+</v>
      </c>
    </row>
    <row r="2682" spans="1:21" x14ac:dyDescent="0.3">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c r="T2682">
        <f>IF(Table1[[#This Row],[Discount_Applied]]="Yes", 1,0)</f>
        <v>0</v>
      </c>
      <c r="U2682" t="str">
        <f>_xlfn.IFS(Table1[[#This Row],[Age]]&lt;=25, "Below 25", Table1[[#This Row],[Age]]&lt;=35, "Between 25-35", Table1[[#This Row],[Age]]&lt;=45, "Between 36-45", Table1[[#This Row],[Age]]&gt;45, "45+")</f>
        <v>Between 36-45</v>
      </c>
    </row>
    <row r="2683" spans="1:21" x14ac:dyDescent="0.3">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c r="T2683">
        <f>IF(Table1[[#This Row],[Discount_Applied]]="Yes", 1,0)</f>
        <v>0</v>
      </c>
      <c r="U2683" t="str">
        <f>_xlfn.IFS(Table1[[#This Row],[Age]]&lt;=25, "Below 25", Table1[[#This Row],[Age]]&lt;=35, "Between 25-35", Table1[[#This Row],[Age]]&lt;=45, "Between 36-45", Table1[[#This Row],[Age]]&gt;45, "45+")</f>
        <v>Below 25</v>
      </c>
    </row>
    <row r="2684" spans="1:21" x14ac:dyDescent="0.3">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c r="T2684">
        <f>IF(Table1[[#This Row],[Discount_Applied]]="Yes", 1,0)</f>
        <v>0</v>
      </c>
      <c r="U2684" t="str">
        <f>_xlfn.IFS(Table1[[#This Row],[Age]]&lt;=25, "Below 25", Table1[[#This Row],[Age]]&lt;=35, "Between 25-35", Table1[[#This Row],[Age]]&lt;=45, "Between 36-45", Table1[[#This Row],[Age]]&gt;45, "45+")</f>
        <v>45+</v>
      </c>
    </row>
    <row r="2685" spans="1:21" x14ac:dyDescent="0.3">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c r="T2685">
        <f>IF(Table1[[#This Row],[Discount_Applied]]="Yes", 1,0)</f>
        <v>0</v>
      </c>
      <c r="U2685" t="str">
        <f>_xlfn.IFS(Table1[[#This Row],[Age]]&lt;=25, "Below 25", Table1[[#This Row],[Age]]&lt;=35, "Between 25-35", Table1[[#This Row],[Age]]&lt;=45, "Between 36-45", Table1[[#This Row],[Age]]&gt;45, "45+")</f>
        <v>45+</v>
      </c>
    </row>
    <row r="2686" spans="1:21" x14ac:dyDescent="0.3">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c r="T2686">
        <f>IF(Table1[[#This Row],[Discount_Applied]]="Yes", 1,0)</f>
        <v>0</v>
      </c>
      <c r="U2686" t="str">
        <f>_xlfn.IFS(Table1[[#This Row],[Age]]&lt;=25, "Below 25", Table1[[#This Row],[Age]]&lt;=35, "Between 25-35", Table1[[#This Row],[Age]]&lt;=45, "Between 36-45", Table1[[#This Row],[Age]]&gt;45, "45+")</f>
        <v>45+</v>
      </c>
    </row>
    <row r="2687" spans="1:21" x14ac:dyDescent="0.3">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c r="T2687">
        <f>IF(Table1[[#This Row],[Discount_Applied]]="Yes", 1,0)</f>
        <v>0</v>
      </c>
      <c r="U2687" t="str">
        <f>_xlfn.IFS(Table1[[#This Row],[Age]]&lt;=25, "Below 25", Table1[[#This Row],[Age]]&lt;=35, "Between 25-35", Table1[[#This Row],[Age]]&lt;=45, "Between 36-45", Table1[[#This Row],[Age]]&gt;45, "45+")</f>
        <v>45+</v>
      </c>
    </row>
    <row r="2688" spans="1:21" x14ac:dyDescent="0.3">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c r="T2688">
        <f>IF(Table1[[#This Row],[Discount_Applied]]="Yes", 1,0)</f>
        <v>0</v>
      </c>
      <c r="U2688" t="str">
        <f>_xlfn.IFS(Table1[[#This Row],[Age]]&lt;=25, "Below 25", Table1[[#This Row],[Age]]&lt;=35, "Between 25-35", Table1[[#This Row],[Age]]&lt;=45, "Between 36-45", Table1[[#This Row],[Age]]&gt;45, "45+")</f>
        <v>Between 36-45</v>
      </c>
    </row>
    <row r="2689" spans="1:21" x14ac:dyDescent="0.3">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c r="T2689">
        <f>IF(Table1[[#This Row],[Discount_Applied]]="Yes", 1,0)</f>
        <v>0</v>
      </c>
      <c r="U2689" t="str">
        <f>_xlfn.IFS(Table1[[#This Row],[Age]]&lt;=25, "Below 25", Table1[[#This Row],[Age]]&lt;=35, "Between 25-35", Table1[[#This Row],[Age]]&lt;=45, "Between 36-45", Table1[[#This Row],[Age]]&gt;45, "45+")</f>
        <v>45+</v>
      </c>
    </row>
    <row r="2690" spans="1:21" x14ac:dyDescent="0.3">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c r="T2690">
        <f>IF(Table1[[#This Row],[Discount_Applied]]="Yes", 1,0)</f>
        <v>0</v>
      </c>
      <c r="U2690" t="str">
        <f>_xlfn.IFS(Table1[[#This Row],[Age]]&lt;=25, "Below 25", Table1[[#This Row],[Age]]&lt;=35, "Between 25-35", Table1[[#This Row],[Age]]&lt;=45, "Between 36-45", Table1[[#This Row],[Age]]&gt;45, "45+")</f>
        <v>45+</v>
      </c>
    </row>
    <row r="2691" spans="1:21" x14ac:dyDescent="0.3">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c r="T2691">
        <f>IF(Table1[[#This Row],[Discount_Applied]]="Yes", 1,0)</f>
        <v>0</v>
      </c>
      <c r="U2691" t="str">
        <f>_xlfn.IFS(Table1[[#This Row],[Age]]&lt;=25, "Below 25", Table1[[#This Row],[Age]]&lt;=35, "Between 25-35", Table1[[#This Row],[Age]]&lt;=45, "Between 36-45", Table1[[#This Row],[Age]]&gt;45, "45+")</f>
        <v>Between 25-35</v>
      </c>
    </row>
    <row r="2692" spans="1:21" x14ac:dyDescent="0.3">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c r="T2692">
        <f>IF(Table1[[#This Row],[Discount_Applied]]="Yes", 1,0)</f>
        <v>0</v>
      </c>
      <c r="U2692" t="str">
        <f>_xlfn.IFS(Table1[[#This Row],[Age]]&lt;=25, "Below 25", Table1[[#This Row],[Age]]&lt;=35, "Between 25-35", Table1[[#This Row],[Age]]&lt;=45, "Between 36-45", Table1[[#This Row],[Age]]&gt;45, "45+")</f>
        <v>Between 36-45</v>
      </c>
    </row>
    <row r="2693" spans="1:21" x14ac:dyDescent="0.3">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c r="T2693">
        <f>IF(Table1[[#This Row],[Discount_Applied]]="Yes", 1,0)</f>
        <v>0</v>
      </c>
      <c r="U2693" t="str">
        <f>_xlfn.IFS(Table1[[#This Row],[Age]]&lt;=25, "Below 25", Table1[[#This Row],[Age]]&lt;=35, "Between 25-35", Table1[[#This Row],[Age]]&lt;=45, "Between 36-45", Table1[[#This Row],[Age]]&gt;45, "45+")</f>
        <v>Between 36-45</v>
      </c>
    </row>
    <row r="2694" spans="1:21" x14ac:dyDescent="0.3">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c r="T2694">
        <f>IF(Table1[[#This Row],[Discount_Applied]]="Yes", 1,0)</f>
        <v>0</v>
      </c>
      <c r="U2694" t="str">
        <f>_xlfn.IFS(Table1[[#This Row],[Age]]&lt;=25, "Below 25", Table1[[#This Row],[Age]]&lt;=35, "Between 25-35", Table1[[#This Row],[Age]]&lt;=45, "Between 36-45", Table1[[#This Row],[Age]]&gt;45, "45+")</f>
        <v>Between 36-45</v>
      </c>
    </row>
    <row r="2695" spans="1:21" x14ac:dyDescent="0.3">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c r="T2695">
        <f>IF(Table1[[#This Row],[Discount_Applied]]="Yes", 1,0)</f>
        <v>0</v>
      </c>
      <c r="U2695" t="str">
        <f>_xlfn.IFS(Table1[[#This Row],[Age]]&lt;=25, "Below 25", Table1[[#This Row],[Age]]&lt;=35, "Between 25-35", Table1[[#This Row],[Age]]&lt;=45, "Between 36-45", Table1[[#This Row],[Age]]&gt;45, "45+")</f>
        <v>45+</v>
      </c>
    </row>
    <row r="2696" spans="1:21" x14ac:dyDescent="0.3">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c r="T2696">
        <f>IF(Table1[[#This Row],[Discount_Applied]]="Yes", 1,0)</f>
        <v>0</v>
      </c>
      <c r="U2696" t="str">
        <f>_xlfn.IFS(Table1[[#This Row],[Age]]&lt;=25, "Below 25", Table1[[#This Row],[Age]]&lt;=35, "Between 25-35", Table1[[#This Row],[Age]]&lt;=45, "Between 36-45", Table1[[#This Row],[Age]]&gt;45, "45+")</f>
        <v>45+</v>
      </c>
    </row>
    <row r="2697" spans="1:21" x14ac:dyDescent="0.3">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c r="T2697">
        <f>IF(Table1[[#This Row],[Discount_Applied]]="Yes", 1,0)</f>
        <v>0</v>
      </c>
      <c r="U2697" t="str">
        <f>_xlfn.IFS(Table1[[#This Row],[Age]]&lt;=25, "Below 25", Table1[[#This Row],[Age]]&lt;=35, "Between 25-35", Table1[[#This Row],[Age]]&lt;=45, "Between 36-45", Table1[[#This Row],[Age]]&gt;45, "45+")</f>
        <v>45+</v>
      </c>
    </row>
    <row r="2698" spans="1:21" x14ac:dyDescent="0.3">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c r="T2698">
        <f>IF(Table1[[#This Row],[Discount_Applied]]="Yes", 1,0)</f>
        <v>0</v>
      </c>
      <c r="U2698" t="str">
        <f>_xlfn.IFS(Table1[[#This Row],[Age]]&lt;=25, "Below 25", Table1[[#This Row],[Age]]&lt;=35, "Between 25-35", Table1[[#This Row],[Age]]&lt;=45, "Between 36-45", Table1[[#This Row],[Age]]&gt;45, "45+")</f>
        <v>45+</v>
      </c>
    </row>
    <row r="2699" spans="1:21" x14ac:dyDescent="0.3">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c r="T2699">
        <f>IF(Table1[[#This Row],[Discount_Applied]]="Yes", 1,0)</f>
        <v>0</v>
      </c>
      <c r="U2699" t="str">
        <f>_xlfn.IFS(Table1[[#This Row],[Age]]&lt;=25, "Below 25", Table1[[#This Row],[Age]]&lt;=35, "Between 25-35", Table1[[#This Row],[Age]]&lt;=45, "Between 36-45", Table1[[#This Row],[Age]]&gt;45, "45+")</f>
        <v>Between 36-45</v>
      </c>
    </row>
    <row r="2700" spans="1:21" x14ac:dyDescent="0.3">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c r="T2700">
        <f>IF(Table1[[#This Row],[Discount_Applied]]="Yes", 1,0)</f>
        <v>0</v>
      </c>
      <c r="U2700" t="str">
        <f>_xlfn.IFS(Table1[[#This Row],[Age]]&lt;=25, "Below 25", Table1[[#This Row],[Age]]&lt;=35, "Between 25-35", Table1[[#This Row],[Age]]&lt;=45, "Between 36-45", Table1[[#This Row],[Age]]&gt;45, "45+")</f>
        <v>45+</v>
      </c>
    </row>
    <row r="2701" spans="1:21" x14ac:dyDescent="0.3">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c r="T2701">
        <f>IF(Table1[[#This Row],[Discount_Applied]]="Yes", 1,0)</f>
        <v>0</v>
      </c>
      <c r="U2701" t="str">
        <f>_xlfn.IFS(Table1[[#This Row],[Age]]&lt;=25, "Below 25", Table1[[#This Row],[Age]]&lt;=35, "Between 25-35", Table1[[#This Row],[Age]]&lt;=45, "Between 36-45", Table1[[#This Row],[Age]]&gt;45, "45+")</f>
        <v>Below 25</v>
      </c>
    </row>
    <row r="2702" spans="1:21" x14ac:dyDescent="0.3">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c r="T2702">
        <f>IF(Table1[[#This Row],[Discount_Applied]]="Yes", 1,0)</f>
        <v>0</v>
      </c>
      <c r="U2702" t="str">
        <f>_xlfn.IFS(Table1[[#This Row],[Age]]&lt;=25, "Below 25", Table1[[#This Row],[Age]]&lt;=35, "Between 25-35", Table1[[#This Row],[Age]]&lt;=45, "Between 36-45", Table1[[#This Row],[Age]]&gt;45, "45+")</f>
        <v>Below 25</v>
      </c>
    </row>
    <row r="2703" spans="1:21" x14ac:dyDescent="0.3">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c r="T2703">
        <f>IF(Table1[[#This Row],[Discount_Applied]]="Yes", 1,0)</f>
        <v>0</v>
      </c>
      <c r="U2703" t="str">
        <f>_xlfn.IFS(Table1[[#This Row],[Age]]&lt;=25, "Below 25", Table1[[#This Row],[Age]]&lt;=35, "Between 25-35", Table1[[#This Row],[Age]]&lt;=45, "Between 36-45", Table1[[#This Row],[Age]]&gt;45, "45+")</f>
        <v>45+</v>
      </c>
    </row>
    <row r="2704" spans="1:21" x14ac:dyDescent="0.3">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c r="T2704">
        <f>IF(Table1[[#This Row],[Discount_Applied]]="Yes", 1,0)</f>
        <v>0</v>
      </c>
      <c r="U2704" t="str">
        <f>_xlfn.IFS(Table1[[#This Row],[Age]]&lt;=25, "Below 25", Table1[[#This Row],[Age]]&lt;=35, "Between 25-35", Table1[[#This Row],[Age]]&lt;=45, "Between 36-45", Table1[[#This Row],[Age]]&gt;45, "45+")</f>
        <v>45+</v>
      </c>
    </row>
    <row r="2705" spans="1:21" x14ac:dyDescent="0.3">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c r="T2705">
        <f>IF(Table1[[#This Row],[Discount_Applied]]="Yes", 1,0)</f>
        <v>0</v>
      </c>
      <c r="U2705" t="str">
        <f>_xlfn.IFS(Table1[[#This Row],[Age]]&lt;=25, "Below 25", Table1[[#This Row],[Age]]&lt;=35, "Between 25-35", Table1[[#This Row],[Age]]&lt;=45, "Between 36-45", Table1[[#This Row],[Age]]&gt;45, "45+")</f>
        <v>45+</v>
      </c>
    </row>
    <row r="2706" spans="1:21" x14ac:dyDescent="0.3">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c r="T2706">
        <f>IF(Table1[[#This Row],[Discount_Applied]]="Yes", 1,0)</f>
        <v>0</v>
      </c>
      <c r="U2706" t="str">
        <f>_xlfn.IFS(Table1[[#This Row],[Age]]&lt;=25, "Below 25", Table1[[#This Row],[Age]]&lt;=35, "Between 25-35", Table1[[#This Row],[Age]]&lt;=45, "Between 36-45", Table1[[#This Row],[Age]]&gt;45, "45+")</f>
        <v>45+</v>
      </c>
    </row>
    <row r="2707" spans="1:21" x14ac:dyDescent="0.3">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c r="T2707">
        <f>IF(Table1[[#This Row],[Discount_Applied]]="Yes", 1,0)</f>
        <v>0</v>
      </c>
      <c r="U2707" t="str">
        <f>_xlfn.IFS(Table1[[#This Row],[Age]]&lt;=25, "Below 25", Table1[[#This Row],[Age]]&lt;=35, "Between 25-35", Table1[[#This Row],[Age]]&lt;=45, "Between 36-45", Table1[[#This Row],[Age]]&gt;45, "45+")</f>
        <v>45+</v>
      </c>
    </row>
    <row r="2708" spans="1:21" x14ac:dyDescent="0.3">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c r="T2708">
        <f>IF(Table1[[#This Row],[Discount_Applied]]="Yes", 1,0)</f>
        <v>0</v>
      </c>
      <c r="U2708" t="str">
        <f>_xlfn.IFS(Table1[[#This Row],[Age]]&lt;=25, "Below 25", Table1[[#This Row],[Age]]&lt;=35, "Between 25-35", Table1[[#This Row],[Age]]&lt;=45, "Between 36-45", Table1[[#This Row],[Age]]&gt;45, "45+")</f>
        <v>Below 25</v>
      </c>
    </row>
    <row r="2709" spans="1:21" x14ac:dyDescent="0.3">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c r="T2709">
        <f>IF(Table1[[#This Row],[Discount_Applied]]="Yes", 1,0)</f>
        <v>0</v>
      </c>
      <c r="U2709" t="str">
        <f>_xlfn.IFS(Table1[[#This Row],[Age]]&lt;=25, "Below 25", Table1[[#This Row],[Age]]&lt;=35, "Between 25-35", Table1[[#This Row],[Age]]&lt;=45, "Between 36-45", Table1[[#This Row],[Age]]&gt;45, "45+")</f>
        <v>Between 25-35</v>
      </c>
    </row>
    <row r="2710" spans="1:21" x14ac:dyDescent="0.3">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c r="T2710">
        <f>IF(Table1[[#This Row],[Discount_Applied]]="Yes", 1,0)</f>
        <v>0</v>
      </c>
      <c r="U2710" t="str">
        <f>_xlfn.IFS(Table1[[#This Row],[Age]]&lt;=25, "Below 25", Table1[[#This Row],[Age]]&lt;=35, "Between 25-35", Table1[[#This Row],[Age]]&lt;=45, "Between 36-45", Table1[[#This Row],[Age]]&gt;45, "45+")</f>
        <v>45+</v>
      </c>
    </row>
    <row r="2711" spans="1:21" x14ac:dyDescent="0.3">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c r="T2711">
        <f>IF(Table1[[#This Row],[Discount_Applied]]="Yes", 1,0)</f>
        <v>0</v>
      </c>
      <c r="U2711" t="str">
        <f>_xlfn.IFS(Table1[[#This Row],[Age]]&lt;=25, "Below 25", Table1[[#This Row],[Age]]&lt;=35, "Between 25-35", Table1[[#This Row],[Age]]&lt;=45, "Between 36-45", Table1[[#This Row],[Age]]&gt;45, "45+")</f>
        <v>Between 25-35</v>
      </c>
    </row>
    <row r="2712" spans="1:21" x14ac:dyDescent="0.3">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c r="T2712">
        <f>IF(Table1[[#This Row],[Discount_Applied]]="Yes", 1,0)</f>
        <v>0</v>
      </c>
      <c r="U2712" t="str">
        <f>_xlfn.IFS(Table1[[#This Row],[Age]]&lt;=25, "Below 25", Table1[[#This Row],[Age]]&lt;=35, "Between 25-35", Table1[[#This Row],[Age]]&lt;=45, "Between 36-45", Table1[[#This Row],[Age]]&gt;45, "45+")</f>
        <v>45+</v>
      </c>
    </row>
    <row r="2713" spans="1:21" x14ac:dyDescent="0.3">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c r="T2713">
        <f>IF(Table1[[#This Row],[Discount_Applied]]="Yes", 1,0)</f>
        <v>0</v>
      </c>
      <c r="U2713" t="str">
        <f>_xlfn.IFS(Table1[[#This Row],[Age]]&lt;=25, "Below 25", Table1[[#This Row],[Age]]&lt;=35, "Between 25-35", Table1[[#This Row],[Age]]&lt;=45, "Between 36-45", Table1[[#This Row],[Age]]&gt;45, "45+")</f>
        <v>Between 25-35</v>
      </c>
    </row>
    <row r="2714" spans="1:21" x14ac:dyDescent="0.3">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c r="T2714">
        <f>IF(Table1[[#This Row],[Discount_Applied]]="Yes", 1,0)</f>
        <v>0</v>
      </c>
      <c r="U2714" t="str">
        <f>_xlfn.IFS(Table1[[#This Row],[Age]]&lt;=25, "Below 25", Table1[[#This Row],[Age]]&lt;=35, "Between 25-35", Table1[[#This Row],[Age]]&lt;=45, "Between 36-45", Table1[[#This Row],[Age]]&gt;45, "45+")</f>
        <v>Between 36-45</v>
      </c>
    </row>
    <row r="2715" spans="1:21" x14ac:dyDescent="0.3">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c r="T2715">
        <f>IF(Table1[[#This Row],[Discount_Applied]]="Yes", 1,0)</f>
        <v>0</v>
      </c>
      <c r="U2715" t="str">
        <f>_xlfn.IFS(Table1[[#This Row],[Age]]&lt;=25, "Below 25", Table1[[#This Row],[Age]]&lt;=35, "Between 25-35", Table1[[#This Row],[Age]]&lt;=45, "Between 36-45", Table1[[#This Row],[Age]]&gt;45, "45+")</f>
        <v>Below 25</v>
      </c>
    </row>
    <row r="2716" spans="1:21" x14ac:dyDescent="0.3">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c r="T2716">
        <f>IF(Table1[[#This Row],[Discount_Applied]]="Yes", 1,0)</f>
        <v>0</v>
      </c>
      <c r="U2716" t="str">
        <f>_xlfn.IFS(Table1[[#This Row],[Age]]&lt;=25, "Below 25", Table1[[#This Row],[Age]]&lt;=35, "Between 25-35", Table1[[#This Row],[Age]]&lt;=45, "Between 36-45", Table1[[#This Row],[Age]]&gt;45, "45+")</f>
        <v>45+</v>
      </c>
    </row>
    <row r="2717" spans="1:21" x14ac:dyDescent="0.3">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c r="T2717">
        <f>IF(Table1[[#This Row],[Discount_Applied]]="Yes", 1,0)</f>
        <v>0</v>
      </c>
      <c r="U2717" t="str">
        <f>_xlfn.IFS(Table1[[#This Row],[Age]]&lt;=25, "Below 25", Table1[[#This Row],[Age]]&lt;=35, "Between 25-35", Table1[[#This Row],[Age]]&lt;=45, "Between 36-45", Table1[[#This Row],[Age]]&gt;45, "45+")</f>
        <v>Below 25</v>
      </c>
    </row>
    <row r="2718" spans="1:21" x14ac:dyDescent="0.3">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c r="T2718">
        <f>IF(Table1[[#This Row],[Discount_Applied]]="Yes", 1,0)</f>
        <v>0</v>
      </c>
      <c r="U2718" t="str">
        <f>_xlfn.IFS(Table1[[#This Row],[Age]]&lt;=25, "Below 25", Table1[[#This Row],[Age]]&lt;=35, "Between 25-35", Table1[[#This Row],[Age]]&lt;=45, "Between 36-45", Table1[[#This Row],[Age]]&gt;45, "45+")</f>
        <v>45+</v>
      </c>
    </row>
    <row r="2719" spans="1:21" x14ac:dyDescent="0.3">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c r="T2719">
        <f>IF(Table1[[#This Row],[Discount_Applied]]="Yes", 1,0)</f>
        <v>0</v>
      </c>
      <c r="U2719" t="str">
        <f>_xlfn.IFS(Table1[[#This Row],[Age]]&lt;=25, "Below 25", Table1[[#This Row],[Age]]&lt;=35, "Between 25-35", Table1[[#This Row],[Age]]&lt;=45, "Between 36-45", Table1[[#This Row],[Age]]&gt;45, "45+")</f>
        <v>Below 25</v>
      </c>
    </row>
    <row r="2720" spans="1:21" x14ac:dyDescent="0.3">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c r="T2720">
        <f>IF(Table1[[#This Row],[Discount_Applied]]="Yes", 1,0)</f>
        <v>0</v>
      </c>
      <c r="U2720" t="str">
        <f>_xlfn.IFS(Table1[[#This Row],[Age]]&lt;=25, "Below 25", Table1[[#This Row],[Age]]&lt;=35, "Between 25-35", Table1[[#This Row],[Age]]&lt;=45, "Between 36-45", Table1[[#This Row],[Age]]&gt;45, "45+")</f>
        <v>Below 25</v>
      </c>
    </row>
    <row r="2721" spans="1:21" x14ac:dyDescent="0.3">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c r="T2721">
        <f>IF(Table1[[#This Row],[Discount_Applied]]="Yes", 1,0)</f>
        <v>0</v>
      </c>
      <c r="U2721" t="str">
        <f>_xlfn.IFS(Table1[[#This Row],[Age]]&lt;=25, "Below 25", Table1[[#This Row],[Age]]&lt;=35, "Between 25-35", Table1[[#This Row],[Age]]&lt;=45, "Between 36-45", Table1[[#This Row],[Age]]&gt;45, "45+")</f>
        <v>45+</v>
      </c>
    </row>
    <row r="2722" spans="1:21" x14ac:dyDescent="0.3">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c r="T2722">
        <f>IF(Table1[[#This Row],[Discount_Applied]]="Yes", 1,0)</f>
        <v>0</v>
      </c>
      <c r="U2722" t="str">
        <f>_xlfn.IFS(Table1[[#This Row],[Age]]&lt;=25, "Below 25", Table1[[#This Row],[Age]]&lt;=35, "Between 25-35", Table1[[#This Row],[Age]]&lt;=45, "Between 36-45", Table1[[#This Row],[Age]]&gt;45, "45+")</f>
        <v>45+</v>
      </c>
    </row>
    <row r="2723" spans="1:21" x14ac:dyDescent="0.3">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c r="T2723">
        <f>IF(Table1[[#This Row],[Discount_Applied]]="Yes", 1,0)</f>
        <v>0</v>
      </c>
      <c r="U2723" t="str">
        <f>_xlfn.IFS(Table1[[#This Row],[Age]]&lt;=25, "Below 25", Table1[[#This Row],[Age]]&lt;=35, "Between 25-35", Table1[[#This Row],[Age]]&lt;=45, "Between 36-45", Table1[[#This Row],[Age]]&gt;45, "45+")</f>
        <v>Below 25</v>
      </c>
    </row>
    <row r="2724" spans="1:21" x14ac:dyDescent="0.3">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c r="T2724">
        <f>IF(Table1[[#This Row],[Discount_Applied]]="Yes", 1,0)</f>
        <v>0</v>
      </c>
      <c r="U2724" t="str">
        <f>_xlfn.IFS(Table1[[#This Row],[Age]]&lt;=25, "Below 25", Table1[[#This Row],[Age]]&lt;=35, "Between 25-35", Table1[[#This Row],[Age]]&lt;=45, "Between 36-45", Table1[[#This Row],[Age]]&gt;45, "45+")</f>
        <v>Below 25</v>
      </c>
    </row>
    <row r="2725" spans="1:21" x14ac:dyDescent="0.3">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c r="T2725">
        <f>IF(Table1[[#This Row],[Discount_Applied]]="Yes", 1,0)</f>
        <v>0</v>
      </c>
      <c r="U2725" t="str">
        <f>_xlfn.IFS(Table1[[#This Row],[Age]]&lt;=25, "Below 25", Table1[[#This Row],[Age]]&lt;=35, "Between 25-35", Table1[[#This Row],[Age]]&lt;=45, "Between 36-45", Table1[[#This Row],[Age]]&gt;45, "45+")</f>
        <v>45+</v>
      </c>
    </row>
    <row r="2726" spans="1:21" x14ac:dyDescent="0.3">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c r="T2726">
        <f>IF(Table1[[#This Row],[Discount_Applied]]="Yes", 1,0)</f>
        <v>0</v>
      </c>
      <c r="U2726" t="str">
        <f>_xlfn.IFS(Table1[[#This Row],[Age]]&lt;=25, "Below 25", Table1[[#This Row],[Age]]&lt;=35, "Between 25-35", Table1[[#This Row],[Age]]&lt;=45, "Between 36-45", Table1[[#This Row],[Age]]&gt;45, "45+")</f>
        <v>45+</v>
      </c>
    </row>
    <row r="2727" spans="1:21" x14ac:dyDescent="0.3">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c r="T2727">
        <f>IF(Table1[[#This Row],[Discount_Applied]]="Yes", 1,0)</f>
        <v>0</v>
      </c>
      <c r="U2727" t="str">
        <f>_xlfn.IFS(Table1[[#This Row],[Age]]&lt;=25, "Below 25", Table1[[#This Row],[Age]]&lt;=35, "Between 25-35", Table1[[#This Row],[Age]]&lt;=45, "Between 36-45", Table1[[#This Row],[Age]]&gt;45, "45+")</f>
        <v>45+</v>
      </c>
    </row>
    <row r="2728" spans="1:21" x14ac:dyDescent="0.3">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c r="T2728">
        <f>IF(Table1[[#This Row],[Discount_Applied]]="Yes", 1,0)</f>
        <v>0</v>
      </c>
      <c r="U2728" t="str">
        <f>_xlfn.IFS(Table1[[#This Row],[Age]]&lt;=25, "Below 25", Table1[[#This Row],[Age]]&lt;=35, "Between 25-35", Table1[[#This Row],[Age]]&lt;=45, "Between 36-45", Table1[[#This Row],[Age]]&gt;45, "45+")</f>
        <v>Between 25-35</v>
      </c>
    </row>
    <row r="2729" spans="1:21" x14ac:dyDescent="0.3">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c r="T2729">
        <f>IF(Table1[[#This Row],[Discount_Applied]]="Yes", 1,0)</f>
        <v>0</v>
      </c>
      <c r="U2729" t="str">
        <f>_xlfn.IFS(Table1[[#This Row],[Age]]&lt;=25, "Below 25", Table1[[#This Row],[Age]]&lt;=35, "Between 25-35", Table1[[#This Row],[Age]]&lt;=45, "Between 36-45", Table1[[#This Row],[Age]]&gt;45, "45+")</f>
        <v>Between 36-45</v>
      </c>
    </row>
    <row r="2730" spans="1:21" x14ac:dyDescent="0.3">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c r="T2730">
        <f>IF(Table1[[#This Row],[Discount_Applied]]="Yes", 1,0)</f>
        <v>0</v>
      </c>
      <c r="U2730" t="str">
        <f>_xlfn.IFS(Table1[[#This Row],[Age]]&lt;=25, "Below 25", Table1[[#This Row],[Age]]&lt;=35, "Between 25-35", Table1[[#This Row],[Age]]&lt;=45, "Between 36-45", Table1[[#This Row],[Age]]&gt;45, "45+")</f>
        <v>Between 25-35</v>
      </c>
    </row>
    <row r="2731" spans="1:21" x14ac:dyDescent="0.3">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c r="T2731">
        <f>IF(Table1[[#This Row],[Discount_Applied]]="Yes", 1,0)</f>
        <v>0</v>
      </c>
      <c r="U2731" t="str">
        <f>_xlfn.IFS(Table1[[#This Row],[Age]]&lt;=25, "Below 25", Table1[[#This Row],[Age]]&lt;=35, "Between 25-35", Table1[[#This Row],[Age]]&lt;=45, "Between 36-45", Table1[[#This Row],[Age]]&gt;45, "45+")</f>
        <v>Between 25-35</v>
      </c>
    </row>
    <row r="2732" spans="1:21" x14ac:dyDescent="0.3">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c r="T2732">
        <f>IF(Table1[[#This Row],[Discount_Applied]]="Yes", 1,0)</f>
        <v>0</v>
      </c>
      <c r="U2732" t="str">
        <f>_xlfn.IFS(Table1[[#This Row],[Age]]&lt;=25, "Below 25", Table1[[#This Row],[Age]]&lt;=35, "Between 25-35", Table1[[#This Row],[Age]]&lt;=45, "Between 36-45", Table1[[#This Row],[Age]]&gt;45, "45+")</f>
        <v>Below 25</v>
      </c>
    </row>
    <row r="2733" spans="1:21" x14ac:dyDescent="0.3">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c r="T2733">
        <f>IF(Table1[[#This Row],[Discount_Applied]]="Yes", 1,0)</f>
        <v>0</v>
      </c>
      <c r="U2733" t="str">
        <f>_xlfn.IFS(Table1[[#This Row],[Age]]&lt;=25, "Below 25", Table1[[#This Row],[Age]]&lt;=35, "Between 25-35", Table1[[#This Row],[Age]]&lt;=45, "Between 36-45", Table1[[#This Row],[Age]]&gt;45, "45+")</f>
        <v>45+</v>
      </c>
    </row>
    <row r="2734" spans="1:21" x14ac:dyDescent="0.3">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c r="T2734">
        <f>IF(Table1[[#This Row],[Discount_Applied]]="Yes", 1,0)</f>
        <v>0</v>
      </c>
      <c r="U2734" t="str">
        <f>_xlfn.IFS(Table1[[#This Row],[Age]]&lt;=25, "Below 25", Table1[[#This Row],[Age]]&lt;=35, "Between 25-35", Table1[[#This Row],[Age]]&lt;=45, "Between 36-45", Table1[[#This Row],[Age]]&gt;45, "45+")</f>
        <v>Below 25</v>
      </c>
    </row>
    <row r="2735" spans="1:21" x14ac:dyDescent="0.3">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c r="T2735">
        <f>IF(Table1[[#This Row],[Discount_Applied]]="Yes", 1,0)</f>
        <v>0</v>
      </c>
      <c r="U2735" t="str">
        <f>_xlfn.IFS(Table1[[#This Row],[Age]]&lt;=25, "Below 25", Table1[[#This Row],[Age]]&lt;=35, "Between 25-35", Table1[[#This Row],[Age]]&lt;=45, "Between 36-45", Table1[[#This Row],[Age]]&gt;45, "45+")</f>
        <v>Between 25-35</v>
      </c>
    </row>
    <row r="2736" spans="1:21" x14ac:dyDescent="0.3">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c r="T2736">
        <f>IF(Table1[[#This Row],[Discount_Applied]]="Yes", 1,0)</f>
        <v>0</v>
      </c>
      <c r="U2736" t="str">
        <f>_xlfn.IFS(Table1[[#This Row],[Age]]&lt;=25, "Below 25", Table1[[#This Row],[Age]]&lt;=35, "Between 25-35", Table1[[#This Row],[Age]]&lt;=45, "Between 36-45", Table1[[#This Row],[Age]]&gt;45, "45+")</f>
        <v>45+</v>
      </c>
    </row>
    <row r="2737" spans="1:21" x14ac:dyDescent="0.3">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c r="T2737">
        <f>IF(Table1[[#This Row],[Discount_Applied]]="Yes", 1,0)</f>
        <v>0</v>
      </c>
      <c r="U2737" t="str">
        <f>_xlfn.IFS(Table1[[#This Row],[Age]]&lt;=25, "Below 25", Table1[[#This Row],[Age]]&lt;=35, "Between 25-35", Table1[[#This Row],[Age]]&lt;=45, "Between 36-45", Table1[[#This Row],[Age]]&gt;45, "45+")</f>
        <v>45+</v>
      </c>
    </row>
    <row r="2738" spans="1:21" x14ac:dyDescent="0.3">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c r="T2738">
        <f>IF(Table1[[#This Row],[Discount_Applied]]="Yes", 1,0)</f>
        <v>0</v>
      </c>
      <c r="U2738" t="str">
        <f>_xlfn.IFS(Table1[[#This Row],[Age]]&lt;=25, "Below 25", Table1[[#This Row],[Age]]&lt;=35, "Between 25-35", Table1[[#This Row],[Age]]&lt;=45, "Between 36-45", Table1[[#This Row],[Age]]&gt;45, "45+")</f>
        <v>Between 36-45</v>
      </c>
    </row>
    <row r="2739" spans="1:21" x14ac:dyDescent="0.3">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c r="T2739">
        <f>IF(Table1[[#This Row],[Discount_Applied]]="Yes", 1,0)</f>
        <v>0</v>
      </c>
      <c r="U2739" t="str">
        <f>_xlfn.IFS(Table1[[#This Row],[Age]]&lt;=25, "Below 25", Table1[[#This Row],[Age]]&lt;=35, "Between 25-35", Table1[[#This Row],[Age]]&lt;=45, "Between 36-45", Table1[[#This Row],[Age]]&gt;45, "45+")</f>
        <v>45+</v>
      </c>
    </row>
    <row r="2740" spans="1:21" x14ac:dyDescent="0.3">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c r="T2740">
        <f>IF(Table1[[#This Row],[Discount_Applied]]="Yes", 1,0)</f>
        <v>0</v>
      </c>
      <c r="U2740" t="str">
        <f>_xlfn.IFS(Table1[[#This Row],[Age]]&lt;=25, "Below 25", Table1[[#This Row],[Age]]&lt;=35, "Between 25-35", Table1[[#This Row],[Age]]&lt;=45, "Between 36-45", Table1[[#This Row],[Age]]&gt;45, "45+")</f>
        <v>45+</v>
      </c>
    </row>
    <row r="2741" spans="1:21" x14ac:dyDescent="0.3">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c r="T2741">
        <f>IF(Table1[[#This Row],[Discount_Applied]]="Yes", 1,0)</f>
        <v>0</v>
      </c>
      <c r="U2741" t="str">
        <f>_xlfn.IFS(Table1[[#This Row],[Age]]&lt;=25, "Below 25", Table1[[#This Row],[Age]]&lt;=35, "Between 25-35", Table1[[#This Row],[Age]]&lt;=45, "Between 36-45", Table1[[#This Row],[Age]]&gt;45, "45+")</f>
        <v>Between 25-35</v>
      </c>
    </row>
    <row r="2742" spans="1:21" x14ac:dyDescent="0.3">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c r="T2742">
        <f>IF(Table1[[#This Row],[Discount_Applied]]="Yes", 1,0)</f>
        <v>0</v>
      </c>
      <c r="U2742" t="str">
        <f>_xlfn.IFS(Table1[[#This Row],[Age]]&lt;=25, "Below 25", Table1[[#This Row],[Age]]&lt;=35, "Between 25-35", Table1[[#This Row],[Age]]&lt;=45, "Between 36-45", Table1[[#This Row],[Age]]&gt;45, "45+")</f>
        <v>Below 25</v>
      </c>
    </row>
    <row r="2743" spans="1:21" x14ac:dyDescent="0.3">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c r="T2743">
        <f>IF(Table1[[#This Row],[Discount_Applied]]="Yes", 1,0)</f>
        <v>0</v>
      </c>
      <c r="U2743" t="str">
        <f>_xlfn.IFS(Table1[[#This Row],[Age]]&lt;=25, "Below 25", Table1[[#This Row],[Age]]&lt;=35, "Between 25-35", Table1[[#This Row],[Age]]&lt;=45, "Between 36-45", Table1[[#This Row],[Age]]&gt;45, "45+")</f>
        <v>45+</v>
      </c>
    </row>
    <row r="2744" spans="1:21" x14ac:dyDescent="0.3">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c r="T2744">
        <f>IF(Table1[[#This Row],[Discount_Applied]]="Yes", 1,0)</f>
        <v>0</v>
      </c>
      <c r="U2744" t="str">
        <f>_xlfn.IFS(Table1[[#This Row],[Age]]&lt;=25, "Below 25", Table1[[#This Row],[Age]]&lt;=35, "Between 25-35", Table1[[#This Row],[Age]]&lt;=45, "Between 36-45", Table1[[#This Row],[Age]]&gt;45, "45+")</f>
        <v>Between 25-35</v>
      </c>
    </row>
    <row r="2745" spans="1:21" x14ac:dyDescent="0.3">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c r="T2745">
        <f>IF(Table1[[#This Row],[Discount_Applied]]="Yes", 1,0)</f>
        <v>0</v>
      </c>
      <c r="U2745" t="str">
        <f>_xlfn.IFS(Table1[[#This Row],[Age]]&lt;=25, "Below 25", Table1[[#This Row],[Age]]&lt;=35, "Between 25-35", Table1[[#This Row],[Age]]&lt;=45, "Between 36-45", Table1[[#This Row],[Age]]&gt;45, "45+")</f>
        <v>45+</v>
      </c>
    </row>
    <row r="2746" spans="1:21" x14ac:dyDescent="0.3">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c r="T2746">
        <f>IF(Table1[[#This Row],[Discount_Applied]]="Yes", 1,0)</f>
        <v>0</v>
      </c>
      <c r="U2746" t="str">
        <f>_xlfn.IFS(Table1[[#This Row],[Age]]&lt;=25, "Below 25", Table1[[#This Row],[Age]]&lt;=35, "Between 25-35", Table1[[#This Row],[Age]]&lt;=45, "Between 36-45", Table1[[#This Row],[Age]]&gt;45, "45+")</f>
        <v>Between 36-45</v>
      </c>
    </row>
    <row r="2747" spans="1:21" x14ac:dyDescent="0.3">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c r="T2747">
        <f>IF(Table1[[#This Row],[Discount_Applied]]="Yes", 1,0)</f>
        <v>0</v>
      </c>
      <c r="U2747" t="str">
        <f>_xlfn.IFS(Table1[[#This Row],[Age]]&lt;=25, "Below 25", Table1[[#This Row],[Age]]&lt;=35, "Between 25-35", Table1[[#This Row],[Age]]&lt;=45, "Between 36-45", Table1[[#This Row],[Age]]&gt;45, "45+")</f>
        <v>Between 25-35</v>
      </c>
    </row>
    <row r="2748" spans="1:21" x14ac:dyDescent="0.3">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c r="T2748">
        <f>IF(Table1[[#This Row],[Discount_Applied]]="Yes", 1,0)</f>
        <v>0</v>
      </c>
      <c r="U2748" t="str">
        <f>_xlfn.IFS(Table1[[#This Row],[Age]]&lt;=25, "Below 25", Table1[[#This Row],[Age]]&lt;=35, "Between 25-35", Table1[[#This Row],[Age]]&lt;=45, "Between 36-45", Table1[[#This Row],[Age]]&gt;45, "45+")</f>
        <v>Between 36-45</v>
      </c>
    </row>
    <row r="2749" spans="1:21" x14ac:dyDescent="0.3">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c r="T2749">
        <f>IF(Table1[[#This Row],[Discount_Applied]]="Yes", 1,0)</f>
        <v>0</v>
      </c>
      <c r="U2749" t="str">
        <f>_xlfn.IFS(Table1[[#This Row],[Age]]&lt;=25, "Below 25", Table1[[#This Row],[Age]]&lt;=35, "Between 25-35", Table1[[#This Row],[Age]]&lt;=45, "Between 36-45", Table1[[#This Row],[Age]]&gt;45, "45+")</f>
        <v>Below 25</v>
      </c>
    </row>
    <row r="2750" spans="1:21" x14ac:dyDescent="0.3">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c r="T2750">
        <f>IF(Table1[[#This Row],[Discount_Applied]]="Yes", 1,0)</f>
        <v>0</v>
      </c>
      <c r="U2750" t="str">
        <f>_xlfn.IFS(Table1[[#This Row],[Age]]&lt;=25, "Below 25", Table1[[#This Row],[Age]]&lt;=35, "Between 25-35", Table1[[#This Row],[Age]]&lt;=45, "Between 36-45", Table1[[#This Row],[Age]]&gt;45, "45+")</f>
        <v>Below 25</v>
      </c>
    </row>
    <row r="2751" spans="1:21" x14ac:dyDescent="0.3">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c r="T2751">
        <f>IF(Table1[[#This Row],[Discount_Applied]]="Yes", 1,0)</f>
        <v>0</v>
      </c>
      <c r="U2751" t="str">
        <f>_xlfn.IFS(Table1[[#This Row],[Age]]&lt;=25, "Below 25", Table1[[#This Row],[Age]]&lt;=35, "Between 25-35", Table1[[#This Row],[Age]]&lt;=45, "Between 36-45", Table1[[#This Row],[Age]]&gt;45, "45+")</f>
        <v>45+</v>
      </c>
    </row>
    <row r="2752" spans="1:21" x14ac:dyDescent="0.3">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c r="T2752">
        <f>IF(Table1[[#This Row],[Discount_Applied]]="Yes", 1,0)</f>
        <v>0</v>
      </c>
      <c r="U2752" t="str">
        <f>_xlfn.IFS(Table1[[#This Row],[Age]]&lt;=25, "Below 25", Table1[[#This Row],[Age]]&lt;=35, "Between 25-35", Table1[[#This Row],[Age]]&lt;=45, "Between 36-45", Table1[[#This Row],[Age]]&gt;45, "45+")</f>
        <v>45+</v>
      </c>
    </row>
    <row r="2753" spans="1:21" x14ac:dyDescent="0.3">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c r="T2753">
        <f>IF(Table1[[#This Row],[Discount_Applied]]="Yes", 1,0)</f>
        <v>0</v>
      </c>
      <c r="U2753" t="str">
        <f>_xlfn.IFS(Table1[[#This Row],[Age]]&lt;=25, "Below 25", Table1[[#This Row],[Age]]&lt;=35, "Between 25-35", Table1[[#This Row],[Age]]&lt;=45, "Between 36-45", Table1[[#This Row],[Age]]&gt;45, "45+")</f>
        <v>Between 25-35</v>
      </c>
    </row>
    <row r="2754" spans="1:21" x14ac:dyDescent="0.3">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c r="T2754">
        <f>IF(Table1[[#This Row],[Discount_Applied]]="Yes", 1,0)</f>
        <v>0</v>
      </c>
      <c r="U2754" t="str">
        <f>_xlfn.IFS(Table1[[#This Row],[Age]]&lt;=25, "Below 25", Table1[[#This Row],[Age]]&lt;=35, "Between 25-35", Table1[[#This Row],[Age]]&lt;=45, "Between 36-45", Table1[[#This Row],[Age]]&gt;45, "45+")</f>
        <v>45+</v>
      </c>
    </row>
    <row r="2755" spans="1:21" x14ac:dyDescent="0.3">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c r="T2755">
        <f>IF(Table1[[#This Row],[Discount_Applied]]="Yes", 1,0)</f>
        <v>0</v>
      </c>
      <c r="U2755" t="str">
        <f>_xlfn.IFS(Table1[[#This Row],[Age]]&lt;=25, "Below 25", Table1[[#This Row],[Age]]&lt;=35, "Between 25-35", Table1[[#This Row],[Age]]&lt;=45, "Between 36-45", Table1[[#This Row],[Age]]&gt;45, "45+")</f>
        <v>45+</v>
      </c>
    </row>
    <row r="2756" spans="1:21" x14ac:dyDescent="0.3">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c r="T2756">
        <f>IF(Table1[[#This Row],[Discount_Applied]]="Yes", 1,0)</f>
        <v>0</v>
      </c>
      <c r="U2756" t="str">
        <f>_xlfn.IFS(Table1[[#This Row],[Age]]&lt;=25, "Below 25", Table1[[#This Row],[Age]]&lt;=35, "Between 25-35", Table1[[#This Row],[Age]]&lt;=45, "Between 36-45", Table1[[#This Row],[Age]]&gt;45, "45+")</f>
        <v>45+</v>
      </c>
    </row>
    <row r="2757" spans="1:21" x14ac:dyDescent="0.3">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c r="T2757">
        <f>IF(Table1[[#This Row],[Discount_Applied]]="Yes", 1,0)</f>
        <v>0</v>
      </c>
      <c r="U2757" t="str">
        <f>_xlfn.IFS(Table1[[#This Row],[Age]]&lt;=25, "Below 25", Table1[[#This Row],[Age]]&lt;=35, "Between 25-35", Table1[[#This Row],[Age]]&lt;=45, "Between 36-45", Table1[[#This Row],[Age]]&gt;45, "45+")</f>
        <v>45+</v>
      </c>
    </row>
    <row r="2758" spans="1:21" x14ac:dyDescent="0.3">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c r="T2758">
        <f>IF(Table1[[#This Row],[Discount_Applied]]="Yes", 1,0)</f>
        <v>0</v>
      </c>
      <c r="U2758" t="str">
        <f>_xlfn.IFS(Table1[[#This Row],[Age]]&lt;=25, "Below 25", Table1[[#This Row],[Age]]&lt;=35, "Between 25-35", Table1[[#This Row],[Age]]&lt;=45, "Between 36-45", Table1[[#This Row],[Age]]&gt;45, "45+")</f>
        <v>Between 36-45</v>
      </c>
    </row>
    <row r="2759" spans="1:21" x14ac:dyDescent="0.3">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c r="T2759">
        <f>IF(Table1[[#This Row],[Discount_Applied]]="Yes", 1,0)</f>
        <v>0</v>
      </c>
      <c r="U2759" t="str">
        <f>_xlfn.IFS(Table1[[#This Row],[Age]]&lt;=25, "Below 25", Table1[[#This Row],[Age]]&lt;=35, "Between 25-35", Table1[[#This Row],[Age]]&lt;=45, "Between 36-45", Table1[[#This Row],[Age]]&gt;45, "45+")</f>
        <v>Between 36-45</v>
      </c>
    </row>
    <row r="2760" spans="1:21" x14ac:dyDescent="0.3">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c r="T2760">
        <f>IF(Table1[[#This Row],[Discount_Applied]]="Yes", 1,0)</f>
        <v>0</v>
      </c>
      <c r="U2760" t="str">
        <f>_xlfn.IFS(Table1[[#This Row],[Age]]&lt;=25, "Below 25", Table1[[#This Row],[Age]]&lt;=35, "Between 25-35", Table1[[#This Row],[Age]]&lt;=45, "Between 36-45", Table1[[#This Row],[Age]]&gt;45, "45+")</f>
        <v>Between 25-35</v>
      </c>
    </row>
    <row r="2761" spans="1:21" x14ac:dyDescent="0.3">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c r="T2761">
        <f>IF(Table1[[#This Row],[Discount_Applied]]="Yes", 1,0)</f>
        <v>0</v>
      </c>
      <c r="U2761" t="str">
        <f>_xlfn.IFS(Table1[[#This Row],[Age]]&lt;=25, "Below 25", Table1[[#This Row],[Age]]&lt;=35, "Between 25-35", Table1[[#This Row],[Age]]&lt;=45, "Between 36-45", Table1[[#This Row],[Age]]&gt;45, "45+")</f>
        <v>45+</v>
      </c>
    </row>
    <row r="2762" spans="1:21" x14ac:dyDescent="0.3">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c r="T2762">
        <f>IF(Table1[[#This Row],[Discount_Applied]]="Yes", 1,0)</f>
        <v>0</v>
      </c>
      <c r="U2762" t="str">
        <f>_xlfn.IFS(Table1[[#This Row],[Age]]&lt;=25, "Below 25", Table1[[#This Row],[Age]]&lt;=35, "Between 25-35", Table1[[#This Row],[Age]]&lt;=45, "Between 36-45", Table1[[#This Row],[Age]]&gt;45, "45+")</f>
        <v>Between 36-45</v>
      </c>
    </row>
    <row r="2763" spans="1:21" x14ac:dyDescent="0.3">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c r="T2763">
        <f>IF(Table1[[#This Row],[Discount_Applied]]="Yes", 1,0)</f>
        <v>0</v>
      </c>
      <c r="U2763" t="str">
        <f>_xlfn.IFS(Table1[[#This Row],[Age]]&lt;=25, "Below 25", Table1[[#This Row],[Age]]&lt;=35, "Between 25-35", Table1[[#This Row],[Age]]&lt;=45, "Between 36-45", Table1[[#This Row],[Age]]&gt;45, "45+")</f>
        <v>Between 25-35</v>
      </c>
    </row>
    <row r="2764" spans="1:21" x14ac:dyDescent="0.3">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c r="T2764">
        <f>IF(Table1[[#This Row],[Discount_Applied]]="Yes", 1,0)</f>
        <v>0</v>
      </c>
      <c r="U2764" t="str">
        <f>_xlfn.IFS(Table1[[#This Row],[Age]]&lt;=25, "Below 25", Table1[[#This Row],[Age]]&lt;=35, "Between 25-35", Table1[[#This Row],[Age]]&lt;=45, "Between 36-45", Table1[[#This Row],[Age]]&gt;45, "45+")</f>
        <v>45+</v>
      </c>
    </row>
    <row r="2765" spans="1:21" x14ac:dyDescent="0.3">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c r="T2765">
        <f>IF(Table1[[#This Row],[Discount_Applied]]="Yes", 1,0)</f>
        <v>0</v>
      </c>
      <c r="U2765" t="str">
        <f>_xlfn.IFS(Table1[[#This Row],[Age]]&lt;=25, "Below 25", Table1[[#This Row],[Age]]&lt;=35, "Between 25-35", Table1[[#This Row],[Age]]&lt;=45, "Between 36-45", Table1[[#This Row],[Age]]&gt;45, "45+")</f>
        <v>Between 25-35</v>
      </c>
    </row>
    <row r="2766" spans="1:21" x14ac:dyDescent="0.3">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c r="T2766">
        <f>IF(Table1[[#This Row],[Discount_Applied]]="Yes", 1,0)</f>
        <v>0</v>
      </c>
      <c r="U2766" t="str">
        <f>_xlfn.IFS(Table1[[#This Row],[Age]]&lt;=25, "Below 25", Table1[[#This Row],[Age]]&lt;=35, "Between 25-35", Table1[[#This Row],[Age]]&lt;=45, "Between 36-45", Table1[[#This Row],[Age]]&gt;45, "45+")</f>
        <v>45+</v>
      </c>
    </row>
    <row r="2767" spans="1:21" x14ac:dyDescent="0.3">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c r="T2767">
        <f>IF(Table1[[#This Row],[Discount_Applied]]="Yes", 1,0)</f>
        <v>0</v>
      </c>
      <c r="U2767" t="str">
        <f>_xlfn.IFS(Table1[[#This Row],[Age]]&lt;=25, "Below 25", Table1[[#This Row],[Age]]&lt;=35, "Between 25-35", Table1[[#This Row],[Age]]&lt;=45, "Between 36-45", Table1[[#This Row],[Age]]&gt;45, "45+")</f>
        <v>45+</v>
      </c>
    </row>
    <row r="2768" spans="1:21" x14ac:dyDescent="0.3">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c r="T2768">
        <f>IF(Table1[[#This Row],[Discount_Applied]]="Yes", 1,0)</f>
        <v>0</v>
      </c>
      <c r="U2768" t="str">
        <f>_xlfn.IFS(Table1[[#This Row],[Age]]&lt;=25, "Below 25", Table1[[#This Row],[Age]]&lt;=35, "Between 25-35", Table1[[#This Row],[Age]]&lt;=45, "Between 36-45", Table1[[#This Row],[Age]]&gt;45, "45+")</f>
        <v>45+</v>
      </c>
    </row>
    <row r="2769" spans="1:21" x14ac:dyDescent="0.3">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c r="T2769">
        <f>IF(Table1[[#This Row],[Discount_Applied]]="Yes", 1,0)</f>
        <v>0</v>
      </c>
      <c r="U2769" t="str">
        <f>_xlfn.IFS(Table1[[#This Row],[Age]]&lt;=25, "Below 25", Table1[[#This Row],[Age]]&lt;=35, "Between 25-35", Table1[[#This Row],[Age]]&lt;=45, "Between 36-45", Table1[[#This Row],[Age]]&gt;45, "45+")</f>
        <v>Between 25-35</v>
      </c>
    </row>
    <row r="2770" spans="1:21" x14ac:dyDescent="0.3">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c r="T2770">
        <f>IF(Table1[[#This Row],[Discount_Applied]]="Yes", 1,0)</f>
        <v>0</v>
      </c>
      <c r="U2770" t="str">
        <f>_xlfn.IFS(Table1[[#This Row],[Age]]&lt;=25, "Below 25", Table1[[#This Row],[Age]]&lt;=35, "Between 25-35", Table1[[#This Row],[Age]]&lt;=45, "Between 36-45", Table1[[#This Row],[Age]]&gt;45, "45+")</f>
        <v>45+</v>
      </c>
    </row>
    <row r="2771" spans="1:21" x14ac:dyDescent="0.3">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c r="T2771">
        <f>IF(Table1[[#This Row],[Discount_Applied]]="Yes", 1,0)</f>
        <v>0</v>
      </c>
      <c r="U2771" t="str">
        <f>_xlfn.IFS(Table1[[#This Row],[Age]]&lt;=25, "Below 25", Table1[[#This Row],[Age]]&lt;=35, "Between 25-35", Table1[[#This Row],[Age]]&lt;=45, "Between 36-45", Table1[[#This Row],[Age]]&gt;45, "45+")</f>
        <v>Between 25-35</v>
      </c>
    </row>
    <row r="2772" spans="1:21" x14ac:dyDescent="0.3">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c r="T2772">
        <f>IF(Table1[[#This Row],[Discount_Applied]]="Yes", 1,0)</f>
        <v>0</v>
      </c>
      <c r="U2772" t="str">
        <f>_xlfn.IFS(Table1[[#This Row],[Age]]&lt;=25, "Below 25", Table1[[#This Row],[Age]]&lt;=35, "Between 25-35", Table1[[#This Row],[Age]]&lt;=45, "Between 36-45", Table1[[#This Row],[Age]]&gt;45, "45+")</f>
        <v>45+</v>
      </c>
    </row>
    <row r="2773" spans="1:21" x14ac:dyDescent="0.3">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c r="T2773">
        <f>IF(Table1[[#This Row],[Discount_Applied]]="Yes", 1,0)</f>
        <v>0</v>
      </c>
      <c r="U2773" t="str">
        <f>_xlfn.IFS(Table1[[#This Row],[Age]]&lt;=25, "Below 25", Table1[[#This Row],[Age]]&lt;=35, "Between 25-35", Table1[[#This Row],[Age]]&lt;=45, "Between 36-45", Table1[[#This Row],[Age]]&gt;45, "45+")</f>
        <v>45+</v>
      </c>
    </row>
    <row r="2774" spans="1:21" x14ac:dyDescent="0.3">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c r="T2774">
        <f>IF(Table1[[#This Row],[Discount_Applied]]="Yes", 1,0)</f>
        <v>0</v>
      </c>
      <c r="U2774" t="str">
        <f>_xlfn.IFS(Table1[[#This Row],[Age]]&lt;=25, "Below 25", Table1[[#This Row],[Age]]&lt;=35, "Between 25-35", Table1[[#This Row],[Age]]&lt;=45, "Between 36-45", Table1[[#This Row],[Age]]&gt;45, "45+")</f>
        <v>Below 25</v>
      </c>
    </row>
    <row r="2775" spans="1:21" x14ac:dyDescent="0.3">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c r="T2775">
        <f>IF(Table1[[#This Row],[Discount_Applied]]="Yes", 1,0)</f>
        <v>0</v>
      </c>
      <c r="U2775" t="str">
        <f>_xlfn.IFS(Table1[[#This Row],[Age]]&lt;=25, "Below 25", Table1[[#This Row],[Age]]&lt;=35, "Between 25-35", Table1[[#This Row],[Age]]&lt;=45, "Between 36-45", Table1[[#This Row],[Age]]&gt;45, "45+")</f>
        <v>Between 36-45</v>
      </c>
    </row>
    <row r="2776" spans="1:21" x14ac:dyDescent="0.3">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c r="T2776">
        <f>IF(Table1[[#This Row],[Discount_Applied]]="Yes", 1,0)</f>
        <v>0</v>
      </c>
      <c r="U2776" t="str">
        <f>_xlfn.IFS(Table1[[#This Row],[Age]]&lt;=25, "Below 25", Table1[[#This Row],[Age]]&lt;=35, "Between 25-35", Table1[[#This Row],[Age]]&lt;=45, "Between 36-45", Table1[[#This Row],[Age]]&gt;45, "45+")</f>
        <v>45+</v>
      </c>
    </row>
    <row r="2777" spans="1:21" x14ac:dyDescent="0.3">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c r="T2777">
        <f>IF(Table1[[#This Row],[Discount_Applied]]="Yes", 1,0)</f>
        <v>0</v>
      </c>
      <c r="U2777" t="str">
        <f>_xlfn.IFS(Table1[[#This Row],[Age]]&lt;=25, "Below 25", Table1[[#This Row],[Age]]&lt;=35, "Between 25-35", Table1[[#This Row],[Age]]&lt;=45, "Between 36-45", Table1[[#This Row],[Age]]&gt;45, "45+")</f>
        <v>Between 36-45</v>
      </c>
    </row>
    <row r="2778" spans="1:21" x14ac:dyDescent="0.3">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c r="T2778">
        <f>IF(Table1[[#This Row],[Discount_Applied]]="Yes", 1,0)</f>
        <v>0</v>
      </c>
      <c r="U2778" t="str">
        <f>_xlfn.IFS(Table1[[#This Row],[Age]]&lt;=25, "Below 25", Table1[[#This Row],[Age]]&lt;=35, "Between 25-35", Table1[[#This Row],[Age]]&lt;=45, "Between 36-45", Table1[[#This Row],[Age]]&gt;45, "45+")</f>
        <v>45+</v>
      </c>
    </row>
    <row r="2779" spans="1:21" x14ac:dyDescent="0.3">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c r="T2779">
        <f>IF(Table1[[#This Row],[Discount_Applied]]="Yes", 1,0)</f>
        <v>0</v>
      </c>
      <c r="U2779" t="str">
        <f>_xlfn.IFS(Table1[[#This Row],[Age]]&lt;=25, "Below 25", Table1[[#This Row],[Age]]&lt;=35, "Between 25-35", Table1[[#This Row],[Age]]&lt;=45, "Between 36-45", Table1[[#This Row],[Age]]&gt;45, "45+")</f>
        <v>45+</v>
      </c>
    </row>
    <row r="2780" spans="1:21" x14ac:dyDescent="0.3">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c r="T2780">
        <f>IF(Table1[[#This Row],[Discount_Applied]]="Yes", 1,0)</f>
        <v>0</v>
      </c>
      <c r="U2780" t="str">
        <f>_xlfn.IFS(Table1[[#This Row],[Age]]&lt;=25, "Below 25", Table1[[#This Row],[Age]]&lt;=35, "Between 25-35", Table1[[#This Row],[Age]]&lt;=45, "Between 36-45", Table1[[#This Row],[Age]]&gt;45, "45+")</f>
        <v>45+</v>
      </c>
    </row>
    <row r="2781" spans="1:21" x14ac:dyDescent="0.3">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c r="T2781">
        <f>IF(Table1[[#This Row],[Discount_Applied]]="Yes", 1,0)</f>
        <v>0</v>
      </c>
      <c r="U2781" t="str">
        <f>_xlfn.IFS(Table1[[#This Row],[Age]]&lt;=25, "Below 25", Table1[[#This Row],[Age]]&lt;=35, "Between 25-35", Table1[[#This Row],[Age]]&lt;=45, "Between 36-45", Table1[[#This Row],[Age]]&gt;45, "45+")</f>
        <v>45+</v>
      </c>
    </row>
    <row r="2782" spans="1:21" x14ac:dyDescent="0.3">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c r="T2782">
        <f>IF(Table1[[#This Row],[Discount_Applied]]="Yes", 1,0)</f>
        <v>0</v>
      </c>
      <c r="U2782" t="str">
        <f>_xlfn.IFS(Table1[[#This Row],[Age]]&lt;=25, "Below 25", Table1[[#This Row],[Age]]&lt;=35, "Between 25-35", Table1[[#This Row],[Age]]&lt;=45, "Between 36-45", Table1[[#This Row],[Age]]&gt;45, "45+")</f>
        <v>Between 25-35</v>
      </c>
    </row>
    <row r="2783" spans="1:21" x14ac:dyDescent="0.3">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c r="T2783">
        <f>IF(Table1[[#This Row],[Discount_Applied]]="Yes", 1,0)</f>
        <v>0</v>
      </c>
      <c r="U2783" t="str">
        <f>_xlfn.IFS(Table1[[#This Row],[Age]]&lt;=25, "Below 25", Table1[[#This Row],[Age]]&lt;=35, "Between 25-35", Table1[[#This Row],[Age]]&lt;=45, "Between 36-45", Table1[[#This Row],[Age]]&gt;45, "45+")</f>
        <v>45+</v>
      </c>
    </row>
    <row r="2784" spans="1:21" x14ac:dyDescent="0.3">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c r="T2784">
        <f>IF(Table1[[#This Row],[Discount_Applied]]="Yes", 1,0)</f>
        <v>0</v>
      </c>
      <c r="U2784" t="str">
        <f>_xlfn.IFS(Table1[[#This Row],[Age]]&lt;=25, "Below 25", Table1[[#This Row],[Age]]&lt;=35, "Between 25-35", Table1[[#This Row],[Age]]&lt;=45, "Between 36-45", Table1[[#This Row],[Age]]&gt;45, "45+")</f>
        <v>Between 36-45</v>
      </c>
    </row>
    <row r="2785" spans="1:21" x14ac:dyDescent="0.3">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c r="T2785">
        <f>IF(Table1[[#This Row],[Discount_Applied]]="Yes", 1,0)</f>
        <v>0</v>
      </c>
      <c r="U2785" t="str">
        <f>_xlfn.IFS(Table1[[#This Row],[Age]]&lt;=25, "Below 25", Table1[[#This Row],[Age]]&lt;=35, "Between 25-35", Table1[[#This Row],[Age]]&lt;=45, "Between 36-45", Table1[[#This Row],[Age]]&gt;45, "45+")</f>
        <v>Below 25</v>
      </c>
    </row>
    <row r="2786" spans="1:21" x14ac:dyDescent="0.3">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c r="T2786">
        <f>IF(Table1[[#This Row],[Discount_Applied]]="Yes", 1,0)</f>
        <v>0</v>
      </c>
      <c r="U2786" t="str">
        <f>_xlfn.IFS(Table1[[#This Row],[Age]]&lt;=25, "Below 25", Table1[[#This Row],[Age]]&lt;=35, "Between 25-35", Table1[[#This Row],[Age]]&lt;=45, "Between 36-45", Table1[[#This Row],[Age]]&gt;45, "45+")</f>
        <v>Between 25-35</v>
      </c>
    </row>
    <row r="2787" spans="1:21" x14ac:dyDescent="0.3">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c r="T2787">
        <f>IF(Table1[[#This Row],[Discount_Applied]]="Yes", 1,0)</f>
        <v>0</v>
      </c>
      <c r="U2787" t="str">
        <f>_xlfn.IFS(Table1[[#This Row],[Age]]&lt;=25, "Below 25", Table1[[#This Row],[Age]]&lt;=35, "Between 25-35", Table1[[#This Row],[Age]]&lt;=45, "Between 36-45", Table1[[#This Row],[Age]]&gt;45, "45+")</f>
        <v>45+</v>
      </c>
    </row>
    <row r="2788" spans="1:21" x14ac:dyDescent="0.3">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c r="T2788">
        <f>IF(Table1[[#This Row],[Discount_Applied]]="Yes", 1,0)</f>
        <v>0</v>
      </c>
      <c r="U2788" t="str">
        <f>_xlfn.IFS(Table1[[#This Row],[Age]]&lt;=25, "Below 25", Table1[[#This Row],[Age]]&lt;=35, "Between 25-35", Table1[[#This Row],[Age]]&lt;=45, "Between 36-45", Table1[[#This Row],[Age]]&gt;45, "45+")</f>
        <v>45+</v>
      </c>
    </row>
    <row r="2789" spans="1:21" x14ac:dyDescent="0.3">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c r="T2789">
        <f>IF(Table1[[#This Row],[Discount_Applied]]="Yes", 1,0)</f>
        <v>0</v>
      </c>
      <c r="U2789" t="str">
        <f>_xlfn.IFS(Table1[[#This Row],[Age]]&lt;=25, "Below 25", Table1[[#This Row],[Age]]&lt;=35, "Between 25-35", Table1[[#This Row],[Age]]&lt;=45, "Between 36-45", Table1[[#This Row],[Age]]&gt;45, "45+")</f>
        <v>Between 36-45</v>
      </c>
    </row>
    <row r="2790" spans="1:21" x14ac:dyDescent="0.3">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c r="T2790">
        <f>IF(Table1[[#This Row],[Discount_Applied]]="Yes", 1,0)</f>
        <v>0</v>
      </c>
      <c r="U2790" t="str">
        <f>_xlfn.IFS(Table1[[#This Row],[Age]]&lt;=25, "Below 25", Table1[[#This Row],[Age]]&lt;=35, "Between 25-35", Table1[[#This Row],[Age]]&lt;=45, "Between 36-45", Table1[[#This Row],[Age]]&gt;45, "45+")</f>
        <v>45+</v>
      </c>
    </row>
    <row r="2791" spans="1:21" x14ac:dyDescent="0.3">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c r="T2791">
        <f>IF(Table1[[#This Row],[Discount_Applied]]="Yes", 1,0)</f>
        <v>0</v>
      </c>
      <c r="U2791" t="str">
        <f>_xlfn.IFS(Table1[[#This Row],[Age]]&lt;=25, "Below 25", Table1[[#This Row],[Age]]&lt;=35, "Between 25-35", Table1[[#This Row],[Age]]&lt;=45, "Between 36-45", Table1[[#This Row],[Age]]&gt;45, "45+")</f>
        <v>Between 25-35</v>
      </c>
    </row>
    <row r="2792" spans="1:21" x14ac:dyDescent="0.3">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c r="T2792">
        <f>IF(Table1[[#This Row],[Discount_Applied]]="Yes", 1,0)</f>
        <v>0</v>
      </c>
      <c r="U2792" t="str">
        <f>_xlfn.IFS(Table1[[#This Row],[Age]]&lt;=25, "Below 25", Table1[[#This Row],[Age]]&lt;=35, "Between 25-35", Table1[[#This Row],[Age]]&lt;=45, "Between 36-45", Table1[[#This Row],[Age]]&gt;45, "45+")</f>
        <v>Between 25-35</v>
      </c>
    </row>
    <row r="2793" spans="1:21" x14ac:dyDescent="0.3">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c r="T2793">
        <f>IF(Table1[[#This Row],[Discount_Applied]]="Yes", 1,0)</f>
        <v>0</v>
      </c>
      <c r="U2793" t="str">
        <f>_xlfn.IFS(Table1[[#This Row],[Age]]&lt;=25, "Below 25", Table1[[#This Row],[Age]]&lt;=35, "Between 25-35", Table1[[#This Row],[Age]]&lt;=45, "Between 36-45", Table1[[#This Row],[Age]]&gt;45, "45+")</f>
        <v>Between 36-45</v>
      </c>
    </row>
    <row r="2794" spans="1:21" x14ac:dyDescent="0.3">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c r="T2794">
        <f>IF(Table1[[#This Row],[Discount_Applied]]="Yes", 1,0)</f>
        <v>0</v>
      </c>
      <c r="U2794" t="str">
        <f>_xlfn.IFS(Table1[[#This Row],[Age]]&lt;=25, "Below 25", Table1[[#This Row],[Age]]&lt;=35, "Between 25-35", Table1[[#This Row],[Age]]&lt;=45, "Between 36-45", Table1[[#This Row],[Age]]&gt;45, "45+")</f>
        <v>45+</v>
      </c>
    </row>
    <row r="2795" spans="1:21" x14ac:dyDescent="0.3">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c r="T2795">
        <f>IF(Table1[[#This Row],[Discount_Applied]]="Yes", 1,0)</f>
        <v>0</v>
      </c>
      <c r="U2795" t="str">
        <f>_xlfn.IFS(Table1[[#This Row],[Age]]&lt;=25, "Below 25", Table1[[#This Row],[Age]]&lt;=35, "Between 25-35", Table1[[#This Row],[Age]]&lt;=45, "Between 36-45", Table1[[#This Row],[Age]]&gt;45, "45+")</f>
        <v>Between 36-45</v>
      </c>
    </row>
    <row r="2796" spans="1:21" x14ac:dyDescent="0.3">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c r="T2796">
        <f>IF(Table1[[#This Row],[Discount_Applied]]="Yes", 1,0)</f>
        <v>0</v>
      </c>
      <c r="U2796" t="str">
        <f>_xlfn.IFS(Table1[[#This Row],[Age]]&lt;=25, "Below 25", Table1[[#This Row],[Age]]&lt;=35, "Between 25-35", Table1[[#This Row],[Age]]&lt;=45, "Between 36-45", Table1[[#This Row],[Age]]&gt;45, "45+")</f>
        <v>Between 25-35</v>
      </c>
    </row>
    <row r="2797" spans="1:21" x14ac:dyDescent="0.3">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c r="T2797">
        <f>IF(Table1[[#This Row],[Discount_Applied]]="Yes", 1,0)</f>
        <v>0</v>
      </c>
      <c r="U2797" t="str">
        <f>_xlfn.IFS(Table1[[#This Row],[Age]]&lt;=25, "Below 25", Table1[[#This Row],[Age]]&lt;=35, "Between 25-35", Table1[[#This Row],[Age]]&lt;=45, "Between 36-45", Table1[[#This Row],[Age]]&gt;45, "45+")</f>
        <v>Between 25-35</v>
      </c>
    </row>
    <row r="2798" spans="1:21" x14ac:dyDescent="0.3">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c r="T2798">
        <f>IF(Table1[[#This Row],[Discount_Applied]]="Yes", 1,0)</f>
        <v>0</v>
      </c>
      <c r="U2798" t="str">
        <f>_xlfn.IFS(Table1[[#This Row],[Age]]&lt;=25, "Below 25", Table1[[#This Row],[Age]]&lt;=35, "Between 25-35", Table1[[#This Row],[Age]]&lt;=45, "Between 36-45", Table1[[#This Row],[Age]]&gt;45, "45+")</f>
        <v>45+</v>
      </c>
    </row>
    <row r="2799" spans="1:21" x14ac:dyDescent="0.3">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c r="T2799">
        <f>IF(Table1[[#This Row],[Discount_Applied]]="Yes", 1,0)</f>
        <v>0</v>
      </c>
      <c r="U2799" t="str">
        <f>_xlfn.IFS(Table1[[#This Row],[Age]]&lt;=25, "Below 25", Table1[[#This Row],[Age]]&lt;=35, "Between 25-35", Table1[[#This Row],[Age]]&lt;=45, "Between 36-45", Table1[[#This Row],[Age]]&gt;45, "45+")</f>
        <v>45+</v>
      </c>
    </row>
    <row r="2800" spans="1:21" x14ac:dyDescent="0.3">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c r="T2800">
        <f>IF(Table1[[#This Row],[Discount_Applied]]="Yes", 1,0)</f>
        <v>0</v>
      </c>
      <c r="U2800" t="str">
        <f>_xlfn.IFS(Table1[[#This Row],[Age]]&lt;=25, "Below 25", Table1[[#This Row],[Age]]&lt;=35, "Between 25-35", Table1[[#This Row],[Age]]&lt;=45, "Between 36-45", Table1[[#This Row],[Age]]&gt;45, "45+")</f>
        <v>45+</v>
      </c>
    </row>
    <row r="2801" spans="1:21" x14ac:dyDescent="0.3">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c r="T2801">
        <f>IF(Table1[[#This Row],[Discount_Applied]]="Yes", 1,0)</f>
        <v>0</v>
      </c>
      <c r="U2801" t="str">
        <f>_xlfn.IFS(Table1[[#This Row],[Age]]&lt;=25, "Below 25", Table1[[#This Row],[Age]]&lt;=35, "Between 25-35", Table1[[#This Row],[Age]]&lt;=45, "Between 36-45", Table1[[#This Row],[Age]]&gt;45, "45+")</f>
        <v>Below 25</v>
      </c>
    </row>
    <row r="2802" spans="1:21" x14ac:dyDescent="0.3">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c r="T2802">
        <f>IF(Table1[[#This Row],[Discount_Applied]]="Yes", 1,0)</f>
        <v>0</v>
      </c>
      <c r="U2802" t="str">
        <f>_xlfn.IFS(Table1[[#This Row],[Age]]&lt;=25, "Below 25", Table1[[#This Row],[Age]]&lt;=35, "Between 25-35", Table1[[#This Row],[Age]]&lt;=45, "Between 36-45", Table1[[#This Row],[Age]]&gt;45, "45+")</f>
        <v>45+</v>
      </c>
    </row>
    <row r="2803" spans="1:21" x14ac:dyDescent="0.3">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c r="T2803">
        <f>IF(Table1[[#This Row],[Discount_Applied]]="Yes", 1,0)</f>
        <v>0</v>
      </c>
      <c r="U2803" t="str">
        <f>_xlfn.IFS(Table1[[#This Row],[Age]]&lt;=25, "Below 25", Table1[[#This Row],[Age]]&lt;=35, "Between 25-35", Table1[[#This Row],[Age]]&lt;=45, "Between 36-45", Table1[[#This Row],[Age]]&gt;45, "45+")</f>
        <v>45+</v>
      </c>
    </row>
    <row r="2804" spans="1:21" x14ac:dyDescent="0.3">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c r="T2804">
        <f>IF(Table1[[#This Row],[Discount_Applied]]="Yes", 1,0)</f>
        <v>0</v>
      </c>
      <c r="U2804" t="str">
        <f>_xlfn.IFS(Table1[[#This Row],[Age]]&lt;=25, "Below 25", Table1[[#This Row],[Age]]&lt;=35, "Between 25-35", Table1[[#This Row],[Age]]&lt;=45, "Between 36-45", Table1[[#This Row],[Age]]&gt;45, "45+")</f>
        <v>Below 25</v>
      </c>
    </row>
    <row r="2805" spans="1:21" x14ac:dyDescent="0.3">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c r="T2805">
        <f>IF(Table1[[#This Row],[Discount_Applied]]="Yes", 1,0)</f>
        <v>0</v>
      </c>
      <c r="U2805" t="str">
        <f>_xlfn.IFS(Table1[[#This Row],[Age]]&lt;=25, "Below 25", Table1[[#This Row],[Age]]&lt;=35, "Between 25-35", Table1[[#This Row],[Age]]&lt;=45, "Between 36-45", Table1[[#This Row],[Age]]&gt;45, "45+")</f>
        <v>45+</v>
      </c>
    </row>
    <row r="2806" spans="1:21" x14ac:dyDescent="0.3">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c r="T2806">
        <f>IF(Table1[[#This Row],[Discount_Applied]]="Yes", 1,0)</f>
        <v>0</v>
      </c>
      <c r="U2806" t="str">
        <f>_xlfn.IFS(Table1[[#This Row],[Age]]&lt;=25, "Below 25", Table1[[#This Row],[Age]]&lt;=35, "Between 25-35", Table1[[#This Row],[Age]]&lt;=45, "Between 36-45", Table1[[#This Row],[Age]]&gt;45, "45+")</f>
        <v>45+</v>
      </c>
    </row>
    <row r="2807" spans="1:21" x14ac:dyDescent="0.3">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c r="T2807">
        <f>IF(Table1[[#This Row],[Discount_Applied]]="Yes", 1,0)</f>
        <v>0</v>
      </c>
      <c r="U2807" t="str">
        <f>_xlfn.IFS(Table1[[#This Row],[Age]]&lt;=25, "Below 25", Table1[[#This Row],[Age]]&lt;=35, "Between 25-35", Table1[[#This Row],[Age]]&lt;=45, "Between 36-45", Table1[[#This Row],[Age]]&gt;45, "45+")</f>
        <v>Below 25</v>
      </c>
    </row>
    <row r="2808" spans="1:21" x14ac:dyDescent="0.3">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c r="T2808">
        <f>IF(Table1[[#This Row],[Discount_Applied]]="Yes", 1,0)</f>
        <v>0</v>
      </c>
      <c r="U2808" t="str">
        <f>_xlfn.IFS(Table1[[#This Row],[Age]]&lt;=25, "Below 25", Table1[[#This Row],[Age]]&lt;=35, "Between 25-35", Table1[[#This Row],[Age]]&lt;=45, "Between 36-45", Table1[[#This Row],[Age]]&gt;45, "45+")</f>
        <v>Between 36-45</v>
      </c>
    </row>
    <row r="2809" spans="1:21" x14ac:dyDescent="0.3">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c r="T2809">
        <f>IF(Table1[[#This Row],[Discount_Applied]]="Yes", 1,0)</f>
        <v>0</v>
      </c>
      <c r="U2809" t="str">
        <f>_xlfn.IFS(Table1[[#This Row],[Age]]&lt;=25, "Below 25", Table1[[#This Row],[Age]]&lt;=35, "Between 25-35", Table1[[#This Row],[Age]]&lt;=45, "Between 36-45", Table1[[#This Row],[Age]]&gt;45, "45+")</f>
        <v>45+</v>
      </c>
    </row>
    <row r="2810" spans="1:21" x14ac:dyDescent="0.3">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c r="T2810">
        <f>IF(Table1[[#This Row],[Discount_Applied]]="Yes", 1,0)</f>
        <v>0</v>
      </c>
      <c r="U2810" t="str">
        <f>_xlfn.IFS(Table1[[#This Row],[Age]]&lt;=25, "Below 25", Table1[[#This Row],[Age]]&lt;=35, "Between 25-35", Table1[[#This Row],[Age]]&lt;=45, "Between 36-45", Table1[[#This Row],[Age]]&gt;45, "45+")</f>
        <v>45+</v>
      </c>
    </row>
    <row r="2811" spans="1:21" x14ac:dyDescent="0.3">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c r="T2811">
        <f>IF(Table1[[#This Row],[Discount_Applied]]="Yes", 1,0)</f>
        <v>0</v>
      </c>
      <c r="U2811" t="str">
        <f>_xlfn.IFS(Table1[[#This Row],[Age]]&lt;=25, "Below 25", Table1[[#This Row],[Age]]&lt;=35, "Between 25-35", Table1[[#This Row],[Age]]&lt;=45, "Between 36-45", Table1[[#This Row],[Age]]&gt;45, "45+")</f>
        <v>45+</v>
      </c>
    </row>
    <row r="2812" spans="1:21" x14ac:dyDescent="0.3">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c r="T2812">
        <f>IF(Table1[[#This Row],[Discount_Applied]]="Yes", 1,0)</f>
        <v>0</v>
      </c>
      <c r="U2812" t="str">
        <f>_xlfn.IFS(Table1[[#This Row],[Age]]&lt;=25, "Below 25", Table1[[#This Row],[Age]]&lt;=35, "Between 25-35", Table1[[#This Row],[Age]]&lt;=45, "Between 36-45", Table1[[#This Row],[Age]]&gt;45, "45+")</f>
        <v>Between 25-35</v>
      </c>
    </row>
    <row r="2813" spans="1:21" x14ac:dyDescent="0.3">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c r="T2813">
        <f>IF(Table1[[#This Row],[Discount_Applied]]="Yes", 1,0)</f>
        <v>0</v>
      </c>
      <c r="U2813" t="str">
        <f>_xlfn.IFS(Table1[[#This Row],[Age]]&lt;=25, "Below 25", Table1[[#This Row],[Age]]&lt;=35, "Between 25-35", Table1[[#This Row],[Age]]&lt;=45, "Between 36-45", Table1[[#This Row],[Age]]&gt;45, "45+")</f>
        <v>45+</v>
      </c>
    </row>
    <row r="2814" spans="1:21" x14ac:dyDescent="0.3">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c r="T2814">
        <f>IF(Table1[[#This Row],[Discount_Applied]]="Yes", 1,0)</f>
        <v>0</v>
      </c>
      <c r="U2814" t="str">
        <f>_xlfn.IFS(Table1[[#This Row],[Age]]&lt;=25, "Below 25", Table1[[#This Row],[Age]]&lt;=35, "Between 25-35", Table1[[#This Row],[Age]]&lt;=45, "Between 36-45", Table1[[#This Row],[Age]]&gt;45, "45+")</f>
        <v>45+</v>
      </c>
    </row>
    <row r="2815" spans="1:21" x14ac:dyDescent="0.3">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c r="T2815">
        <f>IF(Table1[[#This Row],[Discount_Applied]]="Yes", 1,0)</f>
        <v>0</v>
      </c>
      <c r="U2815" t="str">
        <f>_xlfn.IFS(Table1[[#This Row],[Age]]&lt;=25, "Below 25", Table1[[#This Row],[Age]]&lt;=35, "Between 25-35", Table1[[#This Row],[Age]]&lt;=45, "Between 36-45", Table1[[#This Row],[Age]]&gt;45, "45+")</f>
        <v>Between 36-45</v>
      </c>
    </row>
    <row r="2816" spans="1:21" x14ac:dyDescent="0.3">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c r="T2816">
        <f>IF(Table1[[#This Row],[Discount_Applied]]="Yes", 1,0)</f>
        <v>0</v>
      </c>
      <c r="U2816" t="str">
        <f>_xlfn.IFS(Table1[[#This Row],[Age]]&lt;=25, "Below 25", Table1[[#This Row],[Age]]&lt;=35, "Between 25-35", Table1[[#This Row],[Age]]&lt;=45, "Between 36-45", Table1[[#This Row],[Age]]&gt;45, "45+")</f>
        <v>Between 25-35</v>
      </c>
    </row>
    <row r="2817" spans="1:21" x14ac:dyDescent="0.3">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c r="T2817">
        <f>IF(Table1[[#This Row],[Discount_Applied]]="Yes", 1,0)</f>
        <v>0</v>
      </c>
      <c r="U2817" t="str">
        <f>_xlfn.IFS(Table1[[#This Row],[Age]]&lt;=25, "Below 25", Table1[[#This Row],[Age]]&lt;=35, "Between 25-35", Table1[[#This Row],[Age]]&lt;=45, "Between 36-45", Table1[[#This Row],[Age]]&gt;45, "45+")</f>
        <v>Between 25-35</v>
      </c>
    </row>
    <row r="2818" spans="1:21" x14ac:dyDescent="0.3">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c r="T2818">
        <f>IF(Table1[[#This Row],[Discount_Applied]]="Yes", 1,0)</f>
        <v>0</v>
      </c>
      <c r="U2818" t="str">
        <f>_xlfn.IFS(Table1[[#This Row],[Age]]&lt;=25, "Below 25", Table1[[#This Row],[Age]]&lt;=35, "Between 25-35", Table1[[#This Row],[Age]]&lt;=45, "Between 36-45", Table1[[#This Row],[Age]]&gt;45, "45+")</f>
        <v>Between 36-45</v>
      </c>
    </row>
    <row r="2819" spans="1:21" x14ac:dyDescent="0.3">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c r="T2819">
        <f>IF(Table1[[#This Row],[Discount_Applied]]="Yes", 1,0)</f>
        <v>0</v>
      </c>
      <c r="U2819" t="str">
        <f>_xlfn.IFS(Table1[[#This Row],[Age]]&lt;=25, "Below 25", Table1[[#This Row],[Age]]&lt;=35, "Between 25-35", Table1[[#This Row],[Age]]&lt;=45, "Between 36-45", Table1[[#This Row],[Age]]&gt;45, "45+")</f>
        <v>Below 25</v>
      </c>
    </row>
    <row r="2820" spans="1:21" x14ac:dyDescent="0.3">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c r="T2820">
        <f>IF(Table1[[#This Row],[Discount_Applied]]="Yes", 1,0)</f>
        <v>0</v>
      </c>
      <c r="U2820" t="str">
        <f>_xlfn.IFS(Table1[[#This Row],[Age]]&lt;=25, "Below 25", Table1[[#This Row],[Age]]&lt;=35, "Between 25-35", Table1[[#This Row],[Age]]&lt;=45, "Between 36-45", Table1[[#This Row],[Age]]&gt;45, "45+")</f>
        <v>45+</v>
      </c>
    </row>
    <row r="2821" spans="1:21" x14ac:dyDescent="0.3">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c r="T2821">
        <f>IF(Table1[[#This Row],[Discount_Applied]]="Yes", 1,0)</f>
        <v>0</v>
      </c>
      <c r="U2821" t="str">
        <f>_xlfn.IFS(Table1[[#This Row],[Age]]&lt;=25, "Below 25", Table1[[#This Row],[Age]]&lt;=35, "Between 25-35", Table1[[#This Row],[Age]]&lt;=45, "Between 36-45", Table1[[#This Row],[Age]]&gt;45, "45+")</f>
        <v>45+</v>
      </c>
    </row>
    <row r="2822" spans="1:21" x14ac:dyDescent="0.3">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c r="T2822">
        <f>IF(Table1[[#This Row],[Discount_Applied]]="Yes", 1,0)</f>
        <v>0</v>
      </c>
      <c r="U2822" t="str">
        <f>_xlfn.IFS(Table1[[#This Row],[Age]]&lt;=25, "Below 25", Table1[[#This Row],[Age]]&lt;=35, "Between 25-35", Table1[[#This Row],[Age]]&lt;=45, "Between 36-45", Table1[[#This Row],[Age]]&gt;45, "45+")</f>
        <v>Between 25-35</v>
      </c>
    </row>
    <row r="2823" spans="1:21" x14ac:dyDescent="0.3">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c r="T2823">
        <f>IF(Table1[[#This Row],[Discount_Applied]]="Yes", 1,0)</f>
        <v>0</v>
      </c>
      <c r="U2823" t="str">
        <f>_xlfn.IFS(Table1[[#This Row],[Age]]&lt;=25, "Below 25", Table1[[#This Row],[Age]]&lt;=35, "Between 25-35", Table1[[#This Row],[Age]]&lt;=45, "Between 36-45", Table1[[#This Row],[Age]]&gt;45, "45+")</f>
        <v>Between 25-35</v>
      </c>
    </row>
    <row r="2824" spans="1:21" x14ac:dyDescent="0.3">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c r="T2824">
        <f>IF(Table1[[#This Row],[Discount_Applied]]="Yes", 1,0)</f>
        <v>0</v>
      </c>
      <c r="U2824" t="str">
        <f>_xlfn.IFS(Table1[[#This Row],[Age]]&lt;=25, "Below 25", Table1[[#This Row],[Age]]&lt;=35, "Between 25-35", Table1[[#This Row],[Age]]&lt;=45, "Between 36-45", Table1[[#This Row],[Age]]&gt;45, "45+")</f>
        <v>45+</v>
      </c>
    </row>
    <row r="2825" spans="1:21" x14ac:dyDescent="0.3">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c r="T2825">
        <f>IF(Table1[[#This Row],[Discount_Applied]]="Yes", 1,0)</f>
        <v>0</v>
      </c>
      <c r="U2825" t="str">
        <f>_xlfn.IFS(Table1[[#This Row],[Age]]&lt;=25, "Below 25", Table1[[#This Row],[Age]]&lt;=35, "Between 25-35", Table1[[#This Row],[Age]]&lt;=45, "Between 36-45", Table1[[#This Row],[Age]]&gt;45, "45+")</f>
        <v>Between 25-35</v>
      </c>
    </row>
    <row r="2826" spans="1:21" x14ac:dyDescent="0.3">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c r="T2826">
        <f>IF(Table1[[#This Row],[Discount_Applied]]="Yes", 1,0)</f>
        <v>0</v>
      </c>
      <c r="U2826" t="str">
        <f>_xlfn.IFS(Table1[[#This Row],[Age]]&lt;=25, "Below 25", Table1[[#This Row],[Age]]&lt;=35, "Between 25-35", Table1[[#This Row],[Age]]&lt;=45, "Between 36-45", Table1[[#This Row],[Age]]&gt;45, "45+")</f>
        <v>Between 36-45</v>
      </c>
    </row>
    <row r="2827" spans="1:21" x14ac:dyDescent="0.3">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c r="T2827">
        <f>IF(Table1[[#This Row],[Discount_Applied]]="Yes", 1,0)</f>
        <v>0</v>
      </c>
      <c r="U2827" t="str">
        <f>_xlfn.IFS(Table1[[#This Row],[Age]]&lt;=25, "Below 25", Table1[[#This Row],[Age]]&lt;=35, "Between 25-35", Table1[[#This Row],[Age]]&lt;=45, "Between 36-45", Table1[[#This Row],[Age]]&gt;45, "45+")</f>
        <v>45+</v>
      </c>
    </row>
    <row r="2828" spans="1:21" x14ac:dyDescent="0.3">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c r="T2828">
        <f>IF(Table1[[#This Row],[Discount_Applied]]="Yes", 1,0)</f>
        <v>0</v>
      </c>
      <c r="U2828" t="str">
        <f>_xlfn.IFS(Table1[[#This Row],[Age]]&lt;=25, "Below 25", Table1[[#This Row],[Age]]&lt;=35, "Between 25-35", Table1[[#This Row],[Age]]&lt;=45, "Between 36-45", Table1[[#This Row],[Age]]&gt;45, "45+")</f>
        <v>Between 25-35</v>
      </c>
    </row>
    <row r="2829" spans="1:21" x14ac:dyDescent="0.3">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c r="T2829">
        <f>IF(Table1[[#This Row],[Discount_Applied]]="Yes", 1,0)</f>
        <v>0</v>
      </c>
      <c r="U2829" t="str">
        <f>_xlfn.IFS(Table1[[#This Row],[Age]]&lt;=25, "Below 25", Table1[[#This Row],[Age]]&lt;=35, "Between 25-35", Table1[[#This Row],[Age]]&lt;=45, "Between 36-45", Table1[[#This Row],[Age]]&gt;45, "45+")</f>
        <v>Below 25</v>
      </c>
    </row>
    <row r="2830" spans="1:21" x14ac:dyDescent="0.3">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c r="T2830">
        <f>IF(Table1[[#This Row],[Discount_Applied]]="Yes", 1,0)</f>
        <v>0</v>
      </c>
      <c r="U2830" t="str">
        <f>_xlfn.IFS(Table1[[#This Row],[Age]]&lt;=25, "Below 25", Table1[[#This Row],[Age]]&lt;=35, "Between 25-35", Table1[[#This Row],[Age]]&lt;=45, "Between 36-45", Table1[[#This Row],[Age]]&gt;45, "45+")</f>
        <v>Below 25</v>
      </c>
    </row>
    <row r="2831" spans="1:21" x14ac:dyDescent="0.3">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c r="T2831">
        <f>IF(Table1[[#This Row],[Discount_Applied]]="Yes", 1,0)</f>
        <v>0</v>
      </c>
      <c r="U2831" t="str">
        <f>_xlfn.IFS(Table1[[#This Row],[Age]]&lt;=25, "Below 25", Table1[[#This Row],[Age]]&lt;=35, "Between 25-35", Table1[[#This Row],[Age]]&lt;=45, "Between 36-45", Table1[[#This Row],[Age]]&gt;45, "45+")</f>
        <v>45+</v>
      </c>
    </row>
    <row r="2832" spans="1:21" x14ac:dyDescent="0.3">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c r="T2832">
        <f>IF(Table1[[#This Row],[Discount_Applied]]="Yes", 1,0)</f>
        <v>0</v>
      </c>
      <c r="U2832" t="str">
        <f>_xlfn.IFS(Table1[[#This Row],[Age]]&lt;=25, "Below 25", Table1[[#This Row],[Age]]&lt;=35, "Between 25-35", Table1[[#This Row],[Age]]&lt;=45, "Between 36-45", Table1[[#This Row],[Age]]&gt;45, "45+")</f>
        <v>45+</v>
      </c>
    </row>
    <row r="2833" spans="1:21" x14ac:dyDescent="0.3">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c r="T2833">
        <f>IF(Table1[[#This Row],[Discount_Applied]]="Yes", 1,0)</f>
        <v>0</v>
      </c>
      <c r="U2833" t="str">
        <f>_xlfn.IFS(Table1[[#This Row],[Age]]&lt;=25, "Below 25", Table1[[#This Row],[Age]]&lt;=35, "Between 25-35", Table1[[#This Row],[Age]]&lt;=45, "Between 36-45", Table1[[#This Row],[Age]]&gt;45, "45+")</f>
        <v>Between 25-35</v>
      </c>
    </row>
    <row r="2834" spans="1:21" x14ac:dyDescent="0.3">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c r="T2834">
        <f>IF(Table1[[#This Row],[Discount_Applied]]="Yes", 1,0)</f>
        <v>0</v>
      </c>
      <c r="U2834" t="str">
        <f>_xlfn.IFS(Table1[[#This Row],[Age]]&lt;=25, "Below 25", Table1[[#This Row],[Age]]&lt;=35, "Between 25-35", Table1[[#This Row],[Age]]&lt;=45, "Between 36-45", Table1[[#This Row],[Age]]&gt;45, "45+")</f>
        <v>Between 25-35</v>
      </c>
    </row>
    <row r="2835" spans="1:21" x14ac:dyDescent="0.3">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c r="T2835">
        <f>IF(Table1[[#This Row],[Discount_Applied]]="Yes", 1,0)</f>
        <v>0</v>
      </c>
      <c r="U2835" t="str">
        <f>_xlfn.IFS(Table1[[#This Row],[Age]]&lt;=25, "Below 25", Table1[[#This Row],[Age]]&lt;=35, "Between 25-35", Table1[[#This Row],[Age]]&lt;=45, "Between 36-45", Table1[[#This Row],[Age]]&gt;45, "45+")</f>
        <v>Between 36-45</v>
      </c>
    </row>
    <row r="2836" spans="1:21" x14ac:dyDescent="0.3">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c r="T2836">
        <f>IF(Table1[[#This Row],[Discount_Applied]]="Yes", 1,0)</f>
        <v>0</v>
      </c>
      <c r="U2836" t="str">
        <f>_xlfn.IFS(Table1[[#This Row],[Age]]&lt;=25, "Below 25", Table1[[#This Row],[Age]]&lt;=35, "Between 25-35", Table1[[#This Row],[Age]]&lt;=45, "Between 36-45", Table1[[#This Row],[Age]]&gt;45, "45+")</f>
        <v>Between 36-45</v>
      </c>
    </row>
    <row r="2837" spans="1:21" x14ac:dyDescent="0.3">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c r="T2837">
        <f>IF(Table1[[#This Row],[Discount_Applied]]="Yes", 1,0)</f>
        <v>0</v>
      </c>
      <c r="U2837" t="str">
        <f>_xlfn.IFS(Table1[[#This Row],[Age]]&lt;=25, "Below 25", Table1[[#This Row],[Age]]&lt;=35, "Between 25-35", Table1[[#This Row],[Age]]&lt;=45, "Between 36-45", Table1[[#This Row],[Age]]&gt;45, "45+")</f>
        <v>Between 25-35</v>
      </c>
    </row>
    <row r="2838" spans="1:21" x14ac:dyDescent="0.3">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c r="T2838">
        <f>IF(Table1[[#This Row],[Discount_Applied]]="Yes", 1,0)</f>
        <v>0</v>
      </c>
      <c r="U2838" t="str">
        <f>_xlfn.IFS(Table1[[#This Row],[Age]]&lt;=25, "Below 25", Table1[[#This Row],[Age]]&lt;=35, "Between 25-35", Table1[[#This Row],[Age]]&lt;=45, "Between 36-45", Table1[[#This Row],[Age]]&gt;45, "45+")</f>
        <v>45+</v>
      </c>
    </row>
    <row r="2839" spans="1:21" x14ac:dyDescent="0.3">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c r="T2839">
        <f>IF(Table1[[#This Row],[Discount_Applied]]="Yes", 1,0)</f>
        <v>0</v>
      </c>
      <c r="U2839" t="str">
        <f>_xlfn.IFS(Table1[[#This Row],[Age]]&lt;=25, "Below 25", Table1[[#This Row],[Age]]&lt;=35, "Between 25-35", Table1[[#This Row],[Age]]&lt;=45, "Between 36-45", Table1[[#This Row],[Age]]&gt;45, "45+")</f>
        <v>45+</v>
      </c>
    </row>
    <row r="2840" spans="1:21" x14ac:dyDescent="0.3">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c r="T2840">
        <f>IF(Table1[[#This Row],[Discount_Applied]]="Yes", 1,0)</f>
        <v>0</v>
      </c>
      <c r="U2840" t="str">
        <f>_xlfn.IFS(Table1[[#This Row],[Age]]&lt;=25, "Below 25", Table1[[#This Row],[Age]]&lt;=35, "Between 25-35", Table1[[#This Row],[Age]]&lt;=45, "Between 36-45", Table1[[#This Row],[Age]]&gt;45, "45+")</f>
        <v>45+</v>
      </c>
    </row>
    <row r="2841" spans="1:21" x14ac:dyDescent="0.3">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c r="T2841">
        <f>IF(Table1[[#This Row],[Discount_Applied]]="Yes", 1,0)</f>
        <v>0</v>
      </c>
      <c r="U2841" t="str">
        <f>_xlfn.IFS(Table1[[#This Row],[Age]]&lt;=25, "Below 25", Table1[[#This Row],[Age]]&lt;=35, "Between 25-35", Table1[[#This Row],[Age]]&lt;=45, "Between 36-45", Table1[[#This Row],[Age]]&gt;45, "45+")</f>
        <v>45+</v>
      </c>
    </row>
    <row r="2842" spans="1:21" x14ac:dyDescent="0.3">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c r="T2842">
        <f>IF(Table1[[#This Row],[Discount_Applied]]="Yes", 1,0)</f>
        <v>0</v>
      </c>
      <c r="U2842" t="str">
        <f>_xlfn.IFS(Table1[[#This Row],[Age]]&lt;=25, "Below 25", Table1[[#This Row],[Age]]&lt;=35, "Between 25-35", Table1[[#This Row],[Age]]&lt;=45, "Between 36-45", Table1[[#This Row],[Age]]&gt;45, "45+")</f>
        <v>Between 36-45</v>
      </c>
    </row>
    <row r="2843" spans="1:21" x14ac:dyDescent="0.3">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c r="T2843">
        <f>IF(Table1[[#This Row],[Discount_Applied]]="Yes", 1,0)</f>
        <v>0</v>
      </c>
      <c r="U2843" t="str">
        <f>_xlfn.IFS(Table1[[#This Row],[Age]]&lt;=25, "Below 25", Table1[[#This Row],[Age]]&lt;=35, "Between 25-35", Table1[[#This Row],[Age]]&lt;=45, "Between 36-45", Table1[[#This Row],[Age]]&gt;45, "45+")</f>
        <v>Below 25</v>
      </c>
    </row>
    <row r="2844" spans="1:21" x14ac:dyDescent="0.3">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c r="T2844">
        <f>IF(Table1[[#This Row],[Discount_Applied]]="Yes", 1,0)</f>
        <v>0</v>
      </c>
      <c r="U2844" t="str">
        <f>_xlfn.IFS(Table1[[#This Row],[Age]]&lt;=25, "Below 25", Table1[[#This Row],[Age]]&lt;=35, "Between 25-35", Table1[[#This Row],[Age]]&lt;=45, "Between 36-45", Table1[[#This Row],[Age]]&gt;45, "45+")</f>
        <v>Between 25-35</v>
      </c>
    </row>
    <row r="2845" spans="1:21" x14ac:dyDescent="0.3">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c r="T2845">
        <f>IF(Table1[[#This Row],[Discount_Applied]]="Yes", 1,0)</f>
        <v>0</v>
      </c>
      <c r="U2845" t="str">
        <f>_xlfn.IFS(Table1[[#This Row],[Age]]&lt;=25, "Below 25", Table1[[#This Row],[Age]]&lt;=35, "Between 25-35", Table1[[#This Row],[Age]]&lt;=45, "Between 36-45", Table1[[#This Row],[Age]]&gt;45, "45+")</f>
        <v>45+</v>
      </c>
    </row>
    <row r="2846" spans="1:21" x14ac:dyDescent="0.3">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c r="T2846">
        <f>IF(Table1[[#This Row],[Discount_Applied]]="Yes", 1,0)</f>
        <v>0</v>
      </c>
      <c r="U2846" t="str">
        <f>_xlfn.IFS(Table1[[#This Row],[Age]]&lt;=25, "Below 25", Table1[[#This Row],[Age]]&lt;=35, "Between 25-35", Table1[[#This Row],[Age]]&lt;=45, "Between 36-45", Table1[[#This Row],[Age]]&gt;45, "45+")</f>
        <v>Between 25-35</v>
      </c>
    </row>
    <row r="2847" spans="1:21" x14ac:dyDescent="0.3">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c r="T2847">
        <f>IF(Table1[[#This Row],[Discount_Applied]]="Yes", 1,0)</f>
        <v>0</v>
      </c>
      <c r="U2847" t="str">
        <f>_xlfn.IFS(Table1[[#This Row],[Age]]&lt;=25, "Below 25", Table1[[#This Row],[Age]]&lt;=35, "Between 25-35", Table1[[#This Row],[Age]]&lt;=45, "Between 36-45", Table1[[#This Row],[Age]]&gt;45, "45+")</f>
        <v>Between 25-35</v>
      </c>
    </row>
    <row r="2848" spans="1:21" x14ac:dyDescent="0.3">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c r="T2848">
        <f>IF(Table1[[#This Row],[Discount_Applied]]="Yes", 1,0)</f>
        <v>0</v>
      </c>
      <c r="U2848" t="str">
        <f>_xlfn.IFS(Table1[[#This Row],[Age]]&lt;=25, "Below 25", Table1[[#This Row],[Age]]&lt;=35, "Between 25-35", Table1[[#This Row],[Age]]&lt;=45, "Between 36-45", Table1[[#This Row],[Age]]&gt;45, "45+")</f>
        <v>45+</v>
      </c>
    </row>
    <row r="2849" spans="1:21" x14ac:dyDescent="0.3">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c r="T2849">
        <f>IF(Table1[[#This Row],[Discount_Applied]]="Yes", 1,0)</f>
        <v>0</v>
      </c>
      <c r="U2849" t="str">
        <f>_xlfn.IFS(Table1[[#This Row],[Age]]&lt;=25, "Below 25", Table1[[#This Row],[Age]]&lt;=35, "Between 25-35", Table1[[#This Row],[Age]]&lt;=45, "Between 36-45", Table1[[#This Row],[Age]]&gt;45, "45+")</f>
        <v>45+</v>
      </c>
    </row>
    <row r="2850" spans="1:21" x14ac:dyDescent="0.3">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c r="T2850">
        <f>IF(Table1[[#This Row],[Discount_Applied]]="Yes", 1,0)</f>
        <v>0</v>
      </c>
      <c r="U2850" t="str">
        <f>_xlfn.IFS(Table1[[#This Row],[Age]]&lt;=25, "Below 25", Table1[[#This Row],[Age]]&lt;=35, "Between 25-35", Table1[[#This Row],[Age]]&lt;=45, "Between 36-45", Table1[[#This Row],[Age]]&gt;45, "45+")</f>
        <v>Between 25-35</v>
      </c>
    </row>
    <row r="2851" spans="1:21" x14ac:dyDescent="0.3">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c r="T2851">
        <f>IF(Table1[[#This Row],[Discount_Applied]]="Yes", 1,0)</f>
        <v>0</v>
      </c>
      <c r="U2851" t="str">
        <f>_xlfn.IFS(Table1[[#This Row],[Age]]&lt;=25, "Below 25", Table1[[#This Row],[Age]]&lt;=35, "Between 25-35", Table1[[#This Row],[Age]]&lt;=45, "Between 36-45", Table1[[#This Row],[Age]]&gt;45, "45+")</f>
        <v>45+</v>
      </c>
    </row>
    <row r="2852" spans="1:21" x14ac:dyDescent="0.3">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c r="T2852">
        <f>IF(Table1[[#This Row],[Discount_Applied]]="Yes", 1,0)</f>
        <v>0</v>
      </c>
      <c r="U2852" t="str">
        <f>_xlfn.IFS(Table1[[#This Row],[Age]]&lt;=25, "Below 25", Table1[[#This Row],[Age]]&lt;=35, "Between 25-35", Table1[[#This Row],[Age]]&lt;=45, "Between 36-45", Table1[[#This Row],[Age]]&gt;45, "45+")</f>
        <v>45+</v>
      </c>
    </row>
    <row r="2853" spans="1:21" x14ac:dyDescent="0.3">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c r="T2853">
        <f>IF(Table1[[#This Row],[Discount_Applied]]="Yes", 1,0)</f>
        <v>0</v>
      </c>
      <c r="U2853" t="str">
        <f>_xlfn.IFS(Table1[[#This Row],[Age]]&lt;=25, "Below 25", Table1[[#This Row],[Age]]&lt;=35, "Between 25-35", Table1[[#This Row],[Age]]&lt;=45, "Between 36-45", Table1[[#This Row],[Age]]&gt;45, "45+")</f>
        <v>45+</v>
      </c>
    </row>
    <row r="2854" spans="1:21" x14ac:dyDescent="0.3">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c r="T2854">
        <f>IF(Table1[[#This Row],[Discount_Applied]]="Yes", 1,0)</f>
        <v>0</v>
      </c>
      <c r="U2854" t="str">
        <f>_xlfn.IFS(Table1[[#This Row],[Age]]&lt;=25, "Below 25", Table1[[#This Row],[Age]]&lt;=35, "Between 25-35", Table1[[#This Row],[Age]]&lt;=45, "Between 36-45", Table1[[#This Row],[Age]]&gt;45, "45+")</f>
        <v>Between 36-45</v>
      </c>
    </row>
    <row r="2855" spans="1:21" x14ac:dyDescent="0.3">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c r="T2855">
        <f>IF(Table1[[#This Row],[Discount_Applied]]="Yes", 1,0)</f>
        <v>0</v>
      </c>
      <c r="U2855" t="str">
        <f>_xlfn.IFS(Table1[[#This Row],[Age]]&lt;=25, "Below 25", Table1[[#This Row],[Age]]&lt;=35, "Between 25-35", Table1[[#This Row],[Age]]&lt;=45, "Between 36-45", Table1[[#This Row],[Age]]&gt;45, "45+")</f>
        <v>Between 36-45</v>
      </c>
    </row>
    <row r="2856" spans="1:21" x14ac:dyDescent="0.3">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c r="T2856">
        <f>IF(Table1[[#This Row],[Discount_Applied]]="Yes", 1,0)</f>
        <v>0</v>
      </c>
      <c r="U2856" t="str">
        <f>_xlfn.IFS(Table1[[#This Row],[Age]]&lt;=25, "Below 25", Table1[[#This Row],[Age]]&lt;=35, "Between 25-35", Table1[[#This Row],[Age]]&lt;=45, "Between 36-45", Table1[[#This Row],[Age]]&gt;45, "45+")</f>
        <v>Between 36-45</v>
      </c>
    </row>
    <row r="2857" spans="1:21" x14ac:dyDescent="0.3">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c r="T2857">
        <f>IF(Table1[[#This Row],[Discount_Applied]]="Yes", 1,0)</f>
        <v>0</v>
      </c>
      <c r="U2857" t="str">
        <f>_xlfn.IFS(Table1[[#This Row],[Age]]&lt;=25, "Below 25", Table1[[#This Row],[Age]]&lt;=35, "Between 25-35", Table1[[#This Row],[Age]]&lt;=45, "Between 36-45", Table1[[#This Row],[Age]]&gt;45, "45+")</f>
        <v>Between 25-35</v>
      </c>
    </row>
    <row r="2858" spans="1:21" x14ac:dyDescent="0.3">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c r="T2858">
        <f>IF(Table1[[#This Row],[Discount_Applied]]="Yes", 1,0)</f>
        <v>0</v>
      </c>
      <c r="U2858" t="str">
        <f>_xlfn.IFS(Table1[[#This Row],[Age]]&lt;=25, "Below 25", Table1[[#This Row],[Age]]&lt;=35, "Between 25-35", Table1[[#This Row],[Age]]&lt;=45, "Between 36-45", Table1[[#This Row],[Age]]&gt;45, "45+")</f>
        <v>45+</v>
      </c>
    </row>
    <row r="2859" spans="1:21" x14ac:dyDescent="0.3">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c r="T2859">
        <f>IF(Table1[[#This Row],[Discount_Applied]]="Yes", 1,0)</f>
        <v>0</v>
      </c>
      <c r="U2859" t="str">
        <f>_xlfn.IFS(Table1[[#This Row],[Age]]&lt;=25, "Below 25", Table1[[#This Row],[Age]]&lt;=35, "Between 25-35", Table1[[#This Row],[Age]]&lt;=45, "Between 36-45", Table1[[#This Row],[Age]]&gt;45, "45+")</f>
        <v>Between 36-45</v>
      </c>
    </row>
    <row r="2860" spans="1:21" x14ac:dyDescent="0.3">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c r="T2860">
        <f>IF(Table1[[#This Row],[Discount_Applied]]="Yes", 1,0)</f>
        <v>0</v>
      </c>
      <c r="U2860" t="str">
        <f>_xlfn.IFS(Table1[[#This Row],[Age]]&lt;=25, "Below 25", Table1[[#This Row],[Age]]&lt;=35, "Between 25-35", Table1[[#This Row],[Age]]&lt;=45, "Between 36-45", Table1[[#This Row],[Age]]&gt;45, "45+")</f>
        <v>Between 25-35</v>
      </c>
    </row>
    <row r="2861" spans="1:21" x14ac:dyDescent="0.3">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c r="T2861">
        <f>IF(Table1[[#This Row],[Discount_Applied]]="Yes", 1,0)</f>
        <v>0</v>
      </c>
      <c r="U2861" t="str">
        <f>_xlfn.IFS(Table1[[#This Row],[Age]]&lt;=25, "Below 25", Table1[[#This Row],[Age]]&lt;=35, "Between 25-35", Table1[[#This Row],[Age]]&lt;=45, "Between 36-45", Table1[[#This Row],[Age]]&gt;45, "45+")</f>
        <v>Between 25-35</v>
      </c>
    </row>
    <row r="2862" spans="1:21" x14ac:dyDescent="0.3">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c r="T2862">
        <f>IF(Table1[[#This Row],[Discount_Applied]]="Yes", 1,0)</f>
        <v>0</v>
      </c>
      <c r="U2862" t="str">
        <f>_xlfn.IFS(Table1[[#This Row],[Age]]&lt;=25, "Below 25", Table1[[#This Row],[Age]]&lt;=35, "Between 25-35", Table1[[#This Row],[Age]]&lt;=45, "Between 36-45", Table1[[#This Row],[Age]]&gt;45, "45+")</f>
        <v>Between 25-35</v>
      </c>
    </row>
    <row r="2863" spans="1:21" x14ac:dyDescent="0.3">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c r="T2863">
        <f>IF(Table1[[#This Row],[Discount_Applied]]="Yes", 1,0)</f>
        <v>0</v>
      </c>
      <c r="U2863" t="str">
        <f>_xlfn.IFS(Table1[[#This Row],[Age]]&lt;=25, "Below 25", Table1[[#This Row],[Age]]&lt;=35, "Between 25-35", Table1[[#This Row],[Age]]&lt;=45, "Between 36-45", Table1[[#This Row],[Age]]&gt;45, "45+")</f>
        <v>45+</v>
      </c>
    </row>
    <row r="2864" spans="1:21" x14ac:dyDescent="0.3">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c r="T2864">
        <f>IF(Table1[[#This Row],[Discount_Applied]]="Yes", 1,0)</f>
        <v>0</v>
      </c>
      <c r="U2864" t="str">
        <f>_xlfn.IFS(Table1[[#This Row],[Age]]&lt;=25, "Below 25", Table1[[#This Row],[Age]]&lt;=35, "Between 25-35", Table1[[#This Row],[Age]]&lt;=45, "Between 36-45", Table1[[#This Row],[Age]]&gt;45, "45+")</f>
        <v>45+</v>
      </c>
    </row>
    <row r="2865" spans="1:21" x14ac:dyDescent="0.3">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c r="T2865">
        <f>IF(Table1[[#This Row],[Discount_Applied]]="Yes", 1,0)</f>
        <v>0</v>
      </c>
      <c r="U2865" t="str">
        <f>_xlfn.IFS(Table1[[#This Row],[Age]]&lt;=25, "Below 25", Table1[[#This Row],[Age]]&lt;=35, "Between 25-35", Table1[[#This Row],[Age]]&lt;=45, "Between 36-45", Table1[[#This Row],[Age]]&gt;45, "45+")</f>
        <v>Between 36-45</v>
      </c>
    </row>
    <row r="2866" spans="1:21" x14ac:dyDescent="0.3">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c r="T2866">
        <f>IF(Table1[[#This Row],[Discount_Applied]]="Yes", 1,0)</f>
        <v>0</v>
      </c>
      <c r="U2866" t="str">
        <f>_xlfn.IFS(Table1[[#This Row],[Age]]&lt;=25, "Below 25", Table1[[#This Row],[Age]]&lt;=35, "Between 25-35", Table1[[#This Row],[Age]]&lt;=45, "Between 36-45", Table1[[#This Row],[Age]]&gt;45, "45+")</f>
        <v>45+</v>
      </c>
    </row>
    <row r="2867" spans="1:21" x14ac:dyDescent="0.3">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c r="T2867">
        <f>IF(Table1[[#This Row],[Discount_Applied]]="Yes", 1,0)</f>
        <v>0</v>
      </c>
      <c r="U2867" t="str">
        <f>_xlfn.IFS(Table1[[#This Row],[Age]]&lt;=25, "Below 25", Table1[[#This Row],[Age]]&lt;=35, "Between 25-35", Table1[[#This Row],[Age]]&lt;=45, "Between 36-45", Table1[[#This Row],[Age]]&gt;45, "45+")</f>
        <v>Between 25-35</v>
      </c>
    </row>
    <row r="2868" spans="1:21" x14ac:dyDescent="0.3">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c r="T2868">
        <f>IF(Table1[[#This Row],[Discount_Applied]]="Yes", 1,0)</f>
        <v>0</v>
      </c>
      <c r="U2868" t="str">
        <f>_xlfn.IFS(Table1[[#This Row],[Age]]&lt;=25, "Below 25", Table1[[#This Row],[Age]]&lt;=35, "Between 25-35", Table1[[#This Row],[Age]]&lt;=45, "Between 36-45", Table1[[#This Row],[Age]]&gt;45, "45+")</f>
        <v>45+</v>
      </c>
    </row>
    <row r="2869" spans="1:21" x14ac:dyDescent="0.3">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c r="T2869">
        <f>IF(Table1[[#This Row],[Discount_Applied]]="Yes", 1,0)</f>
        <v>0</v>
      </c>
      <c r="U2869" t="str">
        <f>_xlfn.IFS(Table1[[#This Row],[Age]]&lt;=25, "Below 25", Table1[[#This Row],[Age]]&lt;=35, "Between 25-35", Table1[[#This Row],[Age]]&lt;=45, "Between 36-45", Table1[[#This Row],[Age]]&gt;45, "45+")</f>
        <v>Below 25</v>
      </c>
    </row>
    <row r="2870" spans="1:21" x14ac:dyDescent="0.3">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c r="T2870">
        <f>IF(Table1[[#This Row],[Discount_Applied]]="Yes", 1,0)</f>
        <v>0</v>
      </c>
      <c r="U2870" t="str">
        <f>_xlfn.IFS(Table1[[#This Row],[Age]]&lt;=25, "Below 25", Table1[[#This Row],[Age]]&lt;=35, "Between 25-35", Table1[[#This Row],[Age]]&lt;=45, "Between 36-45", Table1[[#This Row],[Age]]&gt;45, "45+")</f>
        <v>Between 36-45</v>
      </c>
    </row>
    <row r="2871" spans="1:21" x14ac:dyDescent="0.3">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c r="T2871">
        <f>IF(Table1[[#This Row],[Discount_Applied]]="Yes", 1,0)</f>
        <v>0</v>
      </c>
      <c r="U2871" t="str">
        <f>_xlfn.IFS(Table1[[#This Row],[Age]]&lt;=25, "Below 25", Table1[[#This Row],[Age]]&lt;=35, "Between 25-35", Table1[[#This Row],[Age]]&lt;=45, "Between 36-45", Table1[[#This Row],[Age]]&gt;45, "45+")</f>
        <v>45+</v>
      </c>
    </row>
    <row r="2872" spans="1:21" x14ac:dyDescent="0.3">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c r="T2872">
        <f>IF(Table1[[#This Row],[Discount_Applied]]="Yes", 1,0)</f>
        <v>0</v>
      </c>
      <c r="U2872" t="str">
        <f>_xlfn.IFS(Table1[[#This Row],[Age]]&lt;=25, "Below 25", Table1[[#This Row],[Age]]&lt;=35, "Between 25-35", Table1[[#This Row],[Age]]&lt;=45, "Between 36-45", Table1[[#This Row],[Age]]&gt;45, "45+")</f>
        <v>45+</v>
      </c>
    </row>
    <row r="2873" spans="1:21" x14ac:dyDescent="0.3">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c r="T2873">
        <f>IF(Table1[[#This Row],[Discount_Applied]]="Yes", 1,0)</f>
        <v>0</v>
      </c>
      <c r="U2873" t="str">
        <f>_xlfn.IFS(Table1[[#This Row],[Age]]&lt;=25, "Below 25", Table1[[#This Row],[Age]]&lt;=35, "Between 25-35", Table1[[#This Row],[Age]]&lt;=45, "Between 36-45", Table1[[#This Row],[Age]]&gt;45, "45+")</f>
        <v>45+</v>
      </c>
    </row>
    <row r="2874" spans="1:21" x14ac:dyDescent="0.3">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c r="T2874">
        <f>IF(Table1[[#This Row],[Discount_Applied]]="Yes", 1,0)</f>
        <v>0</v>
      </c>
      <c r="U2874" t="str">
        <f>_xlfn.IFS(Table1[[#This Row],[Age]]&lt;=25, "Below 25", Table1[[#This Row],[Age]]&lt;=35, "Between 25-35", Table1[[#This Row],[Age]]&lt;=45, "Between 36-45", Table1[[#This Row],[Age]]&gt;45, "45+")</f>
        <v>45+</v>
      </c>
    </row>
    <row r="2875" spans="1:21" x14ac:dyDescent="0.3">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c r="T2875">
        <f>IF(Table1[[#This Row],[Discount_Applied]]="Yes", 1,0)</f>
        <v>0</v>
      </c>
      <c r="U2875" t="str">
        <f>_xlfn.IFS(Table1[[#This Row],[Age]]&lt;=25, "Below 25", Table1[[#This Row],[Age]]&lt;=35, "Between 25-35", Table1[[#This Row],[Age]]&lt;=45, "Between 36-45", Table1[[#This Row],[Age]]&gt;45, "45+")</f>
        <v>Between 36-45</v>
      </c>
    </row>
    <row r="2876" spans="1:21" x14ac:dyDescent="0.3">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c r="T2876">
        <f>IF(Table1[[#This Row],[Discount_Applied]]="Yes", 1,0)</f>
        <v>0</v>
      </c>
      <c r="U2876" t="str">
        <f>_xlfn.IFS(Table1[[#This Row],[Age]]&lt;=25, "Below 25", Table1[[#This Row],[Age]]&lt;=35, "Between 25-35", Table1[[#This Row],[Age]]&lt;=45, "Between 36-45", Table1[[#This Row],[Age]]&gt;45, "45+")</f>
        <v>Between 36-45</v>
      </c>
    </row>
    <row r="2877" spans="1:21" x14ac:dyDescent="0.3">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c r="T2877">
        <f>IF(Table1[[#This Row],[Discount_Applied]]="Yes", 1,0)</f>
        <v>0</v>
      </c>
      <c r="U2877" t="str">
        <f>_xlfn.IFS(Table1[[#This Row],[Age]]&lt;=25, "Below 25", Table1[[#This Row],[Age]]&lt;=35, "Between 25-35", Table1[[#This Row],[Age]]&lt;=45, "Between 36-45", Table1[[#This Row],[Age]]&gt;45, "45+")</f>
        <v>Below 25</v>
      </c>
    </row>
    <row r="2878" spans="1:21" x14ac:dyDescent="0.3">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c r="T2878">
        <f>IF(Table1[[#This Row],[Discount_Applied]]="Yes", 1,0)</f>
        <v>0</v>
      </c>
      <c r="U2878" t="str">
        <f>_xlfn.IFS(Table1[[#This Row],[Age]]&lt;=25, "Below 25", Table1[[#This Row],[Age]]&lt;=35, "Between 25-35", Table1[[#This Row],[Age]]&lt;=45, "Between 36-45", Table1[[#This Row],[Age]]&gt;45, "45+")</f>
        <v>45+</v>
      </c>
    </row>
    <row r="2879" spans="1:21" x14ac:dyDescent="0.3">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c r="T2879">
        <f>IF(Table1[[#This Row],[Discount_Applied]]="Yes", 1,0)</f>
        <v>0</v>
      </c>
      <c r="U2879" t="str">
        <f>_xlfn.IFS(Table1[[#This Row],[Age]]&lt;=25, "Below 25", Table1[[#This Row],[Age]]&lt;=35, "Between 25-35", Table1[[#This Row],[Age]]&lt;=45, "Between 36-45", Table1[[#This Row],[Age]]&gt;45, "45+")</f>
        <v>Between 25-35</v>
      </c>
    </row>
    <row r="2880" spans="1:21" x14ac:dyDescent="0.3">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c r="T2880">
        <f>IF(Table1[[#This Row],[Discount_Applied]]="Yes", 1,0)</f>
        <v>0</v>
      </c>
      <c r="U2880" t="str">
        <f>_xlfn.IFS(Table1[[#This Row],[Age]]&lt;=25, "Below 25", Table1[[#This Row],[Age]]&lt;=35, "Between 25-35", Table1[[#This Row],[Age]]&lt;=45, "Between 36-45", Table1[[#This Row],[Age]]&gt;45, "45+")</f>
        <v>45+</v>
      </c>
    </row>
    <row r="2881" spans="1:21" x14ac:dyDescent="0.3">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c r="T2881">
        <f>IF(Table1[[#This Row],[Discount_Applied]]="Yes", 1,0)</f>
        <v>0</v>
      </c>
      <c r="U2881" t="str">
        <f>_xlfn.IFS(Table1[[#This Row],[Age]]&lt;=25, "Below 25", Table1[[#This Row],[Age]]&lt;=35, "Between 25-35", Table1[[#This Row],[Age]]&lt;=45, "Between 36-45", Table1[[#This Row],[Age]]&gt;45, "45+")</f>
        <v>45+</v>
      </c>
    </row>
    <row r="2882" spans="1:21" x14ac:dyDescent="0.3">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c r="T2882">
        <f>IF(Table1[[#This Row],[Discount_Applied]]="Yes", 1,0)</f>
        <v>0</v>
      </c>
      <c r="U2882" t="str">
        <f>_xlfn.IFS(Table1[[#This Row],[Age]]&lt;=25, "Below 25", Table1[[#This Row],[Age]]&lt;=35, "Between 25-35", Table1[[#This Row],[Age]]&lt;=45, "Between 36-45", Table1[[#This Row],[Age]]&gt;45, "45+")</f>
        <v>Below 25</v>
      </c>
    </row>
    <row r="2883" spans="1:21" x14ac:dyDescent="0.3">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c r="T2883">
        <f>IF(Table1[[#This Row],[Discount_Applied]]="Yes", 1,0)</f>
        <v>0</v>
      </c>
      <c r="U2883" t="str">
        <f>_xlfn.IFS(Table1[[#This Row],[Age]]&lt;=25, "Below 25", Table1[[#This Row],[Age]]&lt;=35, "Between 25-35", Table1[[#This Row],[Age]]&lt;=45, "Between 36-45", Table1[[#This Row],[Age]]&gt;45, "45+")</f>
        <v>Between 36-45</v>
      </c>
    </row>
    <row r="2884" spans="1:21" x14ac:dyDescent="0.3">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c r="T2884">
        <f>IF(Table1[[#This Row],[Discount_Applied]]="Yes", 1,0)</f>
        <v>0</v>
      </c>
      <c r="U2884" t="str">
        <f>_xlfn.IFS(Table1[[#This Row],[Age]]&lt;=25, "Below 25", Table1[[#This Row],[Age]]&lt;=35, "Between 25-35", Table1[[#This Row],[Age]]&lt;=45, "Between 36-45", Table1[[#This Row],[Age]]&gt;45, "45+")</f>
        <v>45+</v>
      </c>
    </row>
    <row r="2885" spans="1:21" x14ac:dyDescent="0.3">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c r="T2885">
        <f>IF(Table1[[#This Row],[Discount_Applied]]="Yes", 1,0)</f>
        <v>0</v>
      </c>
      <c r="U2885" t="str">
        <f>_xlfn.IFS(Table1[[#This Row],[Age]]&lt;=25, "Below 25", Table1[[#This Row],[Age]]&lt;=35, "Between 25-35", Table1[[#This Row],[Age]]&lt;=45, "Between 36-45", Table1[[#This Row],[Age]]&gt;45, "45+")</f>
        <v>Below 25</v>
      </c>
    </row>
    <row r="2886" spans="1:21" x14ac:dyDescent="0.3">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c r="T2886">
        <f>IF(Table1[[#This Row],[Discount_Applied]]="Yes", 1,0)</f>
        <v>0</v>
      </c>
      <c r="U2886" t="str">
        <f>_xlfn.IFS(Table1[[#This Row],[Age]]&lt;=25, "Below 25", Table1[[#This Row],[Age]]&lt;=35, "Between 25-35", Table1[[#This Row],[Age]]&lt;=45, "Between 36-45", Table1[[#This Row],[Age]]&gt;45, "45+")</f>
        <v>45+</v>
      </c>
    </row>
    <row r="2887" spans="1:21" x14ac:dyDescent="0.3">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c r="T2887">
        <f>IF(Table1[[#This Row],[Discount_Applied]]="Yes", 1,0)</f>
        <v>0</v>
      </c>
      <c r="U2887" t="str">
        <f>_xlfn.IFS(Table1[[#This Row],[Age]]&lt;=25, "Below 25", Table1[[#This Row],[Age]]&lt;=35, "Between 25-35", Table1[[#This Row],[Age]]&lt;=45, "Between 36-45", Table1[[#This Row],[Age]]&gt;45, "45+")</f>
        <v>Between 25-35</v>
      </c>
    </row>
    <row r="2888" spans="1:21" x14ac:dyDescent="0.3">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c r="T2888">
        <f>IF(Table1[[#This Row],[Discount_Applied]]="Yes", 1,0)</f>
        <v>0</v>
      </c>
      <c r="U2888" t="str">
        <f>_xlfn.IFS(Table1[[#This Row],[Age]]&lt;=25, "Below 25", Table1[[#This Row],[Age]]&lt;=35, "Between 25-35", Table1[[#This Row],[Age]]&lt;=45, "Between 36-45", Table1[[#This Row],[Age]]&gt;45, "45+")</f>
        <v>Between 36-45</v>
      </c>
    </row>
    <row r="2889" spans="1:21" x14ac:dyDescent="0.3">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c r="T2889">
        <f>IF(Table1[[#This Row],[Discount_Applied]]="Yes", 1,0)</f>
        <v>0</v>
      </c>
      <c r="U2889" t="str">
        <f>_xlfn.IFS(Table1[[#This Row],[Age]]&lt;=25, "Below 25", Table1[[#This Row],[Age]]&lt;=35, "Between 25-35", Table1[[#This Row],[Age]]&lt;=45, "Between 36-45", Table1[[#This Row],[Age]]&gt;45, "45+")</f>
        <v>Below 25</v>
      </c>
    </row>
    <row r="2890" spans="1:21" x14ac:dyDescent="0.3">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c r="T2890">
        <f>IF(Table1[[#This Row],[Discount_Applied]]="Yes", 1,0)</f>
        <v>0</v>
      </c>
      <c r="U2890" t="str">
        <f>_xlfn.IFS(Table1[[#This Row],[Age]]&lt;=25, "Below 25", Table1[[#This Row],[Age]]&lt;=35, "Between 25-35", Table1[[#This Row],[Age]]&lt;=45, "Between 36-45", Table1[[#This Row],[Age]]&gt;45, "45+")</f>
        <v>45+</v>
      </c>
    </row>
    <row r="2891" spans="1:21" x14ac:dyDescent="0.3">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c r="T2891">
        <f>IF(Table1[[#This Row],[Discount_Applied]]="Yes", 1,0)</f>
        <v>0</v>
      </c>
      <c r="U2891" t="str">
        <f>_xlfn.IFS(Table1[[#This Row],[Age]]&lt;=25, "Below 25", Table1[[#This Row],[Age]]&lt;=35, "Between 25-35", Table1[[#This Row],[Age]]&lt;=45, "Between 36-45", Table1[[#This Row],[Age]]&gt;45, "45+")</f>
        <v>45+</v>
      </c>
    </row>
    <row r="2892" spans="1:21" x14ac:dyDescent="0.3">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c r="T2892">
        <f>IF(Table1[[#This Row],[Discount_Applied]]="Yes", 1,0)</f>
        <v>0</v>
      </c>
      <c r="U2892" t="str">
        <f>_xlfn.IFS(Table1[[#This Row],[Age]]&lt;=25, "Below 25", Table1[[#This Row],[Age]]&lt;=35, "Between 25-35", Table1[[#This Row],[Age]]&lt;=45, "Between 36-45", Table1[[#This Row],[Age]]&gt;45, "45+")</f>
        <v>Between 36-45</v>
      </c>
    </row>
    <row r="2893" spans="1:21" x14ac:dyDescent="0.3">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c r="T2893">
        <f>IF(Table1[[#This Row],[Discount_Applied]]="Yes", 1,0)</f>
        <v>0</v>
      </c>
      <c r="U2893" t="str">
        <f>_xlfn.IFS(Table1[[#This Row],[Age]]&lt;=25, "Below 25", Table1[[#This Row],[Age]]&lt;=35, "Between 25-35", Table1[[#This Row],[Age]]&lt;=45, "Between 36-45", Table1[[#This Row],[Age]]&gt;45, "45+")</f>
        <v>45+</v>
      </c>
    </row>
    <row r="2894" spans="1:21" x14ac:dyDescent="0.3">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c r="T2894">
        <f>IF(Table1[[#This Row],[Discount_Applied]]="Yes", 1,0)</f>
        <v>0</v>
      </c>
      <c r="U2894" t="str">
        <f>_xlfn.IFS(Table1[[#This Row],[Age]]&lt;=25, "Below 25", Table1[[#This Row],[Age]]&lt;=35, "Between 25-35", Table1[[#This Row],[Age]]&lt;=45, "Between 36-45", Table1[[#This Row],[Age]]&gt;45, "45+")</f>
        <v>Below 25</v>
      </c>
    </row>
    <row r="2895" spans="1:21" x14ac:dyDescent="0.3">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c r="T2895">
        <f>IF(Table1[[#This Row],[Discount_Applied]]="Yes", 1,0)</f>
        <v>0</v>
      </c>
      <c r="U2895" t="str">
        <f>_xlfn.IFS(Table1[[#This Row],[Age]]&lt;=25, "Below 25", Table1[[#This Row],[Age]]&lt;=35, "Between 25-35", Table1[[#This Row],[Age]]&lt;=45, "Between 36-45", Table1[[#This Row],[Age]]&gt;45, "45+")</f>
        <v>45+</v>
      </c>
    </row>
    <row r="2896" spans="1:21" x14ac:dyDescent="0.3">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c r="T2896">
        <f>IF(Table1[[#This Row],[Discount_Applied]]="Yes", 1,0)</f>
        <v>0</v>
      </c>
      <c r="U2896" t="str">
        <f>_xlfn.IFS(Table1[[#This Row],[Age]]&lt;=25, "Below 25", Table1[[#This Row],[Age]]&lt;=35, "Between 25-35", Table1[[#This Row],[Age]]&lt;=45, "Between 36-45", Table1[[#This Row],[Age]]&gt;45, "45+")</f>
        <v>Between 25-35</v>
      </c>
    </row>
    <row r="2897" spans="1:21" x14ac:dyDescent="0.3">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c r="T2897">
        <f>IF(Table1[[#This Row],[Discount_Applied]]="Yes", 1,0)</f>
        <v>0</v>
      </c>
      <c r="U2897" t="str">
        <f>_xlfn.IFS(Table1[[#This Row],[Age]]&lt;=25, "Below 25", Table1[[#This Row],[Age]]&lt;=35, "Between 25-35", Table1[[#This Row],[Age]]&lt;=45, "Between 36-45", Table1[[#This Row],[Age]]&gt;45, "45+")</f>
        <v>45+</v>
      </c>
    </row>
    <row r="2898" spans="1:21" x14ac:dyDescent="0.3">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c r="T2898">
        <f>IF(Table1[[#This Row],[Discount_Applied]]="Yes", 1,0)</f>
        <v>0</v>
      </c>
      <c r="U2898" t="str">
        <f>_xlfn.IFS(Table1[[#This Row],[Age]]&lt;=25, "Below 25", Table1[[#This Row],[Age]]&lt;=35, "Between 25-35", Table1[[#This Row],[Age]]&lt;=45, "Between 36-45", Table1[[#This Row],[Age]]&gt;45, "45+")</f>
        <v>Between 25-35</v>
      </c>
    </row>
    <row r="2899" spans="1:21" x14ac:dyDescent="0.3">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c r="T2899">
        <f>IF(Table1[[#This Row],[Discount_Applied]]="Yes", 1,0)</f>
        <v>0</v>
      </c>
      <c r="U2899" t="str">
        <f>_xlfn.IFS(Table1[[#This Row],[Age]]&lt;=25, "Below 25", Table1[[#This Row],[Age]]&lt;=35, "Between 25-35", Table1[[#This Row],[Age]]&lt;=45, "Between 36-45", Table1[[#This Row],[Age]]&gt;45, "45+")</f>
        <v>Between 36-45</v>
      </c>
    </row>
    <row r="2900" spans="1:21" x14ac:dyDescent="0.3">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c r="T2900">
        <f>IF(Table1[[#This Row],[Discount_Applied]]="Yes", 1,0)</f>
        <v>0</v>
      </c>
      <c r="U2900" t="str">
        <f>_xlfn.IFS(Table1[[#This Row],[Age]]&lt;=25, "Below 25", Table1[[#This Row],[Age]]&lt;=35, "Between 25-35", Table1[[#This Row],[Age]]&lt;=45, "Between 36-45", Table1[[#This Row],[Age]]&gt;45, "45+")</f>
        <v>Below 25</v>
      </c>
    </row>
    <row r="2901" spans="1:21" x14ac:dyDescent="0.3">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c r="T2901">
        <f>IF(Table1[[#This Row],[Discount_Applied]]="Yes", 1,0)</f>
        <v>0</v>
      </c>
      <c r="U2901" t="str">
        <f>_xlfn.IFS(Table1[[#This Row],[Age]]&lt;=25, "Below 25", Table1[[#This Row],[Age]]&lt;=35, "Between 25-35", Table1[[#This Row],[Age]]&lt;=45, "Between 36-45", Table1[[#This Row],[Age]]&gt;45, "45+")</f>
        <v>45+</v>
      </c>
    </row>
    <row r="2902" spans="1:21" x14ac:dyDescent="0.3">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c r="T2902">
        <f>IF(Table1[[#This Row],[Discount_Applied]]="Yes", 1,0)</f>
        <v>0</v>
      </c>
      <c r="U2902" t="str">
        <f>_xlfn.IFS(Table1[[#This Row],[Age]]&lt;=25, "Below 25", Table1[[#This Row],[Age]]&lt;=35, "Between 25-35", Table1[[#This Row],[Age]]&lt;=45, "Between 36-45", Table1[[#This Row],[Age]]&gt;45, "45+")</f>
        <v>Between 36-45</v>
      </c>
    </row>
    <row r="2903" spans="1:21" x14ac:dyDescent="0.3">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c r="T2903">
        <f>IF(Table1[[#This Row],[Discount_Applied]]="Yes", 1,0)</f>
        <v>0</v>
      </c>
      <c r="U2903" t="str">
        <f>_xlfn.IFS(Table1[[#This Row],[Age]]&lt;=25, "Below 25", Table1[[#This Row],[Age]]&lt;=35, "Between 25-35", Table1[[#This Row],[Age]]&lt;=45, "Between 36-45", Table1[[#This Row],[Age]]&gt;45, "45+")</f>
        <v>Between 36-45</v>
      </c>
    </row>
    <row r="2904" spans="1:21" x14ac:dyDescent="0.3">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c r="T2904">
        <f>IF(Table1[[#This Row],[Discount_Applied]]="Yes", 1,0)</f>
        <v>0</v>
      </c>
      <c r="U2904" t="str">
        <f>_xlfn.IFS(Table1[[#This Row],[Age]]&lt;=25, "Below 25", Table1[[#This Row],[Age]]&lt;=35, "Between 25-35", Table1[[#This Row],[Age]]&lt;=45, "Between 36-45", Table1[[#This Row],[Age]]&gt;45, "45+")</f>
        <v>Between 25-35</v>
      </c>
    </row>
    <row r="2905" spans="1:21" x14ac:dyDescent="0.3">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c r="T2905">
        <f>IF(Table1[[#This Row],[Discount_Applied]]="Yes", 1,0)</f>
        <v>0</v>
      </c>
      <c r="U2905" t="str">
        <f>_xlfn.IFS(Table1[[#This Row],[Age]]&lt;=25, "Below 25", Table1[[#This Row],[Age]]&lt;=35, "Between 25-35", Table1[[#This Row],[Age]]&lt;=45, "Between 36-45", Table1[[#This Row],[Age]]&gt;45, "45+")</f>
        <v>Between 36-45</v>
      </c>
    </row>
    <row r="2906" spans="1:21" x14ac:dyDescent="0.3">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c r="T2906">
        <f>IF(Table1[[#This Row],[Discount_Applied]]="Yes", 1,0)</f>
        <v>0</v>
      </c>
      <c r="U2906" t="str">
        <f>_xlfn.IFS(Table1[[#This Row],[Age]]&lt;=25, "Below 25", Table1[[#This Row],[Age]]&lt;=35, "Between 25-35", Table1[[#This Row],[Age]]&lt;=45, "Between 36-45", Table1[[#This Row],[Age]]&gt;45, "45+")</f>
        <v>Between 36-45</v>
      </c>
    </row>
    <row r="2907" spans="1:21" x14ac:dyDescent="0.3">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c r="T2907">
        <f>IF(Table1[[#This Row],[Discount_Applied]]="Yes", 1,0)</f>
        <v>0</v>
      </c>
      <c r="U2907" t="str">
        <f>_xlfn.IFS(Table1[[#This Row],[Age]]&lt;=25, "Below 25", Table1[[#This Row],[Age]]&lt;=35, "Between 25-35", Table1[[#This Row],[Age]]&lt;=45, "Between 36-45", Table1[[#This Row],[Age]]&gt;45, "45+")</f>
        <v>45+</v>
      </c>
    </row>
    <row r="2908" spans="1:21" x14ac:dyDescent="0.3">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c r="T2908">
        <f>IF(Table1[[#This Row],[Discount_Applied]]="Yes", 1,0)</f>
        <v>0</v>
      </c>
      <c r="U2908" t="str">
        <f>_xlfn.IFS(Table1[[#This Row],[Age]]&lt;=25, "Below 25", Table1[[#This Row],[Age]]&lt;=35, "Between 25-35", Table1[[#This Row],[Age]]&lt;=45, "Between 36-45", Table1[[#This Row],[Age]]&gt;45, "45+")</f>
        <v>45+</v>
      </c>
    </row>
    <row r="2909" spans="1:21" x14ac:dyDescent="0.3">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c r="T2909">
        <f>IF(Table1[[#This Row],[Discount_Applied]]="Yes", 1,0)</f>
        <v>0</v>
      </c>
      <c r="U2909" t="str">
        <f>_xlfn.IFS(Table1[[#This Row],[Age]]&lt;=25, "Below 25", Table1[[#This Row],[Age]]&lt;=35, "Between 25-35", Table1[[#This Row],[Age]]&lt;=45, "Between 36-45", Table1[[#This Row],[Age]]&gt;45, "45+")</f>
        <v>Below 25</v>
      </c>
    </row>
    <row r="2910" spans="1:21" x14ac:dyDescent="0.3">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c r="T2910">
        <f>IF(Table1[[#This Row],[Discount_Applied]]="Yes", 1,0)</f>
        <v>0</v>
      </c>
      <c r="U2910" t="str">
        <f>_xlfn.IFS(Table1[[#This Row],[Age]]&lt;=25, "Below 25", Table1[[#This Row],[Age]]&lt;=35, "Between 25-35", Table1[[#This Row],[Age]]&lt;=45, "Between 36-45", Table1[[#This Row],[Age]]&gt;45, "45+")</f>
        <v>Between 36-45</v>
      </c>
    </row>
    <row r="2911" spans="1:21" x14ac:dyDescent="0.3">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c r="T2911">
        <f>IF(Table1[[#This Row],[Discount_Applied]]="Yes", 1,0)</f>
        <v>0</v>
      </c>
      <c r="U2911" t="str">
        <f>_xlfn.IFS(Table1[[#This Row],[Age]]&lt;=25, "Below 25", Table1[[#This Row],[Age]]&lt;=35, "Between 25-35", Table1[[#This Row],[Age]]&lt;=45, "Between 36-45", Table1[[#This Row],[Age]]&gt;45, "45+")</f>
        <v>Between 25-35</v>
      </c>
    </row>
    <row r="2912" spans="1:21" x14ac:dyDescent="0.3">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c r="T2912">
        <f>IF(Table1[[#This Row],[Discount_Applied]]="Yes", 1,0)</f>
        <v>0</v>
      </c>
      <c r="U2912" t="str">
        <f>_xlfn.IFS(Table1[[#This Row],[Age]]&lt;=25, "Below 25", Table1[[#This Row],[Age]]&lt;=35, "Between 25-35", Table1[[#This Row],[Age]]&lt;=45, "Between 36-45", Table1[[#This Row],[Age]]&gt;45, "45+")</f>
        <v>Between 25-35</v>
      </c>
    </row>
    <row r="2913" spans="1:21" x14ac:dyDescent="0.3">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c r="T2913">
        <f>IF(Table1[[#This Row],[Discount_Applied]]="Yes", 1,0)</f>
        <v>0</v>
      </c>
      <c r="U2913" t="str">
        <f>_xlfn.IFS(Table1[[#This Row],[Age]]&lt;=25, "Below 25", Table1[[#This Row],[Age]]&lt;=35, "Between 25-35", Table1[[#This Row],[Age]]&lt;=45, "Between 36-45", Table1[[#This Row],[Age]]&gt;45, "45+")</f>
        <v>Between 25-35</v>
      </c>
    </row>
    <row r="2914" spans="1:21" x14ac:dyDescent="0.3">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c r="T2914">
        <f>IF(Table1[[#This Row],[Discount_Applied]]="Yes", 1,0)</f>
        <v>0</v>
      </c>
      <c r="U2914" t="str">
        <f>_xlfn.IFS(Table1[[#This Row],[Age]]&lt;=25, "Below 25", Table1[[#This Row],[Age]]&lt;=35, "Between 25-35", Table1[[#This Row],[Age]]&lt;=45, "Between 36-45", Table1[[#This Row],[Age]]&gt;45, "45+")</f>
        <v>45+</v>
      </c>
    </row>
    <row r="2915" spans="1:21" x14ac:dyDescent="0.3">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c r="T2915">
        <f>IF(Table1[[#This Row],[Discount_Applied]]="Yes", 1,0)</f>
        <v>0</v>
      </c>
      <c r="U2915" t="str">
        <f>_xlfn.IFS(Table1[[#This Row],[Age]]&lt;=25, "Below 25", Table1[[#This Row],[Age]]&lt;=35, "Between 25-35", Table1[[#This Row],[Age]]&lt;=45, "Between 36-45", Table1[[#This Row],[Age]]&gt;45, "45+")</f>
        <v>Between 36-45</v>
      </c>
    </row>
    <row r="2916" spans="1:21" x14ac:dyDescent="0.3">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c r="T2916">
        <f>IF(Table1[[#This Row],[Discount_Applied]]="Yes", 1,0)</f>
        <v>0</v>
      </c>
      <c r="U2916" t="str">
        <f>_xlfn.IFS(Table1[[#This Row],[Age]]&lt;=25, "Below 25", Table1[[#This Row],[Age]]&lt;=35, "Between 25-35", Table1[[#This Row],[Age]]&lt;=45, "Between 36-45", Table1[[#This Row],[Age]]&gt;45, "45+")</f>
        <v>Between 36-45</v>
      </c>
    </row>
    <row r="2917" spans="1:21" x14ac:dyDescent="0.3">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c r="T2917">
        <f>IF(Table1[[#This Row],[Discount_Applied]]="Yes", 1,0)</f>
        <v>0</v>
      </c>
      <c r="U2917" t="str">
        <f>_xlfn.IFS(Table1[[#This Row],[Age]]&lt;=25, "Below 25", Table1[[#This Row],[Age]]&lt;=35, "Between 25-35", Table1[[#This Row],[Age]]&lt;=45, "Between 36-45", Table1[[#This Row],[Age]]&gt;45, "45+")</f>
        <v>Between 25-35</v>
      </c>
    </row>
    <row r="2918" spans="1:21" x14ac:dyDescent="0.3">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c r="T2918">
        <f>IF(Table1[[#This Row],[Discount_Applied]]="Yes", 1,0)</f>
        <v>0</v>
      </c>
      <c r="U2918" t="str">
        <f>_xlfn.IFS(Table1[[#This Row],[Age]]&lt;=25, "Below 25", Table1[[#This Row],[Age]]&lt;=35, "Between 25-35", Table1[[#This Row],[Age]]&lt;=45, "Between 36-45", Table1[[#This Row],[Age]]&gt;45, "45+")</f>
        <v>45+</v>
      </c>
    </row>
    <row r="2919" spans="1:21" x14ac:dyDescent="0.3">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c r="T2919">
        <f>IF(Table1[[#This Row],[Discount_Applied]]="Yes", 1,0)</f>
        <v>0</v>
      </c>
      <c r="U2919" t="str">
        <f>_xlfn.IFS(Table1[[#This Row],[Age]]&lt;=25, "Below 25", Table1[[#This Row],[Age]]&lt;=35, "Between 25-35", Table1[[#This Row],[Age]]&lt;=45, "Between 36-45", Table1[[#This Row],[Age]]&gt;45, "45+")</f>
        <v>45+</v>
      </c>
    </row>
    <row r="2920" spans="1:21" x14ac:dyDescent="0.3">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c r="T2920">
        <f>IF(Table1[[#This Row],[Discount_Applied]]="Yes", 1,0)</f>
        <v>0</v>
      </c>
      <c r="U2920" t="str">
        <f>_xlfn.IFS(Table1[[#This Row],[Age]]&lt;=25, "Below 25", Table1[[#This Row],[Age]]&lt;=35, "Between 25-35", Table1[[#This Row],[Age]]&lt;=45, "Between 36-45", Table1[[#This Row],[Age]]&gt;45, "45+")</f>
        <v>Below 25</v>
      </c>
    </row>
    <row r="2921" spans="1:21" x14ac:dyDescent="0.3">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c r="T2921">
        <f>IF(Table1[[#This Row],[Discount_Applied]]="Yes", 1,0)</f>
        <v>0</v>
      </c>
      <c r="U2921" t="str">
        <f>_xlfn.IFS(Table1[[#This Row],[Age]]&lt;=25, "Below 25", Table1[[#This Row],[Age]]&lt;=35, "Between 25-35", Table1[[#This Row],[Age]]&lt;=45, "Between 36-45", Table1[[#This Row],[Age]]&gt;45, "45+")</f>
        <v>45+</v>
      </c>
    </row>
    <row r="2922" spans="1:21" x14ac:dyDescent="0.3">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c r="T2922">
        <f>IF(Table1[[#This Row],[Discount_Applied]]="Yes", 1,0)</f>
        <v>0</v>
      </c>
      <c r="U2922" t="str">
        <f>_xlfn.IFS(Table1[[#This Row],[Age]]&lt;=25, "Below 25", Table1[[#This Row],[Age]]&lt;=35, "Between 25-35", Table1[[#This Row],[Age]]&lt;=45, "Between 36-45", Table1[[#This Row],[Age]]&gt;45, "45+")</f>
        <v>Between 25-35</v>
      </c>
    </row>
    <row r="2923" spans="1:21" x14ac:dyDescent="0.3">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c r="T2923">
        <f>IF(Table1[[#This Row],[Discount_Applied]]="Yes", 1,0)</f>
        <v>0</v>
      </c>
      <c r="U2923" t="str">
        <f>_xlfn.IFS(Table1[[#This Row],[Age]]&lt;=25, "Below 25", Table1[[#This Row],[Age]]&lt;=35, "Between 25-35", Table1[[#This Row],[Age]]&lt;=45, "Between 36-45", Table1[[#This Row],[Age]]&gt;45, "45+")</f>
        <v>Below 25</v>
      </c>
    </row>
    <row r="2924" spans="1:21" x14ac:dyDescent="0.3">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c r="T2924">
        <f>IF(Table1[[#This Row],[Discount_Applied]]="Yes", 1,0)</f>
        <v>0</v>
      </c>
      <c r="U2924" t="str">
        <f>_xlfn.IFS(Table1[[#This Row],[Age]]&lt;=25, "Below 25", Table1[[#This Row],[Age]]&lt;=35, "Between 25-35", Table1[[#This Row],[Age]]&lt;=45, "Between 36-45", Table1[[#This Row],[Age]]&gt;45, "45+")</f>
        <v>Between 36-45</v>
      </c>
    </row>
    <row r="2925" spans="1:21" x14ac:dyDescent="0.3">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c r="T2925">
        <f>IF(Table1[[#This Row],[Discount_Applied]]="Yes", 1,0)</f>
        <v>0</v>
      </c>
      <c r="U2925" t="str">
        <f>_xlfn.IFS(Table1[[#This Row],[Age]]&lt;=25, "Below 25", Table1[[#This Row],[Age]]&lt;=35, "Between 25-35", Table1[[#This Row],[Age]]&lt;=45, "Between 36-45", Table1[[#This Row],[Age]]&gt;45, "45+")</f>
        <v>Between 25-35</v>
      </c>
    </row>
    <row r="2926" spans="1:21" x14ac:dyDescent="0.3">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c r="T2926">
        <f>IF(Table1[[#This Row],[Discount_Applied]]="Yes", 1,0)</f>
        <v>0</v>
      </c>
      <c r="U2926" t="str">
        <f>_xlfn.IFS(Table1[[#This Row],[Age]]&lt;=25, "Below 25", Table1[[#This Row],[Age]]&lt;=35, "Between 25-35", Table1[[#This Row],[Age]]&lt;=45, "Between 36-45", Table1[[#This Row],[Age]]&gt;45, "45+")</f>
        <v>45+</v>
      </c>
    </row>
    <row r="2927" spans="1:21" x14ac:dyDescent="0.3">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c r="T2927">
        <f>IF(Table1[[#This Row],[Discount_Applied]]="Yes", 1,0)</f>
        <v>0</v>
      </c>
      <c r="U2927" t="str">
        <f>_xlfn.IFS(Table1[[#This Row],[Age]]&lt;=25, "Below 25", Table1[[#This Row],[Age]]&lt;=35, "Between 25-35", Table1[[#This Row],[Age]]&lt;=45, "Between 36-45", Table1[[#This Row],[Age]]&gt;45, "45+")</f>
        <v>45+</v>
      </c>
    </row>
    <row r="2928" spans="1:21" x14ac:dyDescent="0.3">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c r="T2928">
        <f>IF(Table1[[#This Row],[Discount_Applied]]="Yes", 1,0)</f>
        <v>0</v>
      </c>
      <c r="U2928" t="str">
        <f>_xlfn.IFS(Table1[[#This Row],[Age]]&lt;=25, "Below 25", Table1[[#This Row],[Age]]&lt;=35, "Between 25-35", Table1[[#This Row],[Age]]&lt;=45, "Between 36-45", Table1[[#This Row],[Age]]&gt;45, "45+")</f>
        <v>45+</v>
      </c>
    </row>
    <row r="2929" spans="1:21" x14ac:dyDescent="0.3">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c r="T2929">
        <f>IF(Table1[[#This Row],[Discount_Applied]]="Yes", 1,0)</f>
        <v>0</v>
      </c>
      <c r="U2929" t="str">
        <f>_xlfn.IFS(Table1[[#This Row],[Age]]&lt;=25, "Below 25", Table1[[#This Row],[Age]]&lt;=35, "Between 25-35", Table1[[#This Row],[Age]]&lt;=45, "Between 36-45", Table1[[#This Row],[Age]]&gt;45, "45+")</f>
        <v>Between 36-45</v>
      </c>
    </row>
    <row r="2930" spans="1:21" x14ac:dyDescent="0.3">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c r="T2930">
        <f>IF(Table1[[#This Row],[Discount_Applied]]="Yes", 1,0)</f>
        <v>0</v>
      </c>
      <c r="U2930" t="str">
        <f>_xlfn.IFS(Table1[[#This Row],[Age]]&lt;=25, "Below 25", Table1[[#This Row],[Age]]&lt;=35, "Between 25-35", Table1[[#This Row],[Age]]&lt;=45, "Between 36-45", Table1[[#This Row],[Age]]&gt;45, "45+")</f>
        <v>Between 36-45</v>
      </c>
    </row>
    <row r="2931" spans="1:21" x14ac:dyDescent="0.3">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c r="T2931">
        <f>IF(Table1[[#This Row],[Discount_Applied]]="Yes", 1,0)</f>
        <v>0</v>
      </c>
      <c r="U2931" t="str">
        <f>_xlfn.IFS(Table1[[#This Row],[Age]]&lt;=25, "Below 25", Table1[[#This Row],[Age]]&lt;=35, "Between 25-35", Table1[[#This Row],[Age]]&lt;=45, "Between 36-45", Table1[[#This Row],[Age]]&gt;45, "45+")</f>
        <v>Between 25-35</v>
      </c>
    </row>
    <row r="2932" spans="1:21" x14ac:dyDescent="0.3">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c r="T2932">
        <f>IF(Table1[[#This Row],[Discount_Applied]]="Yes", 1,0)</f>
        <v>0</v>
      </c>
      <c r="U2932" t="str">
        <f>_xlfn.IFS(Table1[[#This Row],[Age]]&lt;=25, "Below 25", Table1[[#This Row],[Age]]&lt;=35, "Between 25-35", Table1[[#This Row],[Age]]&lt;=45, "Between 36-45", Table1[[#This Row],[Age]]&gt;45, "45+")</f>
        <v>Between 36-45</v>
      </c>
    </row>
    <row r="2933" spans="1:21" x14ac:dyDescent="0.3">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c r="T2933">
        <f>IF(Table1[[#This Row],[Discount_Applied]]="Yes", 1,0)</f>
        <v>0</v>
      </c>
      <c r="U2933" t="str">
        <f>_xlfn.IFS(Table1[[#This Row],[Age]]&lt;=25, "Below 25", Table1[[#This Row],[Age]]&lt;=35, "Between 25-35", Table1[[#This Row],[Age]]&lt;=45, "Between 36-45", Table1[[#This Row],[Age]]&gt;45, "45+")</f>
        <v>Between 36-45</v>
      </c>
    </row>
    <row r="2934" spans="1:21" x14ac:dyDescent="0.3">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c r="T2934">
        <f>IF(Table1[[#This Row],[Discount_Applied]]="Yes", 1,0)</f>
        <v>0</v>
      </c>
      <c r="U2934" t="str">
        <f>_xlfn.IFS(Table1[[#This Row],[Age]]&lt;=25, "Below 25", Table1[[#This Row],[Age]]&lt;=35, "Between 25-35", Table1[[#This Row],[Age]]&lt;=45, "Between 36-45", Table1[[#This Row],[Age]]&gt;45, "45+")</f>
        <v>45+</v>
      </c>
    </row>
    <row r="2935" spans="1:21" x14ac:dyDescent="0.3">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c r="T2935">
        <f>IF(Table1[[#This Row],[Discount_Applied]]="Yes", 1,0)</f>
        <v>0</v>
      </c>
      <c r="U2935" t="str">
        <f>_xlfn.IFS(Table1[[#This Row],[Age]]&lt;=25, "Below 25", Table1[[#This Row],[Age]]&lt;=35, "Between 25-35", Table1[[#This Row],[Age]]&lt;=45, "Between 36-45", Table1[[#This Row],[Age]]&gt;45, "45+")</f>
        <v>Between 25-35</v>
      </c>
    </row>
    <row r="2936" spans="1:21" x14ac:dyDescent="0.3">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c r="T2936">
        <f>IF(Table1[[#This Row],[Discount_Applied]]="Yes", 1,0)</f>
        <v>0</v>
      </c>
      <c r="U2936" t="str">
        <f>_xlfn.IFS(Table1[[#This Row],[Age]]&lt;=25, "Below 25", Table1[[#This Row],[Age]]&lt;=35, "Between 25-35", Table1[[#This Row],[Age]]&lt;=45, "Between 36-45", Table1[[#This Row],[Age]]&gt;45, "45+")</f>
        <v>Between 36-45</v>
      </c>
    </row>
    <row r="2937" spans="1:21" x14ac:dyDescent="0.3">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c r="T2937">
        <f>IF(Table1[[#This Row],[Discount_Applied]]="Yes", 1,0)</f>
        <v>0</v>
      </c>
      <c r="U2937" t="str">
        <f>_xlfn.IFS(Table1[[#This Row],[Age]]&lt;=25, "Below 25", Table1[[#This Row],[Age]]&lt;=35, "Between 25-35", Table1[[#This Row],[Age]]&lt;=45, "Between 36-45", Table1[[#This Row],[Age]]&gt;45, "45+")</f>
        <v>45+</v>
      </c>
    </row>
    <row r="2938" spans="1:21" x14ac:dyDescent="0.3">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c r="T2938">
        <f>IF(Table1[[#This Row],[Discount_Applied]]="Yes", 1,0)</f>
        <v>0</v>
      </c>
      <c r="U2938" t="str">
        <f>_xlfn.IFS(Table1[[#This Row],[Age]]&lt;=25, "Below 25", Table1[[#This Row],[Age]]&lt;=35, "Between 25-35", Table1[[#This Row],[Age]]&lt;=45, "Between 36-45", Table1[[#This Row],[Age]]&gt;45, "45+")</f>
        <v>Between 25-35</v>
      </c>
    </row>
    <row r="2939" spans="1:21" x14ac:dyDescent="0.3">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c r="T2939">
        <f>IF(Table1[[#This Row],[Discount_Applied]]="Yes", 1,0)</f>
        <v>0</v>
      </c>
      <c r="U2939" t="str">
        <f>_xlfn.IFS(Table1[[#This Row],[Age]]&lt;=25, "Below 25", Table1[[#This Row],[Age]]&lt;=35, "Between 25-35", Table1[[#This Row],[Age]]&lt;=45, "Between 36-45", Table1[[#This Row],[Age]]&gt;45, "45+")</f>
        <v>Between 25-35</v>
      </c>
    </row>
    <row r="2940" spans="1:21" x14ac:dyDescent="0.3">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c r="T2940">
        <f>IF(Table1[[#This Row],[Discount_Applied]]="Yes", 1,0)</f>
        <v>0</v>
      </c>
      <c r="U2940" t="str">
        <f>_xlfn.IFS(Table1[[#This Row],[Age]]&lt;=25, "Below 25", Table1[[#This Row],[Age]]&lt;=35, "Between 25-35", Table1[[#This Row],[Age]]&lt;=45, "Between 36-45", Table1[[#This Row],[Age]]&gt;45, "45+")</f>
        <v>Between 25-35</v>
      </c>
    </row>
    <row r="2941" spans="1:21" x14ac:dyDescent="0.3">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c r="T2941">
        <f>IF(Table1[[#This Row],[Discount_Applied]]="Yes", 1,0)</f>
        <v>0</v>
      </c>
      <c r="U2941" t="str">
        <f>_xlfn.IFS(Table1[[#This Row],[Age]]&lt;=25, "Below 25", Table1[[#This Row],[Age]]&lt;=35, "Between 25-35", Table1[[#This Row],[Age]]&lt;=45, "Between 36-45", Table1[[#This Row],[Age]]&gt;45, "45+")</f>
        <v>Between 25-35</v>
      </c>
    </row>
    <row r="2942" spans="1:21" x14ac:dyDescent="0.3">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c r="T2942">
        <f>IF(Table1[[#This Row],[Discount_Applied]]="Yes", 1,0)</f>
        <v>0</v>
      </c>
      <c r="U2942" t="str">
        <f>_xlfn.IFS(Table1[[#This Row],[Age]]&lt;=25, "Below 25", Table1[[#This Row],[Age]]&lt;=35, "Between 25-35", Table1[[#This Row],[Age]]&lt;=45, "Between 36-45", Table1[[#This Row],[Age]]&gt;45, "45+")</f>
        <v>45+</v>
      </c>
    </row>
    <row r="2943" spans="1:21" x14ac:dyDescent="0.3">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c r="T2943">
        <f>IF(Table1[[#This Row],[Discount_Applied]]="Yes", 1,0)</f>
        <v>0</v>
      </c>
      <c r="U2943" t="str">
        <f>_xlfn.IFS(Table1[[#This Row],[Age]]&lt;=25, "Below 25", Table1[[#This Row],[Age]]&lt;=35, "Between 25-35", Table1[[#This Row],[Age]]&lt;=45, "Between 36-45", Table1[[#This Row],[Age]]&gt;45, "45+")</f>
        <v>Between 36-45</v>
      </c>
    </row>
    <row r="2944" spans="1:21" x14ac:dyDescent="0.3">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c r="T2944">
        <f>IF(Table1[[#This Row],[Discount_Applied]]="Yes", 1,0)</f>
        <v>0</v>
      </c>
      <c r="U2944" t="str">
        <f>_xlfn.IFS(Table1[[#This Row],[Age]]&lt;=25, "Below 25", Table1[[#This Row],[Age]]&lt;=35, "Between 25-35", Table1[[#This Row],[Age]]&lt;=45, "Between 36-45", Table1[[#This Row],[Age]]&gt;45, "45+")</f>
        <v>45+</v>
      </c>
    </row>
    <row r="2945" spans="1:21" x14ac:dyDescent="0.3">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c r="T2945">
        <f>IF(Table1[[#This Row],[Discount_Applied]]="Yes", 1,0)</f>
        <v>0</v>
      </c>
      <c r="U2945" t="str">
        <f>_xlfn.IFS(Table1[[#This Row],[Age]]&lt;=25, "Below 25", Table1[[#This Row],[Age]]&lt;=35, "Between 25-35", Table1[[#This Row],[Age]]&lt;=45, "Between 36-45", Table1[[#This Row],[Age]]&gt;45, "45+")</f>
        <v>Between 25-35</v>
      </c>
    </row>
    <row r="2946" spans="1:21" x14ac:dyDescent="0.3">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c r="T2946">
        <f>IF(Table1[[#This Row],[Discount_Applied]]="Yes", 1,0)</f>
        <v>0</v>
      </c>
      <c r="U2946" t="str">
        <f>_xlfn.IFS(Table1[[#This Row],[Age]]&lt;=25, "Below 25", Table1[[#This Row],[Age]]&lt;=35, "Between 25-35", Table1[[#This Row],[Age]]&lt;=45, "Between 36-45", Table1[[#This Row],[Age]]&gt;45, "45+")</f>
        <v>45+</v>
      </c>
    </row>
    <row r="2947" spans="1:21" x14ac:dyDescent="0.3">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c r="T2947">
        <f>IF(Table1[[#This Row],[Discount_Applied]]="Yes", 1,0)</f>
        <v>0</v>
      </c>
      <c r="U2947" t="str">
        <f>_xlfn.IFS(Table1[[#This Row],[Age]]&lt;=25, "Below 25", Table1[[#This Row],[Age]]&lt;=35, "Between 25-35", Table1[[#This Row],[Age]]&lt;=45, "Between 36-45", Table1[[#This Row],[Age]]&gt;45, "45+")</f>
        <v>Between 25-35</v>
      </c>
    </row>
    <row r="2948" spans="1:21" x14ac:dyDescent="0.3">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c r="T2948">
        <f>IF(Table1[[#This Row],[Discount_Applied]]="Yes", 1,0)</f>
        <v>0</v>
      </c>
      <c r="U2948" t="str">
        <f>_xlfn.IFS(Table1[[#This Row],[Age]]&lt;=25, "Below 25", Table1[[#This Row],[Age]]&lt;=35, "Between 25-35", Table1[[#This Row],[Age]]&lt;=45, "Between 36-45", Table1[[#This Row],[Age]]&gt;45, "45+")</f>
        <v>Between 36-45</v>
      </c>
    </row>
    <row r="2949" spans="1:21" x14ac:dyDescent="0.3">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c r="T2949">
        <f>IF(Table1[[#This Row],[Discount_Applied]]="Yes", 1,0)</f>
        <v>0</v>
      </c>
      <c r="U2949" t="str">
        <f>_xlfn.IFS(Table1[[#This Row],[Age]]&lt;=25, "Below 25", Table1[[#This Row],[Age]]&lt;=35, "Between 25-35", Table1[[#This Row],[Age]]&lt;=45, "Between 36-45", Table1[[#This Row],[Age]]&gt;45, "45+")</f>
        <v>45+</v>
      </c>
    </row>
    <row r="2950" spans="1:21" x14ac:dyDescent="0.3">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c r="T2950">
        <f>IF(Table1[[#This Row],[Discount_Applied]]="Yes", 1,0)</f>
        <v>0</v>
      </c>
      <c r="U2950" t="str">
        <f>_xlfn.IFS(Table1[[#This Row],[Age]]&lt;=25, "Below 25", Table1[[#This Row],[Age]]&lt;=35, "Between 25-35", Table1[[#This Row],[Age]]&lt;=45, "Between 36-45", Table1[[#This Row],[Age]]&gt;45, "45+")</f>
        <v>45+</v>
      </c>
    </row>
    <row r="2951" spans="1:21" x14ac:dyDescent="0.3">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c r="T2951">
        <f>IF(Table1[[#This Row],[Discount_Applied]]="Yes", 1,0)</f>
        <v>0</v>
      </c>
      <c r="U2951" t="str">
        <f>_xlfn.IFS(Table1[[#This Row],[Age]]&lt;=25, "Below 25", Table1[[#This Row],[Age]]&lt;=35, "Between 25-35", Table1[[#This Row],[Age]]&lt;=45, "Between 36-45", Table1[[#This Row],[Age]]&gt;45, "45+")</f>
        <v>Below 25</v>
      </c>
    </row>
    <row r="2952" spans="1:21" x14ac:dyDescent="0.3">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c r="T2952">
        <f>IF(Table1[[#This Row],[Discount_Applied]]="Yes", 1,0)</f>
        <v>0</v>
      </c>
      <c r="U2952" t="str">
        <f>_xlfn.IFS(Table1[[#This Row],[Age]]&lt;=25, "Below 25", Table1[[#This Row],[Age]]&lt;=35, "Between 25-35", Table1[[#This Row],[Age]]&lt;=45, "Between 36-45", Table1[[#This Row],[Age]]&gt;45, "45+")</f>
        <v>Below 25</v>
      </c>
    </row>
    <row r="2953" spans="1:21" x14ac:dyDescent="0.3">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c r="T2953">
        <f>IF(Table1[[#This Row],[Discount_Applied]]="Yes", 1,0)</f>
        <v>0</v>
      </c>
      <c r="U2953" t="str">
        <f>_xlfn.IFS(Table1[[#This Row],[Age]]&lt;=25, "Below 25", Table1[[#This Row],[Age]]&lt;=35, "Between 25-35", Table1[[#This Row],[Age]]&lt;=45, "Between 36-45", Table1[[#This Row],[Age]]&gt;45, "45+")</f>
        <v>45+</v>
      </c>
    </row>
    <row r="2954" spans="1:21" x14ac:dyDescent="0.3">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c r="T2954">
        <f>IF(Table1[[#This Row],[Discount_Applied]]="Yes", 1,0)</f>
        <v>0</v>
      </c>
      <c r="U2954" t="str">
        <f>_xlfn.IFS(Table1[[#This Row],[Age]]&lt;=25, "Below 25", Table1[[#This Row],[Age]]&lt;=35, "Between 25-35", Table1[[#This Row],[Age]]&lt;=45, "Between 36-45", Table1[[#This Row],[Age]]&gt;45, "45+")</f>
        <v>45+</v>
      </c>
    </row>
    <row r="2955" spans="1:21" x14ac:dyDescent="0.3">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c r="T2955">
        <f>IF(Table1[[#This Row],[Discount_Applied]]="Yes", 1,0)</f>
        <v>0</v>
      </c>
      <c r="U2955" t="str">
        <f>_xlfn.IFS(Table1[[#This Row],[Age]]&lt;=25, "Below 25", Table1[[#This Row],[Age]]&lt;=35, "Between 25-35", Table1[[#This Row],[Age]]&lt;=45, "Between 36-45", Table1[[#This Row],[Age]]&gt;45, "45+")</f>
        <v>Between 36-45</v>
      </c>
    </row>
    <row r="2956" spans="1:21" x14ac:dyDescent="0.3">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c r="T2956">
        <f>IF(Table1[[#This Row],[Discount_Applied]]="Yes", 1,0)</f>
        <v>0</v>
      </c>
      <c r="U2956" t="str">
        <f>_xlfn.IFS(Table1[[#This Row],[Age]]&lt;=25, "Below 25", Table1[[#This Row],[Age]]&lt;=35, "Between 25-35", Table1[[#This Row],[Age]]&lt;=45, "Between 36-45", Table1[[#This Row],[Age]]&gt;45, "45+")</f>
        <v>Between 25-35</v>
      </c>
    </row>
    <row r="2957" spans="1:21" x14ac:dyDescent="0.3">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c r="T2957">
        <f>IF(Table1[[#This Row],[Discount_Applied]]="Yes", 1,0)</f>
        <v>0</v>
      </c>
      <c r="U2957" t="str">
        <f>_xlfn.IFS(Table1[[#This Row],[Age]]&lt;=25, "Below 25", Table1[[#This Row],[Age]]&lt;=35, "Between 25-35", Table1[[#This Row],[Age]]&lt;=45, "Between 36-45", Table1[[#This Row],[Age]]&gt;45, "45+")</f>
        <v>Between 36-45</v>
      </c>
    </row>
    <row r="2958" spans="1:21" x14ac:dyDescent="0.3">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c r="T2958">
        <f>IF(Table1[[#This Row],[Discount_Applied]]="Yes", 1,0)</f>
        <v>0</v>
      </c>
      <c r="U2958" t="str">
        <f>_xlfn.IFS(Table1[[#This Row],[Age]]&lt;=25, "Below 25", Table1[[#This Row],[Age]]&lt;=35, "Between 25-35", Table1[[#This Row],[Age]]&lt;=45, "Between 36-45", Table1[[#This Row],[Age]]&gt;45, "45+")</f>
        <v>45+</v>
      </c>
    </row>
    <row r="2959" spans="1:21" x14ac:dyDescent="0.3">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c r="T2959">
        <f>IF(Table1[[#This Row],[Discount_Applied]]="Yes", 1,0)</f>
        <v>0</v>
      </c>
      <c r="U2959" t="str">
        <f>_xlfn.IFS(Table1[[#This Row],[Age]]&lt;=25, "Below 25", Table1[[#This Row],[Age]]&lt;=35, "Between 25-35", Table1[[#This Row],[Age]]&lt;=45, "Between 36-45", Table1[[#This Row],[Age]]&gt;45, "45+")</f>
        <v>45+</v>
      </c>
    </row>
    <row r="2960" spans="1:21" x14ac:dyDescent="0.3">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c r="T2960">
        <f>IF(Table1[[#This Row],[Discount_Applied]]="Yes", 1,0)</f>
        <v>0</v>
      </c>
      <c r="U2960" t="str">
        <f>_xlfn.IFS(Table1[[#This Row],[Age]]&lt;=25, "Below 25", Table1[[#This Row],[Age]]&lt;=35, "Between 25-35", Table1[[#This Row],[Age]]&lt;=45, "Between 36-45", Table1[[#This Row],[Age]]&gt;45, "45+")</f>
        <v>45+</v>
      </c>
    </row>
    <row r="2961" spans="1:21" x14ac:dyDescent="0.3">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c r="T2961">
        <f>IF(Table1[[#This Row],[Discount_Applied]]="Yes", 1,0)</f>
        <v>0</v>
      </c>
      <c r="U2961" t="str">
        <f>_xlfn.IFS(Table1[[#This Row],[Age]]&lt;=25, "Below 25", Table1[[#This Row],[Age]]&lt;=35, "Between 25-35", Table1[[#This Row],[Age]]&lt;=45, "Between 36-45", Table1[[#This Row],[Age]]&gt;45, "45+")</f>
        <v>Between 36-45</v>
      </c>
    </row>
    <row r="2962" spans="1:21" x14ac:dyDescent="0.3">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c r="T2962">
        <f>IF(Table1[[#This Row],[Discount_Applied]]="Yes", 1,0)</f>
        <v>0</v>
      </c>
      <c r="U2962" t="str">
        <f>_xlfn.IFS(Table1[[#This Row],[Age]]&lt;=25, "Below 25", Table1[[#This Row],[Age]]&lt;=35, "Between 25-35", Table1[[#This Row],[Age]]&lt;=45, "Between 36-45", Table1[[#This Row],[Age]]&gt;45, "45+")</f>
        <v>45+</v>
      </c>
    </row>
    <row r="2963" spans="1:21" x14ac:dyDescent="0.3">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c r="T2963">
        <f>IF(Table1[[#This Row],[Discount_Applied]]="Yes", 1,0)</f>
        <v>0</v>
      </c>
      <c r="U2963" t="str">
        <f>_xlfn.IFS(Table1[[#This Row],[Age]]&lt;=25, "Below 25", Table1[[#This Row],[Age]]&lt;=35, "Between 25-35", Table1[[#This Row],[Age]]&lt;=45, "Between 36-45", Table1[[#This Row],[Age]]&gt;45, "45+")</f>
        <v>Between 25-35</v>
      </c>
    </row>
    <row r="2964" spans="1:21" x14ac:dyDescent="0.3">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c r="T2964">
        <f>IF(Table1[[#This Row],[Discount_Applied]]="Yes", 1,0)</f>
        <v>0</v>
      </c>
      <c r="U2964" t="str">
        <f>_xlfn.IFS(Table1[[#This Row],[Age]]&lt;=25, "Below 25", Table1[[#This Row],[Age]]&lt;=35, "Between 25-35", Table1[[#This Row],[Age]]&lt;=45, "Between 36-45", Table1[[#This Row],[Age]]&gt;45, "45+")</f>
        <v>45+</v>
      </c>
    </row>
    <row r="2965" spans="1:21" x14ac:dyDescent="0.3">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c r="T2965">
        <f>IF(Table1[[#This Row],[Discount_Applied]]="Yes", 1,0)</f>
        <v>0</v>
      </c>
      <c r="U2965" t="str">
        <f>_xlfn.IFS(Table1[[#This Row],[Age]]&lt;=25, "Below 25", Table1[[#This Row],[Age]]&lt;=35, "Between 25-35", Table1[[#This Row],[Age]]&lt;=45, "Between 36-45", Table1[[#This Row],[Age]]&gt;45, "45+")</f>
        <v>45+</v>
      </c>
    </row>
    <row r="2966" spans="1:21" x14ac:dyDescent="0.3">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c r="T2966">
        <f>IF(Table1[[#This Row],[Discount_Applied]]="Yes", 1,0)</f>
        <v>0</v>
      </c>
      <c r="U2966" t="str">
        <f>_xlfn.IFS(Table1[[#This Row],[Age]]&lt;=25, "Below 25", Table1[[#This Row],[Age]]&lt;=35, "Between 25-35", Table1[[#This Row],[Age]]&lt;=45, "Between 36-45", Table1[[#This Row],[Age]]&gt;45, "45+")</f>
        <v>Between 36-45</v>
      </c>
    </row>
    <row r="2967" spans="1:21" x14ac:dyDescent="0.3">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c r="T2967">
        <f>IF(Table1[[#This Row],[Discount_Applied]]="Yes", 1,0)</f>
        <v>0</v>
      </c>
      <c r="U2967" t="str">
        <f>_xlfn.IFS(Table1[[#This Row],[Age]]&lt;=25, "Below 25", Table1[[#This Row],[Age]]&lt;=35, "Between 25-35", Table1[[#This Row],[Age]]&lt;=45, "Between 36-45", Table1[[#This Row],[Age]]&gt;45, "45+")</f>
        <v>45+</v>
      </c>
    </row>
    <row r="2968" spans="1:21" x14ac:dyDescent="0.3">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c r="T2968">
        <f>IF(Table1[[#This Row],[Discount_Applied]]="Yes", 1,0)</f>
        <v>0</v>
      </c>
      <c r="U2968" t="str">
        <f>_xlfn.IFS(Table1[[#This Row],[Age]]&lt;=25, "Below 25", Table1[[#This Row],[Age]]&lt;=35, "Between 25-35", Table1[[#This Row],[Age]]&lt;=45, "Between 36-45", Table1[[#This Row],[Age]]&gt;45, "45+")</f>
        <v>45+</v>
      </c>
    </row>
    <row r="2969" spans="1:21" x14ac:dyDescent="0.3">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c r="T2969">
        <f>IF(Table1[[#This Row],[Discount_Applied]]="Yes", 1,0)</f>
        <v>0</v>
      </c>
      <c r="U2969" t="str">
        <f>_xlfn.IFS(Table1[[#This Row],[Age]]&lt;=25, "Below 25", Table1[[#This Row],[Age]]&lt;=35, "Between 25-35", Table1[[#This Row],[Age]]&lt;=45, "Between 36-45", Table1[[#This Row],[Age]]&gt;45, "45+")</f>
        <v>Between 25-35</v>
      </c>
    </row>
    <row r="2970" spans="1:21" x14ac:dyDescent="0.3">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c r="T2970">
        <f>IF(Table1[[#This Row],[Discount_Applied]]="Yes", 1,0)</f>
        <v>0</v>
      </c>
      <c r="U2970" t="str">
        <f>_xlfn.IFS(Table1[[#This Row],[Age]]&lt;=25, "Below 25", Table1[[#This Row],[Age]]&lt;=35, "Between 25-35", Table1[[#This Row],[Age]]&lt;=45, "Between 36-45", Table1[[#This Row],[Age]]&gt;45, "45+")</f>
        <v>Between 25-35</v>
      </c>
    </row>
    <row r="2971" spans="1:21" x14ac:dyDescent="0.3">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c r="T2971">
        <f>IF(Table1[[#This Row],[Discount_Applied]]="Yes", 1,0)</f>
        <v>0</v>
      </c>
      <c r="U2971" t="str">
        <f>_xlfn.IFS(Table1[[#This Row],[Age]]&lt;=25, "Below 25", Table1[[#This Row],[Age]]&lt;=35, "Between 25-35", Table1[[#This Row],[Age]]&lt;=45, "Between 36-45", Table1[[#This Row],[Age]]&gt;45, "45+")</f>
        <v>Between 36-45</v>
      </c>
    </row>
    <row r="2972" spans="1:21" x14ac:dyDescent="0.3">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c r="T2972">
        <f>IF(Table1[[#This Row],[Discount_Applied]]="Yes", 1,0)</f>
        <v>0</v>
      </c>
      <c r="U2972" t="str">
        <f>_xlfn.IFS(Table1[[#This Row],[Age]]&lt;=25, "Below 25", Table1[[#This Row],[Age]]&lt;=35, "Between 25-35", Table1[[#This Row],[Age]]&lt;=45, "Between 36-45", Table1[[#This Row],[Age]]&gt;45, "45+")</f>
        <v>Below 25</v>
      </c>
    </row>
    <row r="2973" spans="1:21" x14ac:dyDescent="0.3">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c r="T2973">
        <f>IF(Table1[[#This Row],[Discount_Applied]]="Yes", 1,0)</f>
        <v>0</v>
      </c>
      <c r="U2973" t="str">
        <f>_xlfn.IFS(Table1[[#This Row],[Age]]&lt;=25, "Below 25", Table1[[#This Row],[Age]]&lt;=35, "Between 25-35", Table1[[#This Row],[Age]]&lt;=45, "Between 36-45", Table1[[#This Row],[Age]]&gt;45, "45+")</f>
        <v>Between 25-35</v>
      </c>
    </row>
    <row r="2974" spans="1:21" x14ac:dyDescent="0.3">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c r="T2974">
        <f>IF(Table1[[#This Row],[Discount_Applied]]="Yes", 1,0)</f>
        <v>0</v>
      </c>
      <c r="U2974" t="str">
        <f>_xlfn.IFS(Table1[[#This Row],[Age]]&lt;=25, "Below 25", Table1[[#This Row],[Age]]&lt;=35, "Between 25-35", Table1[[#This Row],[Age]]&lt;=45, "Between 36-45", Table1[[#This Row],[Age]]&gt;45, "45+")</f>
        <v>Between 25-35</v>
      </c>
    </row>
    <row r="2975" spans="1:21" x14ac:dyDescent="0.3">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c r="T2975">
        <f>IF(Table1[[#This Row],[Discount_Applied]]="Yes", 1,0)</f>
        <v>0</v>
      </c>
      <c r="U2975" t="str">
        <f>_xlfn.IFS(Table1[[#This Row],[Age]]&lt;=25, "Below 25", Table1[[#This Row],[Age]]&lt;=35, "Between 25-35", Table1[[#This Row],[Age]]&lt;=45, "Between 36-45", Table1[[#This Row],[Age]]&gt;45, "45+")</f>
        <v>Below 25</v>
      </c>
    </row>
    <row r="2976" spans="1:21" x14ac:dyDescent="0.3">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c r="T2976">
        <f>IF(Table1[[#This Row],[Discount_Applied]]="Yes", 1,0)</f>
        <v>0</v>
      </c>
      <c r="U2976" t="str">
        <f>_xlfn.IFS(Table1[[#This Row],[Age]]&lt;=25, "Below 25", Table1[[#This Row],[Age]]&lt;=35, "Between 25-35", Table1[[#This Row],[Age]]&lt;=45, "Between 36-45", Table1[[#This Row],[Age]]&gt;45, "45+")</f>
        <v>45+</v>
      </c>
    </row>
    <row r="2977" spans="1:21" x14ac:dyDescent="0.3">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c r="T2977">
        <f>IF(Table1[[#This Row],[Discount_Applied]]="Yes", 1,0)</f>
        <v>0</v>
      </c>
      <c r="U2977" t="str">
        <f>_xlfn.IFS(Table1[[#This Row],[Age]]&lt;=25, "Below 25", Table1[[#This Row],[Age]]&lt;=35, "Between 25-35", Table1[[#This Row],[Age]]&lt;=45, "Between 36-45", Table1[[#This Row],[Age]]&gt;45, "45+")</f>
        <v>45+</v>
      </c>
    </row>
    <row r="2978" spans="1:21" x14ac:dyDescent="0.3">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c r="T2978">
        <f>IF(Table1[[#This Row],[Discount_Applied]]="Yes", 1,0)</f>
        <v>0</v>
      </c>
      <c r="U2978" t="str">
        <f>_xlfn.IFS(Table1[[#This Row],[Age]]&lt;=25, "Below 25", Table1[[#This Row],[Age]]&lt;=35, "Between 25-35", Table1[[#This Row],[Age]]&lt;=45, "Between 36-45", Table1[[#This Row],[Age]]&gt;45, "45+")</f>
        <v>Between 25-35</v>
      </c>
    </row>
    <row r="2979" spans="1:21" x14ac:dyDescent="0.3">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c r="T2979">
        <f>IF(Table1[[#This Row],[Discount_Applied]]="Yes", 1,0)</f>
        <v>0</v>
      </c>
      <c r="U2979" t="str">
        <f>_xlfn.IFS(Table1[[#This Row],[Age]]&lt;=25, "Below 25", Table1[[#This Row],[Age]]&lt;=35, "Between 25-35", Table1[[#This Row],[Age]]&lt;=45, "Between 36-45", Table1[[#This Row],[Age]]&gt;45, "45+")</f>
        <v>Between 36-45</v>
      </c>
    </row>
    <row r="2980" spans="1:21" x14ac:dyDescent="0.3">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c r="T2980">
        <f>IF(Table1[[#This Row],[Discount_Applied]]="Yes", 1,0)</f>
        <v>0</v>
      </c>
      <c r="U2980" t="str">
        <f>_xlfn.IFS(Table1[[#This Row],[Age]]&lt;=25, "Below 25", Table1[[#This Row],[Age]]&lt;=35, "Between 25-35", Table1[[#This Row],[Age]]&lt;=45, "Between 36-45", Table1[[#This Row],[Age]]&gt;45, "45+")</f>
        <v>45+</v>
      </c>
    </row>
    <row r="2981" spans="1:21" x14ac:dyDescent="0.3">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c r="T2981">
        <f>IF(Table1[[#This Row],[Discount_Applied]]="Yes", 1,0)</f>
        <v>0</v>
      </c>
      <c r="U2981" t="str">
        <f>_xlfn.IFS(Table1[[#This Row],[Age]]&lt;=25, "Below 25", Table1[[#This Row],[Age]]&lt;=35, "Between 25-35", Table1[[#This Row],[Age]]&lt;=45, "Between 36-45", Table1[[#This Row],[Age]]&gt;45, "45+")</f>
        <v>Between 25-35</v>
      </c>
    </row>
    <row r="2982" spans="1:21" x14ac:dyDescent="0.3">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c r="T2982">
        <f>IF(Table1[[#This Row],[Discount_Applied]]="Yes", 1,0)</f>
        <v>0</v>
      </c>
      <c r="U2982" t="str">
        <f>_xlfn.IFS(Table1[[#This Row],[Age]]&lt;=25, "Below 25", Table1[[#This Row],[Age]]&lt;=35, "Between 25-35", Table1[[#This Row],[Age]]&lt;=45, "Between 36-45", Table1[[#This Row],[Age]]&gt;45, "45+")</f>
        <v>45+</v>
      </c>
    </row>
    <row r="2983" spans="1:21" x14ac:dyDescent="0.3">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c r="T2983">
        <f>IF(Table1[[#This Row],[Discount_Applied]]="Yes", 1,0)</f>
        <v>0</v>
      </c>
      <c r="U2983" t="str">
        <f>_xlfn.IFS(Table1[[#This Row],[Age]]&lt;=25, "Below 25", Table1[[#This Row],[Age]]&lt;=35, "Between 25-35", Table1[[#This Row],[Age]]&lt;=45, "Between 36-45", Table1[[#This Row],[Age]]&gt;45, "45+")</f>
        <v>Below 25</v>
      </c>
    </row>
    <row r="2984" spans="1:21" x14ac:dyDescent="0.3">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c r="T2984">
        <f>IF(Table1[[#This Row],[Discount_Applied]]="Yes", 1,0)</f>
        <v>0</v>
      </c>
      <c r="U2984" t="str">
        <f>_xlfn.IFS(Table1[[#This Row],[Age]]&lt;=25, "Below 25", Table1[[#This Row],[Age]]&lt;=35, "Between 25-35", Table1[[#This Row],[Age]]&lt;=45, "Between 36-45", Table1[[#This Row],[Age]]&gt;45, "45+")</f>
        <v>Between 25-35</v>
      </c>
    </row>
    <row r="2985" spans="1:21" x14ac:dyDescent="0.3">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c r="T2985">
        <f>IF(Table1[[#This Row],[Discount_Applied]]="Yes", 1,0)</f>
        <v>0</v>
      </c>
      <c r="U2985" t="str">
        <f>_xlfn.IFS(Table1[[#This Row],[Age]]&lt;=25, "Below 25", Table1[[#This Row],[Age]]&lt;=35, "Between 25-35", Table1[[#This Row],[Age]]&lt;=45, "Between 36-45", Table1[[#This Row],[Age]]&gt;45, "45+")</f>
        <v>45+</v>
      </c>
    </row>
    <row r="2986" spans="1:21" x14ac:dyDescent="0.3">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c r="T2986">
        <f>IF(Table1[[#This Row],[Discount_Applied]]="Yes", 1,0)</f>
        <v>0</v>
      </c>
      <c r="U2986" t="str">
        <f>_xlfn.IFS(Table1[[#This Row],[Age]]&lt;=25, "Below 25", Table1[[#This Row],[Age]]&lt;=35, "Between 25-35", Table1[[#This Row],[Age]]&lt;=45, "Between 36-45", Table1[[#This Row],[Age]]&gt;45, "45+")</f>
        <v>Between 36-45</v>
      </c>
    </row>
    <row r="2987" spans="1:21" x14ac:dyDescent="0.3">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c r="T2987">
        <f>IF(Table1[[#This Row],[Discount_Applied]]="Yes", 1,0)</f>
        <v>0</v>
      </c>
      <c r="U2987" t="str">
        <f>_xlfn.IFS(Table1[[#This Row],[Age]]&lt;=25, "Below 25", Table1[[#This Row],[Age]]&lt;=35, "Between 25-35", Table1[[#This Row],[Age]]&lt;=45, "Between 36-45", Table1[[#This Row],[Age]]&gt;45, "45+")</f>
        <v>45+</v>
      </c>
    </row>
    <row r="2988" spans="1:21" x14ac:dyDescent="0.3">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c r="T2988">
        <f>IF(Table1[[#This Row],[Discount_Applied]]="Yes", 1,0)</f>
        <v>0</v>
      </c>
      <c r="U2988" t="str">
        <f>_xlfn.IFS(Table1[[#This Row],[Age]]&lt;=25, "Below 25", Table1[[#This Row],[Age]]&lt;=35, "Between 25-35", Table1[[#This Row],[Age]]&lt;=45, "Between 36-45", Table1[[#This Row],[Age]]&gt;45, "45+")</f>
        <v>45+</v>
      </c>
    </row>
    <row r="2989" spans="1:21" x14ac:dyDescent="0.3">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c r="T2989">
        <f>IF(Table1[[#This Row],[Discount_Applied]]="Yes", 1,0)</f>
        <v>0</v>
      </c>
      <c r="U2989" t="str">
        <f>_xlfn.IFS(Table1[[#This Row],[Age]]&lt;=25, "Below 25", Table1[[#This Row],[Age]]&lt;=35, "Between 25-35", Table1[[#This Row],[Age]]&lt;=45, "Between 36-45", Table1[[#This Row],[Age]]&gt;45, "45+")</f>
        <v>45+</v>
      </c>
    </row>
    <row r="2990" spans="1:21" x14ac:dyDescent="0.3">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c r="T2990">
        <f>IF(Table1[[#This Row],[Discount_Applied]]="Yes", 1,0)</f>
        <v>0</v>
      </c>
      <c r="U2990" t="str">
        <f>_xlfn.IFS(Table1[[#This Row],[Age]]&lt;=25, "Below 25", Table1[[#This Row],[Age]]&lt;=35, "Between 25-35", Table1[[#This Row],[Age]]&lt;=45, "Between 36-45", Table1[[#This Row],[Age]]&gt;45, "45+")</f>
        <v>45+</v>
      </c>
    </row>
    <row r="2991" spans="1:21" x14ac:dyDescent="0.3">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c r="T2991">
        <f>IF(Table1[[#This Row],[Discount_Applied]]="Yes", 1,0)</f>
        <v>0</v>
      </c>
      <c r="U2991" t="str">
        <f>_xlfn.IFS(Table1[[#This Row],[Age]]&lt;=25, "Below 25", Table1[[#This Row],[Age]]&lt;=35, "Between 25-35", Table1[[#This Row],[Age]]&lt;=45, "Between 36-45", Table1[[#This Row],[Age]]&gt;45, "45+")</f>
        <v>45+</v>
      </c>
    </row>
    <row r="2992" spans="1:21" x14ac:dyDescent="0.3">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c r="T2992">
        <f>IF(Table1[[#This Row],[Discount_Applied]]="Yes", 1,0)</f>
        <v>0</v>
      </c>
      <c r="U2992" t="str">
        <f>_xlfn.IFS(Table1[[#This Row],[Age]]&lt;=25, "Below 25", Table1[[#This Row],[Age]]&lt;=35, "Between 25-35", Table1[[#This Row],[Age]]&lt;=45, "Between 36-45", Table1[[#This Row],[Age]]&gt;45, "45+")</f>
        <v>45+</v>
      </c>
    </row>
    <row r="2993" spans="1:21" x14ac:dyDescent="0.3">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c r="T2993">
        <f>IF(Table1[[#This Row],[Discount_Applied]]="Yes", 1,0)</f>
        <v>0</v>
      </c>
      <c r="U2993" t="str">
        <f>_xlfn.IFS(Table1[[#This Row],[Age]]&lt;=25, "Below 25", Table1[[#This Row],[Age]]&lt;=35, "Between 25-35", Table1[[#This Row],[Age]]&lt;=45, "Between 36-45", Table1[[#This Row],[Age]]&gt;45, "45+")</f>
        <v>45+</v>
      </c>
    </row>
    <row r="2994" spans="1:21" x14ac:dyDescent="0.3">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c r="T2994">
        <f>IF(Table1[[#This Row],[Discount_Applied]]="Yes", 1,0)</f>
        <v>0</v>
      </c>
      <c r="U2994" t="str">
        <f>_xlfn.IFS(Table1[[#This Row],[Age]]&lt;=25, "Below 25", Table1[[#This Row],[Age]]&lt;=35, "Between 25-35", Table1[[#This Row],[Age]]&lt;=45, "Between 36-45", Table1[[#This Row],[Age]]&gt;45, "45+")</f>
        <v>Between 36-45</v>
      </c>
    </row>
    <row r="2995" spans="1:21" x14ac:dyDescent="0.3">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c r="T2995">
        <f>IF(Table1[[#This Row],[Discount_Applied]]="Yes", 1,0)</f>
        <v>0</v>
      </c>
      <c r="U2995" t="str">
        <f>_xlfn.IFS(Table1[[#This Row],[Age]]&lt;=25, "Below 25", Table1[[#This Row],[Age]]&lt;=35, "Between 25-35", Table1[[#This Row],[Age]]&lt;=45, "Between 36-45", Table1[[#This Row],[Age]]&gt;45, "45+")</f>
        <v>Between 25-35</v>
      </c>
    </row>
    <row r="2996" spans="1:21" x14ac:dyDescent="0.3">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c r="T2996">
        <f>IF(Table1[[#This Row],[Discount_Applied]]="Yes", 1,0)</f>
        <v>0</v>
      </c>
      <c r="U2996" t="str">
        <f>_xlfn.IFS(Table1[[#This Row],[Age]]&lt;=25, "Below 25", Table1[[#This Row],[Age]]&lt;=35, "Between 25-35", Table1[[#This Row],[Age]]&lt;=45, "Between 36-45", Table1[[#This Row],[Age]]&gt;45, "45+")</f>
        <v>45+</v>
      </c>
    </row>
    <row r="2997" spans="1:21" x14ac:dyDescent="0.3">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c r="T2997">
        <f>IF(Table1[[#This Row],[Discount_Applied]]="Yes", 1,0)</f>
        <v>0</v>
      </c>
      <c r="U2997" t="str">
        <f>_xlfn.IFS(Table1[[#This Row],[Age]]&lt;=25, "Below 25", Table1[[#This Row],[Age]]&lt;=35, "Between 25-35", Table1[[#This Row],[Age]]&lt;=45, "Between 36-45", Table1[[#This Row],[Age]]&gt;45, "45+")</f>
        <v>Between 25-35</v>
      </c>
    </row>
    <row r="2998" spans="1:21" x14ac:dyDescent="0.3">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c r="T2998">
        <f>IF(Table1[[#This Row],[Discount_Applied]]="Yes", 1,0)</f>
        <v>0</v>
      </c>
      <c r="U2998" t="str">
        <f>_xlfn.IFS(Table1[[#This Row],[Age]]&lt;=25, "Below 25", Table1[[#This Row],[Age]]&lt;=35, "Between 25-35", Table1[[#This Row],[Age]]&lt;=45, "Between 36-45", Table1[[#This Row],[Age]]&gt;45, "45+")</f>
        <v>45+</v>
      </c>
    </row>
    <row r="2999" spans="1:21" x14ac:dyDescent="0.3">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c r="T2999">
        <f>IF(Table1[[#This Row],[Discount_Applied]]="Yes", 1,0)</f>
        <v>0</v>
      </c>
      <c r="U2999" t="str">
        <f>_xlfn.IFS(Table1[[#This Row],[Age]]&lt;=25, "Below 25", Table1[[#This Row],[Age]]&lt;=35, "Between 25-35", Table1[[#This Row],[Age]]&lt;=45, "Between 36-45", Table1[[#This Row],[Age]]&gt;45, "45+")</f>
        <v>Between 36-45</v>
      </c>
    </row>
    <row r="3000" spans="1:21" x14ac:dyDescent="0.3">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c r="T3000">
        <f>IF(Table1[[#This Row],[Discount_Applied]]="Yes", 1,0)</f>
        <v>0</v>
      </c>
      <c r="U3000" t="str">
        <f>_xlfn.IFS(Table1[[#This Row],[Age]]&lt;=25, "Below 25", Table1[[#This Row],[Age]]&lt;=35, "Between 25-35", Table1[[#This Row],[Age]]&lt;=45, "Between 36-45", Table1[[#This Row],[Age]]&gt;45, "45+")</f>
        <v>Between 25-35</v>
      </c>
    </row>
    <row r="3001" spans="1:21" x14ac:dyDescent="0.3">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c r="T3001">
        <f>IF(Table1[[#This Row],[Discount_Applied]]="Yes", 1,0)</f>
        <v>0</v>
      </c>
      <c r="U3001" t="str">
        <f>_xlfn.IFS(Table1[[#This Row],[Age]]&lt;=25, "Below 25", Table1[[#This Row],[Age]]&lt;=35, "Between 25-35", Table1[[#This Row],[Age]]&lt;=45, "Between 36-45", Table1[[#This Row],[Age]]&gt;45, "45+")</f>
        <v>Between 25-35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N</dc:creator>
  <cp:lastModifiedBy>lavanyan511@outlook.com</cp:lastModifiedBy>
  <dcterms:created xsi:type="dcterms:W3CDTF">2026-07-04T09:35:42Z</dcterms:created>
  <dcterms:modified xsi:type="dcterms:W3CDTF">2026-07-04T12:48:29Z</dcterms:modified>
</cp:coreProperties>
</file>